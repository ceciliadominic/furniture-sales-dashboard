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OneDrive\Documents\Data Analysis\"/>
    </mc:Choice>
  </mc:AlternateContent>
  <xr:revisionPtr revIDLastSave="0" documentId="13_ncr:1_{66E26BFE-684C-4B56-97EC-20C1F6F3C15E}" xr6:coauthVersionLast="36" xr6:coauthVersionMax="36" xr10:uidLastSave="{00000000-0000-0000-0000-000000000000}"/>
  <bookViews>
    <workbookView xWindow="0" yWindow="0" windowWidth="20490" windowHeight="7425" activeTab="2" xr2:uid="{90CF3390-54A2-40DF-B8FB-F3FDD38D93C5}"/>
  </bookViews>
  <sheets>
    <sheet name="Data_Table" sheetId="2" r:id="rId1"/>
    <sheet name="PIvot_Table" sheetId="3" r:id="rId2"/>
    <sheet name="Dashboard" sheetId="9" r:id="rId3"/>
  </sheets>
  <definedNames>
    <definedName name="_xlchart.v5.0" hidden="1">PIvot_Table!$L$33</definedName>
    <definedName name="_xlchart.v5.1" hidden="1">PIvot_Table!$L$34:$L$81</definedName>
    <definedName name="_xlchart.v5.2" hidden="1">PIvot_Table!$M$33</definedName>
    <definedName name="_xlchart.v5.3" hidden="1">PIvot_Table!$M$34:$M$81</definedName>
    <definedName name="_xlchart.v5.4" hidden="1">PIvot_Table!$L$33</definedName>
    <definedName name="_xlchart.v5.5" hidden="1">PIvot_Table!$L$34:$L$81</definedName>
    <definedName name="_xlchart.v5.6" hidden="1">PIvot_Table!$M$33</definedName>
    <definedName name="_xlchart.v5.7" hidden="1">PIvot_Table!$M$34:$M$81</definedName>
    <definedName name="ExternalData_1" localSheetId="0" hidden="1">Data_Table!$A$1:$U$2122</definedName>
    <definedName name="Mostorder">PIvot_Table!$D$40</definedName>
    <definedName name="Profit">PIvot_Table!$G$7</definedName>
    <definedName name="profityoy">PIvot_Table!$K$7</definedName>
    <definedName name="Quantity">PIvot_Table!$G$6</definedName>
    <definedName name="Quantityyoy">PIvot_Table!$K$6</definedName>
    <definedName name="sales">PIvot_Table!$G$5</definedName>
    <definedName name="salescategory">PIvot_Table!$D$49</definedName>
    <definedName name="salestrend">PIvot_Table!$A$14</definedName>
    <definedName name="salesyoy">PIvot_Table!$K$5</definedName>
    <definedName name="Slicer_Region">#N/A</definedName>
    <definedName name="Slicer_Segment">#N/A</definedName>
    <definedName name="Topcities">PIvot_Table!$D$15</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5" i="3" l="1" a="1"/>
  <c r="L35" i="3" s="1"/>
  <c r="M35" i="3" a="1"/>
  <c r="M35" i="3"/>
  <c r="L36" i="3" a="1"/>
  <c r="L36" i="3" s="1"/>
  <c r="M36" i="3" a="1"/>
  <c r="M36" i="3"/>
  <c r="L37" i="3" a="1"/>
  <c r="L37" i="3" s="1"/>
  <c r="M37" i="3" a="1"/>
  <c r="M37" i="3"/>
  <c r="L38" i="3" a="1"/>
  <c r="L38" i="3" s="1"/>
  <c r="M38" i="3" a="1"/>
  <c r="M38" i="3"/>
  <c r="L39" i="3" a="1"/>
  <c r="L39" i="3" s="1"/>
  <c r="M39" i="3" a="1"/>
  <c r="M39" i="3"/>
  <c r="L40" i="3" a="1"/>
  <c r="L40" i="3" s="1"/>
  <c r="M40" i="3" a="1"/>
  <c r="M40" i="3"/>
  <c r="L41" i="3" a="1"/>
  <c r="L41" i="3" s="1"/>
  <c r="M41" i="3" a="1"/>
  <c r="M41" i="3"/>
  <c r="L42" i="3" a="1"/>
  <c r="L42" i="3" s="1"/>
  <c r="M42" i="3" a="1"/>
  <c r="M42" i="3"/>
  <c r="L43" i="3" a="1"/>
  <c r="L43" i="3" s="1"/>
  <c r="M43" i="3" a="1"/>
  <c r="M43" i="3"/>
  <c r="L44" i="3" a="1"/>
  <c r="L44" i="3" s="1"/>
  <c r="M44" i="3" a="1"/>
  <c r="M44" i="3"/>
  <c r="L45" i="3" a="1"/>
  <c r="L45" i="3" s="1"/>
  <c r="M45" i="3" a="1"/>
  <c r="M45" i="3"/>
  <c r="L46" i="3" a="1"/>
  <c r="L46" i="3" s="1"/>
  <c r="M46" i="3" a="1"/>
  <c r="M46" i="3"/>
  <c r="L47" i="3" a="1"/>
  <c r="L47" i="3" s="1"/>
  <c r="M47" i="3" a="1"/>
  <c r="M47" i="3"/>
  <c r="L48" i="3" a="1"/>
  <c r="L48" i="3" s="1"/>
  <c r="M48" i="3" a="1"/>
  <c r="M48" i="3"/>
  <c r="L49" i="3" a="1"/>
  <c r="L49" i="3" s="1"/>
  <c r="M49" i="3" a="1"/>
  <c r="M49" i="3"/>
  <c r="L50" i="3" a="1"/>
  <c r="L50" i="3" s="1"/>
  <c r="M50" i="3" a="1"/>
  <c r="M50" i="3"/>
  <c r="L51" i="3" a="1"/>
  <c r="L51" i="3" s="1"/>
  <c r="M51" i="3" a="1"/>
  <c r="M51" i="3"/>
  <c r="L52" i="3" a="1"/>
  <c r="L52" i="3" s="1"/>
  <c r="M52" i="3" a="1"/>
  <c r="M52" i="3"/>
  <c r="L53" i="3" a="1"/>
  <c r="L53" i="3" s="1"/>
  <c r="M53" i="3" a="1"/>
  <c r="M53" i="3"/>
  <c r="L54" i="3" a="1"/>
  <c r="L54" i="3" s="1"/>
  <c r="M54" i="3" a="1"/>
  <c r="M54" i="3"/>
  <c r="L55" i="3" a="1"/>
  <c r="L55" i="3" s="1"/>
  <c r="M55" i="3" a="1"/>
  <c r="M55" i="3"/>
  <c r="L56" i="3" a="1"/>
  <c r="L56" i="3" s="1"/>
  <c r="M56" i="3" a="1"/>
  <c r="M56" i="3"/>
  <c r="L57" i="3" a="1"/>
  <c r="L57" i="3" s="1"/>
  <c r="M57" i="3" a="1"/>
  <c r="M57" i="3"/>
  <c r="L58" i="3" a="1"/>
  <c r="L58" i="3" s="1"/>
  <c r="M58" i="3" a="1"/>
  <c r="M58" i="3"/>
  <c r="L59" i="3" a="1"/>
  <c r="L59" i="3" s="1"/>
  <c r="M59" i="3" a="1"/>
  <c r="M59" i="3"/>
  <c r="L60" i="3" a="1"/>
  <c r="L60" i="3" s="1"/>
  <c r="M60" i="3" a="1"/>
  <c r="M60" i="3"/>
  <c r="L61" i="3" a="1"/>
  <c r="L61" i="3" s="1"/>
  <c r="M61" i="3" a="1"/>
  <c r="M61" i="3"/>
  <c r="L62" i="3" a="1"/>
  <c r="L62" i="3" s="1"/>
  <c r="M62" i="3" a="1"/>
  <c r="M62" i="3"/>
  <c r="L63" i="3" a="1"/>
  <c r="L63" i="3" s="1"/>
  <c r="M63" i="3" a="1"/>
  <c r="M63" i="3"/>
  <c r="L64" i="3" a="1"/>
  <c r="L64" i="3" s="1"/>
  <c r="M64" i="3" a="1"/>
  <c r="M64" i="3"/>
  <c r="L65" i="3" a="1"/>
  <c r="L65" i="3" s="1"/>
  <c r="M65" i="3" a="1"/>
  <c r="M65" i="3"/>
  <c r="L66" i="3" a="1"/>
  <c r="L66" i="3" s="1"/>
  <c r="M66" i="3" a="1"/>
  <c r="M66" i="3"/>
  <c r="L67" i="3" a="1"/>
  <c r="L67" i="3" s="1"/>
  <c r="M67" i="3" a="1"/>
  <c r="M67" i="3"/>
  <c r="L68" i="3" a="1"/>
  <c r="L68" i="3" s="1"/>
  <c r="M68" i="3" a="1"/>
  <c r="M68" i="3"/>
  <c r="L69" i="3" a="1"/>
  <c r="L69" i="3" s="1"/>
  <c r="M69" i="3" a="1"/>
  <c r="M69" i="3"/>
  <c r="L70" i="3" a="1"/>
  <c r="L70" i="3" s="1"/>
  <c r="M70" i="3" a="1"/>
  <c r="M70" i="3"/>
  <c r="L71" i="3" a="1"/>
  <c r="L71" i="3" s="1"/>
  <c r="M71" i="3" a="1"/>
  <c r="M71" i="3"/>
  <c r="L72" i="3" a="1"/>
  <c r="L72" i="3" s="1"/>
  <c r="M72" i="3" a="1"/>
  <c r="M72" i="3"/>
  <c r="L73" i="3" a="1"/>
  <c r="L73" i="3" s="1"/>
  <c r="M73" i="3" a="1"/>
  <c r="M73" i="3"/>
  <c r="L74" i="3" a="1"/>
  <c r="L74" i="3" s="1"/>
  <c r="M74" i="3" a="1"/>
  <c r="M74" i="3"/>
  <c r="L75" i="3" a="1"/>
  <c r="L75" i="3" s="1"/>
  <c r="M75" i="3" a="1"/>
  <c r="M75" i="3"/>
  <c r="L76" i="3" a="1"/>
  <c r="L76" i="3" s="1"/>
  <c r="M76" i="3" a="1"/>
  <c r="M76" i="3"/>
  <c r="L77" i="3" a="1"/>
  <c r="L77" i="3" s="1"/>
  <c r="M77" i="3" a="1"/>
  <c r="M77" i="3"/>
  <c r="L78" i="3" a="1"/>
  <c r="L78" i="3" s="1"/>
  <c r="M78" i="3" a="1"/>
  <c r="M78" i="3"/>
  <c r="L79" i="3" a="1"/>
  <c r="L79" i="3" s="1"/>
  <c r="M79" i="3" a="1"/>
  <c r="M79" i="3"/>
  <c r="L80" i="3" a="1"/>
  <c r="L80" i="3" s="1"/>
  <c r="M80" i="3" a="1"/>
  <c r="M80" i="3"/>
  <c r="L81" i="3" a="1"/>
  <c r="L81" i="3" s="1"/>
  <c r="M81" i="3" a="1"/>
  <c r="M81" i="3"/>
  <c r="M34" i="3" a="1"/>
  <c r="M34" i="3" s="1"/>
  <c r="L34" i="3" a="1"/>
  <c r="L34" i="3"/>
  <c r="F52" i="3" a="1"/>
  <c r="F52" i="3" s="1"/>
  <c r="G52" i="3" a="1"/>
  <c r="G52" i="3"/>
  <c r="F53" i="3" a="1"/>
  <c r="F53" i="3" s="1"/>
  <c r="G53" i="3" a="1"/>
  <c r="G53" i="3"/>
  <c r="F54" i="3" a="1"/>
  <c r="F54" i="3" s="1"/>
  <c r="G54" i="3" a="1"/>
  <c r="G54" i="3"/>
  <c r="G51" i="3" a="1"/>
  <c r="G51" i="3"/>
  <c r="F51" i="3" a="1"/>
  <c r="F51" i="3" s="1"/>
  <c r="D49" i="3"/>
  <c r="D40" i="3"/>
  <c r="D15" i="3"/>
  <c r="D26" i="3"/>
  <c r="G5" i="3"/>
  <c r="G6" i="3"/>
  <c r="H50" i="3" l="1"/>
  <c r="H51" i="3" s="1"/>
  <c r="H52" i="3"/>
  <c r="H53" i="3" l="1"/>
  <c r="H54" i="3"/>
  <c r="A14" i="3"/>
  <c r="G17" i="3" a="1"/>
  <c r="G17" i="3" s="1"/>
  <c r="G18" i="3" a="1"/>
  <c r="G18" i="3"/>
  <c r="G19" i="3" a="1"/>
  <c r="G19" i="3" s="1"/>
  <c r="G20" i="3" a="1"/>
  <c r="G20" i="3"/>
  <c r="G21" i="3" a="1"/>
  <c r="G21" i="3" s="1"/>
  <c r="F18" i="3" a="1"/>
  <c r="F18" i="3"/>
  <c r="F19" i="3" a="1"/>
  <c r="F19" i="3"/>
  <c r="F20" i="3" a="1"/>
  <c r="F20" i="3"/>
  <c r="F21" i="3" a="1"/>
  <c r="F21" i="3"/>
  <c r="F17" i="3" a="1"/>
  <c r="F17" i="3" s="1"/>
  <c r="H16" i="3" l="1"/>
  <c r="H21" i="3" s="1"/>
  <c r="I6" i="3"/>
  <c r="H5" i="3"/>
  <c r="G7" i="3"/>
  <c r="H7" i="3"/>
  <c r="I7" i="3"/>
  <c r="I5" i="3"/>
  <c r="H6" i="3"/>
  <c r="J6" i="3" l="1"/>
  <c r="K6" i="3" s="1"/>
  <c r="J7" i="3"/>
  <c r="K7" i="3" s="1"/>
  <c r="J5" i="3"/>
  <c r="K5" i="3" s="1"/>
  <c r="H17" i="3"/>
  <c r="H18" i="3"/>
  <c r="H19" i="3"/>
  <c r="H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311241-8315-4A91-B141-4EBE9BF96ABD}" keepAlive="1" name="Query - Furniture_Sales" description="Connection to the 'Furniture_Sales' query in the workbook." type="5" refreshedVersion="6" background="1" saveData="1">
    <dbPr connection="Provider=Microsoft.Mashup.OleDb.1;Data Source=$Workbook$;Location=Furniture_Sales;Extended Properties=&quot;&quot;" command="SELECT * FROM [Furniture_Sales]"/>
  </connection>
</connections>
</file>

<file path=xl/sharedStrings.xml><?xml version="1.0" encoding="utf-8"?>
<sst xmlns="http://schemas.openxmlformats.org/spreadsheetml/2006/main" count="31963" uniqueCount="4430">
  <si>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</si>
  <si>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</si>
  <si>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</si>
  <si>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</si>
  <si>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</si>
  <si>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</si>
  <si>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</si>
  <si>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</si>
  <si>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</si>
  <si>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</si>
  <si>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</si>
  <si>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</si>
  <si>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</si>
  <si>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</si>
  <si>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</si>
  <si>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</si>
  <si>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</si>
  <si>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</si>
  <si>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</si>
  <si>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</si>
  <si>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 Name</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</si>
  <si>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</si>
  <si>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</si>
  <si>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</si>
  <si>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</si>
  <si>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</si>
  <si>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</si>
  <si>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</si>
  <si>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</si>
  <si>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</si>
  <si>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</si>
  <si>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</si>
  <si>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</si>
  <si>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</si>
  <si>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</si>
  <si>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</si>
  <si>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</si>
  <si>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</si>
  <si>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</si>
  <si>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</si>
  <si>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</si>
  <si>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</si>
  <si>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</si>
  <si>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</si>
  <si>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</si>
  <si>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</si>
  <si>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</si>
  <si>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</si>
  <si>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</si>
  <si>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</si>
  <si>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</si>
  <si>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</si>
  <si>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</si>
  <si>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</si>
  <si>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</si>
  <si>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</si>
  <si>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</si>
  <si>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</si>
  <si>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</si>
  <si>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</si>
  <si>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</si>
  <si>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</si>
  <si>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</si>
  <si>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</si>
  <si>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</si>
  <si>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</si>
  <si>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</si>
  <si>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</si>
  <si>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</si>
  <si>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</si>
  <si>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</si>
  <si>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</si>
  <si>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</si>
  <si>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</si>
  <si>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</si>
  <si>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</si>
  <si>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</si>
  <si>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</si>
  <si>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</si>
  <si>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</si>
  <si>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</si>
  <si>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</si>
  <si>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</si>
  <si>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</si>
  <si>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</si>
  <si>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</si>
  <si>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</si>
  <si>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</si>
  <si>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</si>
  <si>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</si>
  <si>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</si>
  <si>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</si>
  <si>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</si>
  <si>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</si>
  <si>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</si>
  <si>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</si>
  <si>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</si>
  <si>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</si>
  <si>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</si>
  <si>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</si>
  <si>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</si>
  <si>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</si>
  <si>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</si>
  <si>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</si>
  <si>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</si>
  <si>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</si>
  <si>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</si>
  <si>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</si>
  <si>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</si>
  <si>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</si>
  <si>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</si>
  <si>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</si>
  <si>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</si>
  <si>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</si>
  <si>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</si>
  <si>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</si>
  <si>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</si>
  <si>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</si>
  <si>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</si>
  <si>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</si>
  <si>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</si>
  <si>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</si>
  <si>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</si>
  <si>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</si>
  <si>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</si>
  <si>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</si>
  <si>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</si>
  <si>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</si>
  <si>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</si>
  <si>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</si>
  <si>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</si>
  <si>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</si>
  <si>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</si>
  <si>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</si>
  <si>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</si>
  <si>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</si>
  <si>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</si>
  <si>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</si>
  <si>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</si>
  <si>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</si>
  <si>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</si>
  <si>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</si>
  <si>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</si>
  <si>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</si>
  <si>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</si>
  <si>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</si>
  <si>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</si>
  <si>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</si>
  <si>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</si>
  <si>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</si>
  <si>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</si>
  <si>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</si>
  <si>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</si>
  <si>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</si>
  <si>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</si>
  <si>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</si>
  <si>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</si>
  <si>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</si>
  <si>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</si>
  <si>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</si>
  <si>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</si>
  <si>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</si>
  <si>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</si>
  <si>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</si>
  <si>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</si>
  <si>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</si>
  <si>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</si>
  <si>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</si>
  <si>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</si>
  <si>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</si>
  <si>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</si>
  <si>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</si>
  <si>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</si>
  <si>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</si>
  <si>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</si>
  <si>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</si>
  <si>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</si>
  <si>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</si>
  <si>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</si>
  <si>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</si>
  <si>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</si>
  <si>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</si>
  <si>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</si>
  <si>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</si>
  <si>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</si>
  <si>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</si>
  <si>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</si>
  <si>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</si>
  <si>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</si>
  <si>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</si>
  <si>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</si>
  <si>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</si>
  <si>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</si>
  <si>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</si>
  <si>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</si>
  <si>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</si>
  <si>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</si>
  <si>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</si>
  <si>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</si>
  <si>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</si>
  <si>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</si>
  <si>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</si>
  <si>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</si>
  <si>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</si>
  <si>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</si>
  <si>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</si>
  <si>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</si>
  <si>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</si>
  <si>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</si>
  <si>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</si>
  <si>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</si>
  <si>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</si>
  <si>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</si>
  <si>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</si>
  <si>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</si>
  <si>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</si>
  <si>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</si>
  <si>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</si>
  <si>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</si>
  <si>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</si>
  <si>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</si>
  <si>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</si>
  <si>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</si>
  <si>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</si>
  <si>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</si>
  <si>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</si>
  <si>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</si>
  <si>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</si>
  <si>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</si>
  <si>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</si>
  <si>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</si>
  <si>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</si>
  <si>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</si>
  <si>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</si>
  <si>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</si>
  <si>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</si>
  <si>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</si>
  <si>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</si>
  <si>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</si>
  <si>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</si>
  <si>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</si>
  <si>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</si>
  <si>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</si>
  <si>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</si>
  <si>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</si>
  <si>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</si>
  <si>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</si>
  <si>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</si>
  <si>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</si>
  <si>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</si>
  <si>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</si>
  <si>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</si>
  <si>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</si>
  <si>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</si>
  <si>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</si>
  <si>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</si>
  <si>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</si>
  <si>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</si>
  <si>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</si>
  <si>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</si>
  <si>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</si>
  <si>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</si>
  <si>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</si>
  <si>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</si>
  <si>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</si>
  <si>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</si>
  <si>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</si>
  <si>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</si>
  <si>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</si>
  <si>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</si>
  <si>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</si>
  <si>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</si>
  <si>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</si>
  <si>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</si>
  <si>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</si>
  <si>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</si>
  <si>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</si>
  <si>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</si>
  <si>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</si>
  <si>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</si>
  <si>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</si>
  <si>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</si>
  <si>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</si>
  <si>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</si>
  <si>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</si>
  <si>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</si>
  <si>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</si>
  <si>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</si>
  <si>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</si>
  <si>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</si>
  <si>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</si>
  <si>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</si>
  <si>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</si>
  <si>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</si>
  <si>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</si>
  <si>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</si>
  <si>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</si>
  <si>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</si>
  <si>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</si>
  <si>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</si>
  <si>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</si>
  <si>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</si>
  <si>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</si>
  <si>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</si>
  <si>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</si>
  <si>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</si>
  <si>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</si>
  <si>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</si>
  <si>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</si>
  <si>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</si>
  <si>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</si>
  <si>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</si>
  <si>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</si>
  <si>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</si>
  <si>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</si>
  <si>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</si>
  <si>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</si>
  <si>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</si>
  <si>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</si>
  <si>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</si>
  <si>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</si>
  <si>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</si>
  <si>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</si>
  <si>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</si>
  <si>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</si>
  <si>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</si>
  <si>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</si>
  <si>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</si>
  <si>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</si>
  <si>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</si>
  <si>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</si>
  <si>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</si>
  <si>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</si>
  <si>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</si>
  <si>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</si>
  <si>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</si>
  <si>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</si>
  <si>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</si>
  <si>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</si>
  <si>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</si>
  <si>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</si>
  <si>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</si>
  <si>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</si>
  <si>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</si>
  <si>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</si>
  <si>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</si>
  <si>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</si>
  <si>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</si>
  <si>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</si>
  <si>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</si>
  <si>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</si>
  <si>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</si>
  <si>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</si>
  <si>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</si>
  <si>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</si>
  <si>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</si>
  <si>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</si>
  <si>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</si>
  <si>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</si>
  <si>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</si>
  <si>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</si>
  <si>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</si>
  <si>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</si>
  <si>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</si>
  <si>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</si>
  <si>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</si>
  <si>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</si>
  <si>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</si>
  <si>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</si>
  <si>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</si>
  <si>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</si>
  <si>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</si>
  <si>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</si>
  <si>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</si>
  <si>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</si>
  <si>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</si>
  <si>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</si>
  <si>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</si>
  <si>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</si>
  <si>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</si>
  <si>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</si>
  <si>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</si>
  <si>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</si>
  <si>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</si>
  <si>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</si>
  <si>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</si>
  <si>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</si>
  <si>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</si>
  <si>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</si>
  <si>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</si>
  <si>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</si>
  <si>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</si>
  <si>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</si>
  <si>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</si>
  <si>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</si>
  <si>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</si>
  <si>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</si>
  <si>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</si>
  <si>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</si>
  <si>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</si>
  <si>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</si>
  <si>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</si>
  <si>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</si>
  <si>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</si>
  <si>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</si>
  <si>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</si>
  <si>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</si>
  <si>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</si>
  <si>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</si>
  <si>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</si>
  <si>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</si>
  <si>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</si>
  <si>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</si>
  <si>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</si>
  <si>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</si>
  <si>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</si>
  <si>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</si>
  <si>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</si>
  <si>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</si>
  <si>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</si>
  <si>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</si>
  <si>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</si>
  <si>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</si>
  <si>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</si>
  <si>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</si>
  <si>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</si>
  <si>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</si>
  <si>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</si>
  <si>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</si>
  <si>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</si>
  <si>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</si>
  <si>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</si>
  <si>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</si>
  <si>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</si>
  <si>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</si>
  <si>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</si>
  <si>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</si>
  <si>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</si>
  <si>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</si>
  <si>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</si>
  <si>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</si>
  <si>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</si>
  <si>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</si>
  <si>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</si>
  <si>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</si>
  <si>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</si>
  <si>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</si>
  <si>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</si>
  <si>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</si>
  <si>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</si>
  <si>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</si>
  <si>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</si>
  <si>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</si>
  <si>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</si>
  <si>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</si>
  <si>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</si>
  <si>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</si>
  <si>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</si>
  <si>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</si>
  <si>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</si>
  <si>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</si>
  <si>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</si>
  <si>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</si>
  <si>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</si>
  <si>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</si>
  <si>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</si>
  <si>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</si>
  <si>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</si>
  <si>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</si>
  <si>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</si>
  <si>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</si>
  <si>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</si>
  <si>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</si>
  <si>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</si>
  <si>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</si>
  <si>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</si>
  <si>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</si>
  <si>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</si>
  <si>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</si>
  <si>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</si>
  <si>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</si>
  <si>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</si>
  <si>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</si>
  <si>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</si>
  <si>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</si>
  <si>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</si>
  <si>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</si>
  <si>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</si>
  <si>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</si>
  <si>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</si>
  <si>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</si>
  <si>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</si>
  <si>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</si>
  <si>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</si>
  <si>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</si>
  <si>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</si>
  <si>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</si>
  <si>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</si>
  <si>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</si>
  <si>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</si>
  <si>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</si>
  <si>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</si>
  <si>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</si>
  <si>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</si>
  <si>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</si>
  <si>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</si>
  <si>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</si>
  <si>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</si>
  <si>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</si>
  <si>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</si>
  <si>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</si>
  <si>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</si>
  <si>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</si>
  <si>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</si>
  <si>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</si>
  <si>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</si>
  <si>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</si>
  <si>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</si>
  <si>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</si>
  <si>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</si>
  <si>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</si>
  <si>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</si>
  <si>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</si>
  <si>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</si>
  <si>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</si>
  <si>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</si>
  <si>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</si>
  <si>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</si>
  <si>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</si>
  <si>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</si>
  <si>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</si>
  <si>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</si>
  <si>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</si>
  <si>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</si>
  <si>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</si>
  <si>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</si>
  <si>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</si>
  <si>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</si>
  <si>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</si>
  <si>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</si>
  <si>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</si>
  <si>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</si>
  <si>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</si>
  <si>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</si>
  <si>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</si>
  <si>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</si>
  <si>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</si>
  <si>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</si>
  <si>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</si>
  <si>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</si>
  <si>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</si>
  <si>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</si>
  <si>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</si>
  <si>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</si>
  <si>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</si>
  <si>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</si>
  <si>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</si>
  <si>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</si>
  <si>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</si>
  <si>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</si>
  <si>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</si>
  <si>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</si>
  <si>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</si>
  <si>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</si>
  <si>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</si>
  <si>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</si>
  <si>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</si>
  <si>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</si>
  <si>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</si>
  <si>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</si>
  <si>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</si>
  <si>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</si>
  <si>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</si>
  <si>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</si>
  <si>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</si>
  <si>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</si>
  <si>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</si>
  <si>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</si>
  <si>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</si>
  <si>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</si>
  <si>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</si>
  <si>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</si>
  <si>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</si>
  <si>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</si>
  <si>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</si>
  <si>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</si>
  <si>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</si>
  <si>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</si>
  <si>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</si>
  <si>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</si>
  <si>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</si>
  <si>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</si>
  <si>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</si>
  <si>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</si>
  <si>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</si>
  <si>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</si>
  <si>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</si>
  <si>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</si>
  <si>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</si>
  <si>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</si>
  <si>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</si>
  <si>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</si>
  <si>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</si>
  <si>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</si>
  <si>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</si>
  <si>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</si>
  <si>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</si>
  <si>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</si>
  <si>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</si>
  <si>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</si>
  <si>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</si>
  <si>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</si>
  <si>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</si>
  <si>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</si>
  <si>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</si>
  <si>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</si>
  <si>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</si>
  <si>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</si>
  <si>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</si>
  <si>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</si>
  <si>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</si>
  <si>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</si>
  <si>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</si>
  <si>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</si>
  <si>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</si>
  <si>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</si>
  <si>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</si>
  <si>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</si>
  <si>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</si>
  <si>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</si>
  <si>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</si>
  <si>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</si>
  <si>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</si>
  <si>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</si>
  <si>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</si>
  <si>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</si>
  <si>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</si>
  <si>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</si>
  <si>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</si>
  <si>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</si>
  <si>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</si>
  <si>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</si>
  <si>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</si>
  <si>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</si>
  <si>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</si>
  <si>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</si>
  <si>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</si>
  <si>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</si>
  <si>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</si>
  <si>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</si>
  <si>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</si>
  <si>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</si>
  <si>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</si>
  <si>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</si>
  <si>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</si>
  <si>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</si>
  <si>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</si>
  <si>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</si>
  <si>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</si>
  <si>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</si>
  <si>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</si>
  <si>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</si>
  <si>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</si>
  <si>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</si>
  <si>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</si>
  <si>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</si>
  <si>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</si>
  <si>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</si>
  <si>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</si>
  <si>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</si>
  <si>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</si>
  <si>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</si>
  <si>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</si>
  <si>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</si>
  <si>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</si>
  <si>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</si>
  <si>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</si>
  <si>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</si>
  <si>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</si>
  <si>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</si>
  <si>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</si>
  <si>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</si>
  <si>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</si>
  <si>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</si>
  <si>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</si>
  <si>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</si>
  <si>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</si>
  <si>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</si>
  <si>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</si>
  <si>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</si>
  <si>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</si>
  <si>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</si>
  <si>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</si>
  <si>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</si>
  <si>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</si>
  <si>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</si>
  <si>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</si>
  <si>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</si>
  <si>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</si>
  <si>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</si>
  <si>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</si>
  <si>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</si>
  <si>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</si>
  <si>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</si>
  <si>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</si>
  <si>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</si>
  <si>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</si>
  <si>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</si>
  <si>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</si>
  <si>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</si>
  <si>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</si>
  <si>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</si>
  <si>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</si>
  <si>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</si>
  <si>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</si>
  <si>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</si>
  <si>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</si>
  <si>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</si>
  <si>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</si>
  <si>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</si>
  <si>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</si>
  <si>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</si>
  <si>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</si>
  <si>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</si>
  <si>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</si>
  <si>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</si>
  <si>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</si>
  <si>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</si>
  <si>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</si>
  <si>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</si>
  <si>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</si>
  <si>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</si>
  <si>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</si>
  <si>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</si>
  <si>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</si>
  <si>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</si>
  <si>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</si>
  <si>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</si>
  <si>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</si>
  <si>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</si>
  <si>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</si>
  <si>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</si>
  <si>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</si>
  <si>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</si>
  <si>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</si>
  <si>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</si>
  <si>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</si>
  <si>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</si>
  <si>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</si>
  <si>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</si>
  <si>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</si>
  <si>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</si>
  <si>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</si>
  <si>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</si>
  <si>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</si>
  <si>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</si>
  <si>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</si>
  <si>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</si>
  <si>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</si>
  <si>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</si>
  <si>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</si>
  <si>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</si>
  <si>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</si>
  <si>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</si>
  <si>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</si>
  <si>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</si>
  <si>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</si>
  <si>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</si>
  <si>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</si>
  <si>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</si>
  <si>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</si>
  <si>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</si>
  <si>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</si>
  <si>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</si>
  <si>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</si>
  <si>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</si>
  <si>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</si>
  <si>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</si>
  <si>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</si>
  <si>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</si>
  <si>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</si>
  <si>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</si>
  <si>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</si>
  <si>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</si>
  <si>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</si>
  <si>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</si>
  <si>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</si>
  <si>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</si>
  <si>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</si>
  <si>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</si>
  <si>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</si>
  <si>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</si>
  <si>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</si>
  <si>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</si>
  <si>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</si>
  <si>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</si>
  <si>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</si>
  <si>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</si>
  <si>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</si>
  <si>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</si>
  <si>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</si>
  <si>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</si>
  <si>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</si>
  <si>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</si>
  <si>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</si>
  <si>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</si>
  <si>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</si>
  <si>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</si>
  <si>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</si>
  <si>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</si>
  <si>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</si>
  <si>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</si>
  <si>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</si>
  <si>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</si>
  <si>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</si>
  <si>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</si>
  <si>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</si>
  <si>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</si>
  <si>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</si>
  <si>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</si>
  <si>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</si>
  <si>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</si>
  <si>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</si>
  <si>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</si>
  <si>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</si>
  <si>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</si>
  <si>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</si>
  <si>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</si>
  <si>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</si>
  <si>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</si>
  <si>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</si>
  <si>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</si>
  <si>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</si>
  <si>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</si>
  <si>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</si>
  <si>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</si>
  <si>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</si>
  <si>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</si>
  <si>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</si>
  <si>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</si>
  <si>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</si>
  <si>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</si>
  <si>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</si>
  <si>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</si>
  <si>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</si>
  <si>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</si>
  <si>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</si>
  <si>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</si>
  <si>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</si>
  <si>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</si>
  <si>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</si>
  <si>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</si>
  <si>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</si>
  <si>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</si>
  <si>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</si>
  <si>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</si>
  <si>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</si>
  <si>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</si>
  <si>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</si>
  <si>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</si>
  <si>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</si>
  <si>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</si>
  <si>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</si>
  <si>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</si>
  <si>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</si>
  <si>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</si>
  <si>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</si>
  <si>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</si>
  <si>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</si>
  <si>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</si>
  <si>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</si>
  <si>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</si>
  <si>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</si>
  <si>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</si>
  <si>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</si>
  <si>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</si>
  <si>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</si>
  <si>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</si>
  <si>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</si>
  <si>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</si>
  <si>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</si>
  <si>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</si>
  <si>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</si>
  <si>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</si>
  <si>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</si>
  <si>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</si>
  <si>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</si>
  <si>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</si>
  <si>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</si>
  <si>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</si>
  <si>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</si>
  <si>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</si>
  <si>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</si>
  <si>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</si>
  <si>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</si>
  <si>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</si>
  <si>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</si>
  <si>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</si>
  <si>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</si>
  <si>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</si>
  <si>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</si>
  <si>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</si>
  <si>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</si>
  <si>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</si>
  <si>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</si>
  <si>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</si>
  <si>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</si>
  <si>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</si>
  <si>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</si>
  <si>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</si>
  <si>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</si>
  <si>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</si>
  <si>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</si>
  <si>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</si>
  <si>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</si>
  <si>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</si>
  <si>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</si>
  <si>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</si>
  <si>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</si>
  <si>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</si>
  <si>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</si>
  <si>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</si>
  <si>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</si>
  <si>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</si>
  <si>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</si>
  <si>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</si>
  <si>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</si>
  <si>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</si>
  <si>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</si>
  <si>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</si>
  <si>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</si>
  <si>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</si>
  <si>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</si>
  <si>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</si>
  <si>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</si>
  <si>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</si>
  <si>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</si>
  <si>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</si>
  <si>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</si>
  <si>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</si>
  <si>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</si>
  <si>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</si>
  <si>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</si>
  <si>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</si>
  <si>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</si>
  <si>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</si>
  <si>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</si>
  <si>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</si>
  <si>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</si>
  <si>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</si>
  <si>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</si>
  <si>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</si>
  <si>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</si>
  <si>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</si>
  <si>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</si>
  <si>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</si>
  <si>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</si>
  <si>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</si>
  <si>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</si>
  <si>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</si>
  <si>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</si>
  <si>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</si>
  <si>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</si>
  <si>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</si>
  <si>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</si>
  <si>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</si>
  <si>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</si>
  <si>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</si>
  <si>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</si>
  <si>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</si>
  <si>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</si>
  <si>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</si>
  <si>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</si>
  <si>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</si>
  <si>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</si>
  <si>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</si>
  <si>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</si>
  <si>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</si>
  <si>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</si>
  <si>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</si>
  <si>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</si>
  <si>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</si>
  <si>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</si>
  <si>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</si>
  <si>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</si>
  <si>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</si>
  <si>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</si>
  <si>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</si>
  <si>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</si>
  <si>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</si>
  <si>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</si>
  <si>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</si>
  <si>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</si>
  <si>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</si>
  <si>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</si>
  <si>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</si>
  <si>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</si>
  <si>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</si>
  <si>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</si>
  <si>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</si>
  <si>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</si>
  <si>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</si>
  <si>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</si>
  <si>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</si>
  <si>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</si>
  <si>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</si>
  <si>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</si>
  <si>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</si>
  <si>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</si>
  <si>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</si>
  <si>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</si>
  <si>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</si>
  <si>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</si>
  <si>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</si>
  <si>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</si>
  <si>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</si>
  <si>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</si>
  <si>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</si>
  <si>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</si>
  <si>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</si>
  <si>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</si>
  <si>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</si>
  <si>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</si>
  <si>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</si>
  <si>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</si>
  <si>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</si>
  <si>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</si>
  <si>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</si>
  <si>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</si>
  <si>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</si>
  <si>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</si>
  <si>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</si>
  <si>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</si>
  <si>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</si>
  <si>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</si>
  <si>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</si>
  <si>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</si>
  <si>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</si>
  <si>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</si>
  <si>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</si>
  <si>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</si>
  <si>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</si>
  <si>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</si>
  <si>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</si>
  <si>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</si>
  <si>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</si>
  <si>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</si>
  <si>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</si>
  <si>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</si>
  <si>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</si>
  <si>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</si>
  <si>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</si>
  <si>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</si>
  <si>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</si>
  <si>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</si>
  <si>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</si>
  <si>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</si>
  <si>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</si>
  <si>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</si>
  <si>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</si>
  <si>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</si>
  <si>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</si>
  <si>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</si>
  <si>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</si>
  <si>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</si>
  <si>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</si>
  <si>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</si>
  <si>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</si>
  <si>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</si>
  <si>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</si>
  <si>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</si>
  <si>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</si>
  <si>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</si>
  <si>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</si>
  <si>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</si>
  <si>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</si>
  <si>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</si>
  <si>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</si>
  <si>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</si>
  <si>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</si>
  <si>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</si>
  <si>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</si>
  <si>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</si>
  <si>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</si>
  <si>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</si>
  <si>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</si>
  <si>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</si>
  <si>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</si>
  <si>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</si>
  <si>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</si>
  <si>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</si>
  <si>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</si>
  <si>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</si>
  <si>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</si>
  <si>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</si>
  <si>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</si>
  <si>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</si>
  <si>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</si>
  <si>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</si>
  <si>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</si>
  <si>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</si>
  <si>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</si>
  <si>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</si>
  <si>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</si>
  <si>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</si>
  <si>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</si>
  <si>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</si>
  <si>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</si>
  <si>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</si>
  <si>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</si>
  <si>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</si>
  <si>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</si>
  <si>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</si>
  <si>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</si>
  <si>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</si>
  <si>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</si>
  <si>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</si>
  <si>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</si>
  <si>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</si>
  <si>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</si>
  <si>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</si>
  <si>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</si>
  <si>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</si>
  <si>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</si>
  <si>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</si>
  <si>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</si>
  <si>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</si>
  <si>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</si>
  <si>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</si>
  <si>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</si>
  <si>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</si>
  <si>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</si>
  <si>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</si>
  <si>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</si>
  <si>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</si>
  <si>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</si>
  <si>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</si>
  <si>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</si>
  <si>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</si>
  <si>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</si>
  <si>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</si>
  <si>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</si>
  <si>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</si>
  <si>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</si>
  <si>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</si>
  <si>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</si>
  <si>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</si>
  <si>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</si>
  <si>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</si>
  <si>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</si>
  <si>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</si>
  <si>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</si>
  <si>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</si>
  <si>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</si>
  <si>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</si>
  <si>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</si>
  <si>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</si>
  <si>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</si>
  <si>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</si>
  <si>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</si>
  <si>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</si>
  <si>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</si>
  <si>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</si>
  <si>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</si>
  <si>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</si>
  <si>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</si>
  <si>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</si>
  <si>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</si>
  <si>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</si>
  <si>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</si>
  <si>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</si>
  <si>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</si>
  <si>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</si>
  <si>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</si>
  <si>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</si>
  <si>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</si>
  <si>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</si>
  <si>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</si>
  <si>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</si>
  <si>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</si>
  <si>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</si>
  <si>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</si>
  <si>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</si>
  <si>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</si>
  <si>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</si>
  <si>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</si>
  <si>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</si>
  <si>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</si>
  <si>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</si>
  <si>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</si>
  <si>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</si>
  <si>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</si>
  <si>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</si>
  <si>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</si>
  <si>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</si>
  <si>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</si>
  <si>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</si>
  <si>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</si>
  <si>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</si>
  <si>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</si>
  <si>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</si>
  <si>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</si>
  <si>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</si>
  <si>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</si>
  <si>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</si>
  <si>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</si>
  <si>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</si>
  <si>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</si>
  <si>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</si>
  <si>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</si>
  <si>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</si>
  <si>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</si>
  <si>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</si>
  <si>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</si>
  <si>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</si>
  <si>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</si>
  <si>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</si>
  <si>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</si>
  <si>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</si>
  <si>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</si>
  <si>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</si>
  <si>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</si>
  <si>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</si>
  <si>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</si>
  <si>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</si>
  <si>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</si>
  <si>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</si>
  <si>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</si>
  <si>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</si>
  <si>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</si>
  <si>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</si>
  <si>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</si>
  <si>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</si>
  <si>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</si>
  <si>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</si>
  <si>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</si>
  <si>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</si>
  <si>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</si>
  <si>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</si>
  <si>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</si>
  <si>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</si>
  <si>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</si>
  <si>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</si>
  <si>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</si>
  <si>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</si>
  <si>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</si>
  <si>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</si>
  <si>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</si>
  <si>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</si>
  <si>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</si>
  <si>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</si>
  <si>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</si>
  <si>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</si>
  <si>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</si>
  <si>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</si>
  <si>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</si>
  <si>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</si>
  <si>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</si>
  <si>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</si>
  <si>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</si>
  <si>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</si>
  <si>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</si>
  <si>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</si>
  <si>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</si>
  <si>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</si>
  <si>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</si>
  <si>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</si>
  <si>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</si>
  <si>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</si>
  <si>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</si>
  <si>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</si>
  <si>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</si>
  <si>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</si>
  <si>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</si>
  <si>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</si>
  <si>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</si>
  <si>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</si>
  <si>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</si>
  <si>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</si>
  <si>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</si>
  <si>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</si>
  <si>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</si>
  <si>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</si>
  <si>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</si>
  <si>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</si>
  <si>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</si>
  <si>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</si>
  <si>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</si>
  <si>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</si>
  <si>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</si>
  <si>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</si>
  <si>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</si>
  <si>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</si>
  <si>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</si>
  <si>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</si>
  <si>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</si>
  <si>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</si>
  <si>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</si>
  <si>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</si>
  <si>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</si>
  <si>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</si>
  <si>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</si>
  <si>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</si>
  <si>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</si>
  <si>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</si>
  <si>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</si>
  <si>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</si>
  <si>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</si>
  <si>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</si>
  <si>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</si>
  <si>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</si>
  <si>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</si>
  <si>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</si>
  <si>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</si>
  <si>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</si>
  <si>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</si>
  <si>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</si>
  <si>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</si>
  <si>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</si>
  <si>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</si>
  <si>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</si>
  <si>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</si>
  <si>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</si>
  <si>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</si>
  <si>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</si>
  <si>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</si>
  <si>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</si>
  <si>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</si>
  <si>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</si>
  <si>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</si>
  <si>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</si>
  <si>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</si>
  <si>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</si>
  <si>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</si>
  <si>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</si>
  <si>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</si>
  <si>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</si>
  <si>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</si>
  <si>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</si>
  <si>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</si>
  <si>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</si>
  <si>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</si>
  <si>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</si>
  <si>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</si>
  <si>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</si>
  <si>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</si>
  <si>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</si>
  <si>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</si>
  <si>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</si>
  <si>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</si>
  <si>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</si>
  <si>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</si>
  <si>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</si>
  <si>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</si>
  <si>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</si>
  <si>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</si>
  <si>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</si>
  <si>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</si>
  <si>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</si>
  <si>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</si>
  <si>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</si>
  <si>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</si>
  <si>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</si>
  <si>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</si>
  <si>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</si>
  <si>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</si>
  <si>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</si>
  <si>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</si>
  <si>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</si>
  <si>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</si>
  <si>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</si>
  <si>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</si>
  <si>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</si>
  <si>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</si>
  <si>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</si>
  <si>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</si>
  <si>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</si>
  <si>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</si>
  <si>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</si>
  <si>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</si>
  <si>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</si>
  <si>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</si>
  <si>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</si>
  <si>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</si>
  <si>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</si>
  <si>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</si>
  <si>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</si>
  <si>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</si>
  <si>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</si>
  <si>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</si>
  <si>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</si>
  <si>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</si>
  <si>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</si>
  <si>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</si>
  <si>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</si>
  <si>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</si>
  <si>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</si>
  <si>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</si>
  <si>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</si>
  <si>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</si>
  <si>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</si>
  <si>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</si>
  <si>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</si>
  <si>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</si>
  <si>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</si>
  <si>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</si>
  <si>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</si>
  <si>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</si>
  <si>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</si>
  <si>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</si>
  <si>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</si>
  <si>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</si>
  <si>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</si>
  <si>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</si>
  <si>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</si>
  <si>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</si>
  <si>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</si>
  <si>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</si>
  <si>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</si>
  <si>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</si>
  <si>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</si>
  <si>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</si>
  <si>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</si>
  <si>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</si>
  <si>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</si>
  <si>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</si>
  <si>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</si>
  <si>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</si>
  <si>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</si>
  <si>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</si>
  <si>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</si>
  <si>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</si>
  <si>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</si>
  <si>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</si>
  <si>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</si>
  <si>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</si>
  <si>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</si>
  <si>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</si>
  <si>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</si>
  <si>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</si>
  <si>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</si>
  <si>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</si>
  <si>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</si>
  <si>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</si>
  <si>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</si>
  <si>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</si>
  <si>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</si>
  <si>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</si>
  <si>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</si>
  <si>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</si>
  <si>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</si>
  <si>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</si>
  <si>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</si>
  <si>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</si>
  <si>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</si>
  <si>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</si>
  <si>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</si>
  <si>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</si>
  <si>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</si>
  <si>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</si>
  <si>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</si>
  <si>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</si>
  <si>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</si>
  <si>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</si>
  <si>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</si>
  <si>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</si>
  <si>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</si>
  <si>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</si>
  <si>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</si>
  <si>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</si>
  <si>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</si>
  <si>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</si>
  <si>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</si>
  <si>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</si>
  <si>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</si>
  <si>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</si>
  <si>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</si>
  <si>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</si>
  <si>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</si>
  <si>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</si>
  <si>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</si>
  <si>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</si>
  <si>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</si>
  <si>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</si>
  <si>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</si>
  <si>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</si>
  <si>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</si>
  <si>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</si>
  <si>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</si>
  <si>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</si>
  <si>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</si>
  <si>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</si>
  <si>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</si>
  <si>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</si>
  <si>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</si>
  <si>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</si>
  <si>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</si>
  <si>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</si>
  <si>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</si>
  <si>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</si>
  <si>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</si>
  <si>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</si>
  <si>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</si>
  <si>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</si>
  <si>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</si>
  <si>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</si>
  <si>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</si>
  <si>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</si>
  <si>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</si>
  <si>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</si>
  <si>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</si>
  <si>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</si>
  <si>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</si>
  <si>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</si>
  <si>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</si>
  <si>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</si>
  <si>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</si>
  <si>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</si>
  <si>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</si>
  <si>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</si>
  <si>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</si>
  <si>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</si>
  <si>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</si>
  <si>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</si>
  <si>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</si>
  <si>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</si>
  <si>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</si>
  <si>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</si>
  <si>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</si>
  <si>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</si>
  <si>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</si>
  <si>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</si>
  <si>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</si>
  <si>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</si>
  <si>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</si>
  <si>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</si>
  <si>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</si>
  <si>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</si>
  <si>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</si>
  <si>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</si>
  <si>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</si>
  <si>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</si>
  <si>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</si>
  <si>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</si>
  <si>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</si>
  <si>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</si>
  <si>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</si>
  <si>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</si>
  <si>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</si>
  <si>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</si>
  <si>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</si>
  <si>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</si>
  <si>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</si>
  <si>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</si>
  <si>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</si>
  <si>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</si>
  <si>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</si>
  <si>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</si>
  <si>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</si>
  <si>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</si>
  <si>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</si>
  <si>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</si>
  <si>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</si>
  <si>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</si>
  <si>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</si>
  <si>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</si>
  <si>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</si>
  <si>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</si>
  <si>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</si>
  <si>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</si>
  <si>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</si>
  <si>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</si>
  <si>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</si>
  <si>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</si>
  <si>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</si>
  <si>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</si>
  <si>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</si>
  <si>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</si>
  <si>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</si>
  <si>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</si>
  <si>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</si>
  <si>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</si>
  <si>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</si>
  <si>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</si>
  <si>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</si>
  <si>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</si>
  <si>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</si>
  <si>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</si>
  <si>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</si>
  <si>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</si>
  <si>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</si>
  <si>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</si>
  <si>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</si>
  <si>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</si>
  <si>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</si>
  <si>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</si>
  <si>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</si>
  <si>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</si>
  <si>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</si>
  <si>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</si>
  <si>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</si>
  <si>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</si>
  <si>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</si>
  <si>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</si>
  <si>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</si>
  <si>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</si>
  <si>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</si>
  <si>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</si>
  <si>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</si>
  <si>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</si>
  <si>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</si>
  <si>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</si>
  <si>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</si>
  <si>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</si>
  <si>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</si>
  <si>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</si>
  <si>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</si>
  <si>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</si>
  <si>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</si>
  <si>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</si>
  <si>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</si>
  <si>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</si>
  <si>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</si>
  <si>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</si>
  <si>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</si>
  <si>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</si>
  <si>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</si>
  <si>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</si>
  <si>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</si>
  <si>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</si>
  <si>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</si>
  <si>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</si>
  <si>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</si>
  <si>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</si>
  <si>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</si>
  <si>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</si>
  <si>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</si>
  <si>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</si>
  <si>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</si>
  <si>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</si>
  <si>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</si>
  <si>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</si>
  <si>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</si>
  <si>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</si>
  <si>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</si>
  <si>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</si>
  <si>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</si>
  <si>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</si>
  <si>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</si>
  <si>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</si>
  <si>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</si>
  <si>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</si>
  <si>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</si>
  <si>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</si>
  <si>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</si>
  <si>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</si>
  <si>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</si>
  <si>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</si>
  <si>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</si>
  <si>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</si>
  <si>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</si>
  <si>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</si>
  <si>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</si>
  <si>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</si>
  <si>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</si>
  <si>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</si>
  <si>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</si>
  <si>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</si>
  <si>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</si>
  <si>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</si>
  <si>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</si>
  <si>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</si>
  <si>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</si>
  <si>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</si>
  <si>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</si>
  <si>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</si>
  <si>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</si>
  <si>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</si>
  <si>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</si>
  <si>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</si>
  <si>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</si>
  <si>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</si>
  <si>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</si>
  <si>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</si>
  <si>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</si>
  <si>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</si>
  <si>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</si>
  <si>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</si>
  <si>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</si>
  <si>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</si>
  <si>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</si>
  <si>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</si>
  <si>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</si>
  <si>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</si>
  <si>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</si>
  <si>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</si>
  <si>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</si>
  <si>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</si>
  <si>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</si>
  <si>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</si>
  <si>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</si>
  <si>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</si>
  <si>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</si>
  <si>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</si>
  <si>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</si>
  <si>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</si>
  <si>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</si>
  <si>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</si>
  <si>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</si>
  <si>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</si>
  <si>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</si>
  <si>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</si>
  <si>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</si>
  <si>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</si>
  <si>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</si>
  <si>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</si>
  <si>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</si>
  <si>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</si>
  <si>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</si>
  <si>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</si>
  <si>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</si>
  <si>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</si>
  <si>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</si>
  <si>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</si>
  <si>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</si>
  <si>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</si>
  <si>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</si>
  <si>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</si>
  <si>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</si>
  <si>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</si>
  <si>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</si>
  <si>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</si>
  <si>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</si>
  <si>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</si>
  <si>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</si>
  <si>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</si>
  <si>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</si>
  <si>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</si>
  <si>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</si>
  <si>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</si>
  <si>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</si>
  <si>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</si>
  <si>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</si>
  <si>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</si>
  <si>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</si>
  <si>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</si>
  <si>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</si>
  <si>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</si>
  <si>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</si>
  <si>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</si>
  <si>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</si>
  <si>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</si>
  <si>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</si>
  <si>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</si>
  <si>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</si>
  <si>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</si>
  <si>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</si>
  <si>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</si>
  <si>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</si>
  <si>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</si>
  <si>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</si>
  <si>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</si>
  <si>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</si>
  <si>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</si>
  <si>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</si>
  <si>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</si>
  <si>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</si>
  <si>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</si>
  <si>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</si>
  <si>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</si>
  <si>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</si>
  <si>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</si>
  <si>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</si>
  <si>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</si>
  <si>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</si>
  <si>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</si>
  <si>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</si>
  <si>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</si>
  <si>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</si>
  <si>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</si>
  <si>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</si>
  <si>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</si>
  <si>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</si>
  <si>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</si>
  <si>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</si>
  <si>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</si>
  <si>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</si>
  <si>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</si>
  <si>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</si>
  <si>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</si>
  <si>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</si>
  <si>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</si>
  <si>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</si>
  <si>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</si>
  <si>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</si>
  <si>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</si>
  <si>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</si>
  <si>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</si>
  <si>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</si>
  <si>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</si>
  <si>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</si>
  <si>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</si>
  <si>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</si>
  <si>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</si>
  <si>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</si>
  <si>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</si>
  <si>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</si>
  <si>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</si>
  <si>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</si>
  <si>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</si>
  <si>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</si>
  <si>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</si>
  <si>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</si>
  <si>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</si>
  <si>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</si>
  <si>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</si>
  <si>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</si>
  <si>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</si>
  <si>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</si>
  <si>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</si>
  <si>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</si>
  <si>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</si>
  <si>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</si>
  <si>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</si>
  <si>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</si>
  <si>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</si>
  <si>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</si>
  <si>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</si>
  <si>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</si>
  <si>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</si>
  <si>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</si>
  <si>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</si>
  <si>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</si>
  <si>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</si>
  <si>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</si>
  <si>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</si>
  <si>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</si>
  <si>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</si>
  <si>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</si>
  <si>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</si>
  <si>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</si>
  <si>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</si>
  <si>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</si>
  <si>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</si>
  <si>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</si>
  <si>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</si>
  <si>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</si>
  <si>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</si>
  <si>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</si>
  <si>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</si>
  <si>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</si>
  <si>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</si>
  <si>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</si>
  <si>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</si>
  <si>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</si>
  <si>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</si>
  <si>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</si>
  <si>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</si>
  <si>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</si>
  <si>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</si>
  <si>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</si>
  <si>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</si>
  <si>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</si>
  <si>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</si>
  <si>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</si>
  <si>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</si>
  <si>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</si>
  <si>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</si>
  <si>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</si>
  <si>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</si>
  <si>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</si>
  <si>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</si>
  <si>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</si>
  <si>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</si>
  <si>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</si>
  <si>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</si>
  <si>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</si>
  <si>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</si>
  <si>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</si>
  <si>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</si>
  <si>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</si>
  <si>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</si>
  <si>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</si>
  <si>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</si>
  <si>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</si>
  <si>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</si>
  <si>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</si>
  <si>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</si>
  <si>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</si>
  <si>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</si>
  <si>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</si>
  <si>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</si>
  <si>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</si>
  <si>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</si>
  <si>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</si>
  <si>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</si>
  <si>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</si>
  <si>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</si>
  <si>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</si>
  <si>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</si>
  <si>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</si>
  <si>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</si>
  <si>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</si>
  <si>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</si>
  <si>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</si>
  <si>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</si>
  <si>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</si>
  <si>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</si>
  <si>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</si>
  <si>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</si>
  <si>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</si>
  <si>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</si>
  <si>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</si>
  <si>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</si>
  <si>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</si>
  <si>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</si>
  <si>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</si>
  <si>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</si>
  <si>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</si>
  <si>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</si>
  <si>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</si>
  <si>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</si>
  <si>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</si>
  <si>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</si>
  <si>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</si>
  <si>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</si>
  <si>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</si>
  <si>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</si>
  <si>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</si>
  <si>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</si>
  <si>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</si>
  <si>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</si>
  <si>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</si>
  <si>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</si>
  <si>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</si>
  <si>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</si>
  <si>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</si>
  <si>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</si>
  <si>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</si>
  <si>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</si>
  <si>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</si>
  <si>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</si>
  <si>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</si>
  <si>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</si>
  <si>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</si>
  <si>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</si>
  <si>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</si>
  <si>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</si>
  <si>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</si>
  <si>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</si>
  <si>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</si>
  <si>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</si>
  <si>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</si>
  <si>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</si>
  <si>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</si>
  <si>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</si>
  <si>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</si>
  <si>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</si>
  <si>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</si>
  <si>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</si>
  <si>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</si>
  <si>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</si>
  <si>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</si>
  <si>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</si>
  <si>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</si>
  <si>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</si>
  <si>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</si>
  <si>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</si>
  <si>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</si>
  <si>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</si>
  <si>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</si>
  <si>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</si>
  <si>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</si>
  <si>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</si>
  <si>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</si>
  <si>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</si>
  <si>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</si>
  <si>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</si>
  <si>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</si>
  <si>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</si>
  <si>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</si>
  <si>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</si>
  <si>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</si>
  <si>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</si>
  <si>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</si>
  <si>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</si>
  <si>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</si>
  <si>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</si>
  <si>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</si>
  <si>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</si>
  <si>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</si>
  <si>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</si>
  <si>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</si>
  <si>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</si>
  <si>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</si>
  <si>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</si>
  <si>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</si>
  <si>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</si>
  <si>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</si>
  <si>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</si>
  <si>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</si>
  <si>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</si>
  <si>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</si>
  <si>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</si>
  <si>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</si>
  <si>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</si>
  <si>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</si>
  <si>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</si>
  <si>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</si>
  <si>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</si>
  <si>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</si>
  <si>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</si>
  <si>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</si>
  <si>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</si>
  <si>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</si>
  <si>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</si>
  <si>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</si>
  <si>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</si>
  <si>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</si>
  <si>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</si>
  <si>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</si>
  <si>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</si>
  <si>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</si>
  <si>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</si>
  <si>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</si>
  <si>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</si>
  <si>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</si>
  <si>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</si>
  <si>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</si>
  <si>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</si>
  <si>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</si>
  <si>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</si>
  <si>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</si>
  <si>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</si>
  <si>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</si>
  <si>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</si>
  <si>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</si>
  <si>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</si>
  <si>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</si>
  <si>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</si>
  <si>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</si>
  <si>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</si>
  <si>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</si>
  <si>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</si>
  <si>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</si>
  <si>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</si>
  <si>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</si>
  <si>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</si>
  <si>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</si>
  <si>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</si>
  <si>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</si>
  <si>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</si>
  <si>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</si>
  <si>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</si>
  <si>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</si>
  <si>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</si>
  <si>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</si>
  <si>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</si>
  <si>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</si>
  <si>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</si>
  <si>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</si>
  <si>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</si>
  <si>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</si>
  <si>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</si>
  <si>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</si>
  <si>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</si>
  <si>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</si>
  <si>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</si>
  <si>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</si>
  <si>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</si>
  <si>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</si>
  <si>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</si>
  <si>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</si>
  <si>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</si>
  <si>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</si>
  <si>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</si>
  <si>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</si>
  <si>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</si>
  <si>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</si>
  <si>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</si>
  <si>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</si>
  <si>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</si>
  <si>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</si>
  <si>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</si>
  <si>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</si>
  <si>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</si>
  <si>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</si>
  <si>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</si>
  <si>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</si>
  <si>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</si>
  <si>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</si>
  <si>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</si>
  <si>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</si>
  <si>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</si>
  <si>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</si>
  <si>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</si>
  <si>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</si>
  <si>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</si>
  <si>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</si>
  <si>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</si>
  <si>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</si>
  <si>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</si>
  <si>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</si>
  <si>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</si>
  <si>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</si>
  <si>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</si>
  <si>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</si>
  <si>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</si>
  <si>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</si>
  <si>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</si>
  <si>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</si>
  <si>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</si>
  <si>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</si>
  <si>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</si>
  <si>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</si>
  <si>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</si>
  <si>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</si>
  <si>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</si>
  <si>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</si>
  <si>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</si>
  <si>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</si>
  <si>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</si>
  <si>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</si>
  <si>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</si>
  <si>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</si>
  <si>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</si>
  <si>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</si>
  <si>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</si>
  <si>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</si>
  <si>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</si>
  <si>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</si>
  <si>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</si>
  <si>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</si>
  <si>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</si>
  <si>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</si>
  <si>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</si>
  <si>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</si>
  <si>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</si>
  <si>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</si>
  <si>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</si>
  <si>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</si>
  <si>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</si>
  <si>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</si>
  <si>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</si>
  <si>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</si>
  <si>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</si>
  <si>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</si>
  <si>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</si>
  <si>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</si>
  <si>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</si>
  <si>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</si>
  <si>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</si>
  <si>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</si>
  <si>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</si>
  <si>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</si>
  <si>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</si>
  <si>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</si>
  <si>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</si>
  <si>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</si>
  <si>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</si>
  <si>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</si>
  <si>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</si>
  <si>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</si>
  <si>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</si>
  <si>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</si>
  <si>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</si>
  <si>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</si>
  <si>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</si>
  <si>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</si>
  <si>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</si>
  <si>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</si>
  <si>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</si>
  <si>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</si>
  <si>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</si>
  <si>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</si>
  <si>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</si>
  <si>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</si>
  <si>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</si>
  <si>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</si>
  <si>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</si>
  <si>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</si>
  <si>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</si>
  <si>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</si>
  <si>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</si>
  <si>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</si>
  <si>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</si>
  <si>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</si>
  <si>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</si>
  <si>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</si>
  <si>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</si>
  <si>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</si>
  <si>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</si>
  <si>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</si>
  <si>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</si>
  <si>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</si>
  <si>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</si>
  <si>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</si>
  <si>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</si>
  <si>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</si>
  <si>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</si>
  <si>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</si>
  <si>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</si>
  <si>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</si>
  <si>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</si>
  <si>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</si>
  <si>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</si>
  <si>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</si>
  <si>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</si>
  <si>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</si>
  <si>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</si>
  <si>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</si>
  <si>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</si>
  <si>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</si>
  <si>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</si>
  <si>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</si>
  <si>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</si>
  <si>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</si>
  <si>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</si>
  <si>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</si>
  <si>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</si>
  <si>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</si>
  <si>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</si>
  <si>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</si>
  <si>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</si>
  <si>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</si>
  <si>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</si>
  <si>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</si>
  <si>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</si>
  <si>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</si>
  <si>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</si>
  <si>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</si>
  <si>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</si>
  <si>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</si>
  <si>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</si>
  <si>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</si>
  <si>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</si>
  <si>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</si>
  <si>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</si>
  <si>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</si>
  <si>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</si>
  <si>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</si>
  <si>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</si>
  <si>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</si>
  <si>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</si>
  <si>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</si>
  <si>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</si>
  <si>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</si>
  <si>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</si>
  <si>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</si>
  <si>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</si>
  <si>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</si>
  <si>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</si>
  <si>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</si>
  <si>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</si>
  <si>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</si>
  <si>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</si>
  <si>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</si>
  <si>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</si>
  <si>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</si>
  <si>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</si>
  <si>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</si>
  <si>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</si>
  <si>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</si>
  <si>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</si>
  <si>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</si>
  <si>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</si>
  <si>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</si>
  <si>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</si>
  <si>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</si>
  <si>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</si>
  <si>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</si>
  <si>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</si>
  <si>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</si>
  <si>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</si>
  <si>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</si>
  <si>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</si>
  <si>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</si>
  <si>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</si>
  <si>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</si>
  <si>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</si>
  <si>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</si>
  <si>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</si>
  <si>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</si>
  <si>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</si>
  <si>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</si>
  <si>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</si>
  <si>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</si>
  <si>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</si>
  <si>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</si>
  <si>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</si>
  <si>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</si>
  <si>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</si>
  <si>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</si>
  <si>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</si>
  <si>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</si>
  <si>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</si>
  <si>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</si>
  <si>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</si>
  <si>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</si>
  <si>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</si>
  <si>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</si>
  <si>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</si>
  <si>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</si>
  <si>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</si>
  <si>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</si>
  <si>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</si>
  <si>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</si>
  <si>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</si>
  <si>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</si>
  <si>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</si>
  <si>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</si>
  <si>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</si>
  <si>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</si>
  <si>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</si>
  <si>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</si>
  <si>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</si>
  <si>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</si>
  <si>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</si>
  <si>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</si>
  <si>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</si>
  <si>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</si>
  <si>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</si>
  <si>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</si>
  <si>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</si>
  <si>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</si>
  <si>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</si>
  <si>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</si>
  <si>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</si>
  <si>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</si>
  <si>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</si>
  <si>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</si>
  <si>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</si>
  <si>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</si>
  <si>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</si>
  <si>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</si>
  <si>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</si>
  <si>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</si>
  <si>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</si>
  <si>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</si>
  <si>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</si>
  <si>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</si>
  <si>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</si>
  <si>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</si>
  <si>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</si>
  <si>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</si>
  <si>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</si>
  <si>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</si>
  <si>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</si>
  <si>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</si>
  <si>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</si>
  <si>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</si>
  <si>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</si>
  <si>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</si>
  <si>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</si>
  <si>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</si>
  <si>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</si>
  <si>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</si>
  <si>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</si>
  <si>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</si>
  <si>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</si>
  <si>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</si>
  <si>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</si>
  <si>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</si>
  <si>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</si>
  <si>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</si>
  <si>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</si>
  <si>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</si>
  <si>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</si>
  <si>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</si>
  <si>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</si>
  <si>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</si>
  <si>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</si>
  <si>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</si>
  <si>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</si>
  <si>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</si>
  <si>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</si>
  <si>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</si>
  <si>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</si>
  <si>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</si>
  <si>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</si>
  <si>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</si>
  <si>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</si>
  <si>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</si>
  <si>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</si>
  <si>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</si>
  <si>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</si>
  <si>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</si>
  <si>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</si>
  <si>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</si>
  <si>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</si>
  <si>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</si>
  <si>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</si>
  <si>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</si>
  <si>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</si>
  <si>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</si>
  <si>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</si>
  <si>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</si>
  <si>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</si>
  <si>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</si>
  <si>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</si>
  <si>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</si>
  <si>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</si>
  <si>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</si>
  <si>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</si>
  <si>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</si>
  <si>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</si>
  <si>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</si>
  <si>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</si>
  <si>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</si>
  <si>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</si>
  <si>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</si>
  <si>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</si>
  <si>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</si>
  <si>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</si>
  <si>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</si>
  <si>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</si>
  <si>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</si>
  <si>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</si>
  <si>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</si>
  <si>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</si>
  <si>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</si>
  <si>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</si>
  <si>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</si>
  <si>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</si>
  <si>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</si>
  <si>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</si>
  <si>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</si>
  <si>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</si>
  <si>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</si>
  <si>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</si>
  <si>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</si>
  <si>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</si>
  <si>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</si>
  <si>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</si>
  <si>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</si>
  <si>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</si>
  <si>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</si>
  <si>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</si>
  <si>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</si>
  <si>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</si>
  <si>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</si>
  <si>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</si>
  <si>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</si>
  <si>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</si>
  <si>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</si>
  <si>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</si>
  <si>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</si>
  <si>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</si>
  <si>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</si>
  <si>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</si>
  <si>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</si>
  <si>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</si>
  <si>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</si>
  <si>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</si>
  <si>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</si>
  <si>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</si>
  <si>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</si>
  <si>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</si>
  <si>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</si>
  <si>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</si>
  <si>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</si>
  <si>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</si>
  <si>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</si>
  <si>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</si>
  <si>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</si>
  <si>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</si>
  <si>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</si>
  <si>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</si>
  <si>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</si>
  <si>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</si>
  <si>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</si>
  <si>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</si>
  <si>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</si>
  <si>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</si>
  <si>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</si>
  <si>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</si>
  <si>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</si>
  <si>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</si>
  <si>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</si>
  <si>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</si>
  <si>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</si>
  <si>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</si>
  <si>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</si>
  <si>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</si>
  <si>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</si>
  <si>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</si>
  <si>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</si>
  <si>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</si>
  <si>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</si>
  <si>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</si>
  <si>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</si>
  <si>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</si>
  <si>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</si>
  <si>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</si>
  <si>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</si>
  <si>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</si>
  <si>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</si>
  <si>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</si>
  <si>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</si>
  <si>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</si>
  <si>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</si>
  <si>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</si>
  <si>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</si>
  <si>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</si>
  <si>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</si>
  <si>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</si>
  <si>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</si>
  <si>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</si>
  <si>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</si>
  <si>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</si>
  <si>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</si>
  <si>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</si>
  <si>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</si>
  <si>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</si>
  <si>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</si>
  <si>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</si>
  <si>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</si>
  <si>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</si>
  <si>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</si>
  <si>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</si>
  <si>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</si>
  <si>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</si>
  <si>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</si>
  <si>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</si>
  <si>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</si>
  <si>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</si>
  <si>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</si>
  <si>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</si>
  <si>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</si>
  <si>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</si>
  <si>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</si>
  <si>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</si>
  <si>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</si>
  <si>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</si>
  <si>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</si>
  <si>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</si>
  <si>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</si>
  <si>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</si>
  <si>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</si>
  <si>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</si>
  <si>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</si>
  <si>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</si>
  <si>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</si>
  <si>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</si>
  <si>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</si>
  <si>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</si>
  <si>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</si>
  <si>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</si>
  <si>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</si>
  <si>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</si>
  <si>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</si>
  <si>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</si>
  <si>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</si>
  <si>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</si>
  <si>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</si>
  <si>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</si>
  <si>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</si>
  <si>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</si>
  <si>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</si>
  <si>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</si>
  <si>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</si>
  <si>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</si>
  <si>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</si>
  <si>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</si>
  <si>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</si>
  <si>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</si>
  <si>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</si>
  <si>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</si>
  <si>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</si>
  <si>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</si>
  <si>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</si>
  <si>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</si>
  <si>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</si>
  <si>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</si>
  <si>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</si>
  <si>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</si>
  <si>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</si>
  <si>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</si>
  <si>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</si>
  <si>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</si>
  <si>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</si>
  <si>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</si>
  <si>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</si>
  <si>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</si>
  <si>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</si>
  <si>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</si>
  <si>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</si>
  <si>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</si>
  <si>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</si>
  <si>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</si>
  <si>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</si>
  <si>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</si>
  <si>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</si>
  <si>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</si>
  <si>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</si>
  <si>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</si>
  <si>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</si>
  <si>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</si>
  <si>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</si>
  <si>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</si>
  <si>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</si>
  <si>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</si>
  <si>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</si>
  <si>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</si>
  <si>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</si>
  <si>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</si>
  <si>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</si>
  <si>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</si>
  <si>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</si>
  <si>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</si>
  <si>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</si>
  <si>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</si>
  <si>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</si>
  <si>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</si>
  <si>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</si>
  <si>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</si>
  <si>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</si>
  <si>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</si>
  <si>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</si>
  <si>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</si>
  <si>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</si>
  <si>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</si>
  <si>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</si>
  <si>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</si>
  <si>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</si>
  <si>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</si>
  <si>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</si>
  <si>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</si>
  <si>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</si>
  <si>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</si>
  <si>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</si>
  <si>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</si>
  <si>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</si>
  <si>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</si>
  <si>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</si>
  <si>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</si>
  <si>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</si>
  <si>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</si>
  <si>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</si>
  <si>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</si>
  <si>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</si>
  <si>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</si>
  <si>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</si>
  <si>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</si>
  <si>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</si>
  <si>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</si>
  <si>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</si>
  <si>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</si>
  <si>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</si>
  <si>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</si>
  <si>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</si>
  <si>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</si>
  <si>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</si>
  <si>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</si>
  <si>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</si>
  <si>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</si>
  <si>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</si>
  <si>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</si>
  <si>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</si>
  <si>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</si>
  <si>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</si>
  <si>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</si>
  <si>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</si>
  <si>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</si>
  <si>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</si>
  <si>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</si>
  <si>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</si>
  <si>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</si>
  <si>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</si>
  <si>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</si>
  <si>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</si>
  <si>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</si>
  <si>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</si>
  <si>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</si>
  <si>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</si>
  <si>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</si>
  <si>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</si>
  <si>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</si>
  <si>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</si>
  <si>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</si>
  <si>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</si>
  <si>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</si>
  <si>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</si>
  <si>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</si>
  <si>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</si>
  <si>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</si>
  <si>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</si>
  <si>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</si>
  <si>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</si>
  <si>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</si>
  <si>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</si>
  <si>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</si>
  <si>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</si>
  <si>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</si>
  <si>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</si>
  <si>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</si>
  <si>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</si>
  <si>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</si>
  <si>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</si>
  <si>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</si>
  <si>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</si>
  <si>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</si>
  <si>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</si>
  <si>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</si>
  <si>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</si>
  <si>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</si>
  <si>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</si>
  <si>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</si>
  <si>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</si>
  <si>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</si>
  <si>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</si>
  <si>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</si>
  <si>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</si>
  <si>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</si>
  <si>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</si>
  <si>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</si>
  <si>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</si>
  <si>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</si>
  <si>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</si>
  <si>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</si>
  <si>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</si>
  <si>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</si>
  <si>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</si>
  <si>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</si>
  <si>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</si>
  <si>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</si>
  <si>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</si>
  <si>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</si>
  <si>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</si>
  <si>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</si>
  <si>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</si>
  <si>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</si>
  <si>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</si>
  <si>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</si>
  <si>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</si>
  <si>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</si>
  <si>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</si>
  <si>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</si>
  <si>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</si>
  <si>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</si>
  <si>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</si>
  <si>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</si>
  <si>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</si>
  <si>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</si>
  <si>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</si>
  <si>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</si>
  <si>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</si>
  <si>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</si>
  <si>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</si>
  <si>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</si>
  <si>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</si>
  <si>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</si>
  <si>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</si>
  <si>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</si>
  <si>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</si>
  <si>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</si>
  <si>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</si>
  <si>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</si>
  <si>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</si>
  <si>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</si>
  <si>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</si>
  <si>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</si>
  <si>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</si>
  <si>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</si>
  <si>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</si>
  <si>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</si>
  <si>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</si>
  <si>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</si>
  <si>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</si>
  <si>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</si>
  <si>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</si>
  <si>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</si>
  <si>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</si>
  <si>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</si>
  <si>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</si>
  <si>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</si>
  <si>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</si>
  <si>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</si>
  <si>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</si>
  <si>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</si>
  <si>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</si>
  <si>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</si>
  <si>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</si>
  <si>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</si>
  <si>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</si>
  <si>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</si>
  <si>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</si>
  <si>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</si>
  <si>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</si>
  <si>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</si>
  <si>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</si>
  <si>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</si>
  <si>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</si>
  <si>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</si>
  <si>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</si>
  <si>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</si>
  <si>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</si>
  <si>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</si>
  <si>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</si>
  <si>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</si>
  <si>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</si>
  <si>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</si>
  <si>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</si>
  <si>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</si>
  <si>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</si>
  <si>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</si>
  <si>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</si>
  <si>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</si>
  <si>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</si>
  <si>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</si>
  <si>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</si>
  <si>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</si>
  <si>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</si>
  <si>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</si>
  <si>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</si>
  <si>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</si>
  <si>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</si>
  <si>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</si>
  <si>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</si>
  <si>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</si>
  <si>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</si>
  <si>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</si>
  <si>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</si>
  <si>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</si>
  <si>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</si>
  <si>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</si>
  <si>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</si>
  <si>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</si>
  <si>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</si>
  <si>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</si>
  <si>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</si>
  <si>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</si>
  <si>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</si>
  <si>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</si>
  <si>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</si>
  <si>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</si>
  <si>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</si>
  <si>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</si>
  <si>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</si>
  <si>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</si>
  <si>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</si>
  <si>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</si>
  <si>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</si>
  <si>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</si>
  <si>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</si>
  <si>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</si>
  <si>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</si>
  <si>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</si>
  <si>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</si>
  <si>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</si>
  <si>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</si>
  <si>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</si>
  <si>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</si>
  <si>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</si>
  <si>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</si>
  <si>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</si>
  <si>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</si>
  <si>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</si>
  <si>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</si>
  <si>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</si>
  <si>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</si>
  <si>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</si>
  <si>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</si>
  <si>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</si>
  <si>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</si>
  <si>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</si>
  <si>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</si>
  <si>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</si>
  <si>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</si>
  <si>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</si>
  <si>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</si>
  <si>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</si>
  <si>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</si>
  <si>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</si>
  <si>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</si>
  <si>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</si>
  <si>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</si>
  <si>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</si>
  <si>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</si>
  <si>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</si>
  <si>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</si>
  <si>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</si>
  <si>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</si>
  <si>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</si>
  <si>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</si>
  <si>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</si>
  <si>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</si>
  <si>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</si>
  <si>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</si>
  <si>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</si>
  <si>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</si>
  <si>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</si>
  <si>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</si>
  <si>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</si>
  <si>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</si>
  <si>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</si>
  <si>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</si>
  <si>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</si>
  <si>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</si>
  <si>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</si>
  <si>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</si>
  <si>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</si>
  <si>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</si>
  <si>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</si>
  <si>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</si>
  <si>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</si>
  <si>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</si>
  <si>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</si>
  <si>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</si>
  <si>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</si>
  <si>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</si>
  <si>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</si>
  <si>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</si>
  <si>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</si>
  <si>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</si>
  <si>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</si>
  <si>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</si>
  <si>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</si>
  <si>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</si>
  <si>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</si>
  <si>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</si>
  <si>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</si>
  <si>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</si>
  <si>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</si>
  <si>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</si>
  <si>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</si>
  <si>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</si>
  <si>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</si>
  <si>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</si>
  <si>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</si>
  <si>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</si>
  <si>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</si>
  <si>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</si>
  <si>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</si>
  <si>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</si>
  <si>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</si>
  <si>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</si>
  <si>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</si>
  <si>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</si>
  <si>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</si>
  <si>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</si>
  <si>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</si>
  <si>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</si>
  <si>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</si>
  <si>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</si>
  <si>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</si>
  <si>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</si>
  <si>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</si>
  <si>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</si>
  <si>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</si>
  <si>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</si>
  <si>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</si>
  <si>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</si>
  <si>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</si>
  <si>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</si>
  <si>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</si>
  <si>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</si>
  <si>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</si>
  <si>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</si>
  <si>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</si>
  <si>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</si>
  <si>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</si>
  <si>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</si>
  <si>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</si>
  <si>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</si>
  <si>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</si>
  <si>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</si>
  <si>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</si>
  <si>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</si>
  <si>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</si>
  <si>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</si>
  <si>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</si>
  <si>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</si>
  <si>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</si>
  <si>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</si>
  <si>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</si>
  <si>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</si>
  <si>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</si>
  <si>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</si>
  <si>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</si>
  <si>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</si>
  <si>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</si>
  <si>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</si>
  <si>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</si>
  <si>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</si>
  <si>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</si>
  <si>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</si>
  <si>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</si>
  <si>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</si>
  <si>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</si>
  <si>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</si>
  <si>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</si>
  <si>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</si>
  <si>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</si>
  <si>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</si>
  <si>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</si>
  <si>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</si>
  <si>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</si>
  <si>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</si>
  <si>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</si>
  <si>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</si>
  <si>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</si>
  <si>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</si>
  <si>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</si>
  <si>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</si>
  <si>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</si>
  <si>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</si>
  <si>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</si>
  <si>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</si>
  <si>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</si>
  <si>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</si>
  <si>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</si>
  <si>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</si>
  <si>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</si>
  <si>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</si>
  <si>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</si>
  <si>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</si>
  <si>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</si>
  <si>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</si>
  <si>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</si>
  <si>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</si>
  <si>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</si>
  <si>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</si>
  <si>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</si>
  <si>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</si>
  <si>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</si>
  <si>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</si>
  <si>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</si>
  <si>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</si>
  <si>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</si>
  <si>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</si>
  <si>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</si>
  <si>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</si>
  <si>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</si>
  <si>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</si>
  <si>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</si>
  <si>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</si>
  <si>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</si>
  <si>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</si>
  <si>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</si>
  <si>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</si>
  <si>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</si>
  <si>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</si>
  <si>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</si>
  <si>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</si>
  <si>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</si>
  <si>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</si>
  <si>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</si>
  <si>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</si>
  <si>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</si>
  <si>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</si>
  <si>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</si>
  <si>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</si>
  <si>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</si>
  <si>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</si>
  <si>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</si>
  <si>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</si>
  <si>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</si>
  <si>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</si>
  <si>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</si>
  <si>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</si>
  <si>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</si>
  <si>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</si>
  <si>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</si>
  <si>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</si>
  <si>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</si>
  <si>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</si>
  <si>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</si>
  <si>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</si>
  <si>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</si>
  <si>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</si>
  <si>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</si>
  <si>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</si>
  <si>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</si>
  <si>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</si>
  <si>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</si>
  <si>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</si>
  <si>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</si>
  <si>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</si>
  <si>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</si>
  <si>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</si>
  <si>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</si>
  <si>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</si>
  <si>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</si>
  <si>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</si>
  <si>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</si>
  <si>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</si>
  <si>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</si>
  <si>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</si>
  <si>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</si>
  <si>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</si>
  <si>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</si>
  <si>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</si>
  <si>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</si>
  <si>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</si>
  <si>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</si>
  <si>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</si>
  <si>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</si>
  <si>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</si>
  <si>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</si>
  <si>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</si>
  <si>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</si>
  <si>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</si>
  <si>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</si>
  <si>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</si>
  <si>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</si>
  <si>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</si>
  <si>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</si>
  <si>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</si>
  <si>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</si>
  <si>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</si>
  <si>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</si>
  <si>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</si>
  <si>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</si>
  <si>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</si>
  <si>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</si>
  <si>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</si>
  <si>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</si>
  <si>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</si>
  <si>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</si>
  <si>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</si>
  <si>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</si>
  <si>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</si>
  <si>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</si>
  <si>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</si>
  <si>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</si>
  <si>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</si>
  <si>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</si>
  <si>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</si>
  <si>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</si>
  <si>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</si>
  <si>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</si>
  <si>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</si>
  <si>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</si>
  <si>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</si>
  <si>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</si>
  <si>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</si>
  <si>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</si>
  <si>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</si>
  <si>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</si>
  <si>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</si>
  <si>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</si>
  <si>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</si>
  <si>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</si>
  <si>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</si>
  <si>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</si>
  <si>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</si>
  <si>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</si>
  <si>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</si>
  <si>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</si>
  <si>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</si>
  <si>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</si>
  <si>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</si>
  <si>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</si>
  <si>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</si>
  <si>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</si>
  <si>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</si>
  <si>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</si>
  <si>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</si>
  <si>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</si>
  <si>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</si>
  <si>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</si>
  <si>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</si>
  <si>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</si>
  <si>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</si>
  <si>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</si>
  <si>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</si>
  <si>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</si>
  <si>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</si>
  <si>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</si>
  <si>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</si>
  <si>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</si>
  <si>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</si>
  <si>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</si>
  <si>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</si>
  <si>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</si>
  <si>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</si>
  <si>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</si>
  <si>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</si>
  <si>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</si>
  <si>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</si>
  <si>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</si>
  <si>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</si>
  <si>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</si>
  <si>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</si>
  <si>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</si>
  <si>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</si>
  <si>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</si>
  <si>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</si>
  <si>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</si>
  <si>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</si>
  <si>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</si>
  <si>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</si>
  <si>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</si>
  <si>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</si>
  <si>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</si>
  <si>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</si>
  <si>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</si>
  <si>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</si>
  <si>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</si>
  <si>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</si>
  <si>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</si>
  <si>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</si>
  <si>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</si>
  <si>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</si>
  <si>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</si>
  <si>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</si>
  <si>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</si>
  <si>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</si>
  <si>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</si>
  <si>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</si>
  <si>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</si>
  <si>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</si>
  <si>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</si>
  <si>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</si>
  <si>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</si>
  <si>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</si>
  <si>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</si>
  <si>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</si>
  <si>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</si>
  <si>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</si>
  <si>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</si>
  <si>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</si>
  <si>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</si>
  <si>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</si>
  <si>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</si>
  <si>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</si>
  <si>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</si>
  <si>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</si>
  <si>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</si>
  <si>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</si>
  <si>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</si>
  <si>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</si>
  <si>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</si>
  <si>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</si>
  <si>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</si>
  <si>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</si>
  <si>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</si>
  <si>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</si>
  <si>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</si>
  <si>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</si>
  <si>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</si>
  <si>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</si>
  <si>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</si>
  <si>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</si>
  <si>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</si>
  <si>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</si>
  <si>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</si>
  <si>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</si>
  <si>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</si>
  <si>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</si>
  <si>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</si>
  <si>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</si>
  <si>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</si>
  <si>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</si>
  <si>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</si>
  <si>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</si>
  <si>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</si>
  <si>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</si>
  <si>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</si>
  <si>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</si>
  <si>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</si>
  <si>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</si>
  <si>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</si>
  <si>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</si>
  <si>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</si>
  <si>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</si>
  <si>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</si>
  <si>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</si>
  <si>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</si>
  <si>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</si>
  <si>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</si>
  <si>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</si>
  <si>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</si>
  <si>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</si>
  <si>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</si>
  <si>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</si>
  <si>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</si>
  <si>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</si>
  <si>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</si>
  <si>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</si>
  <si>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</si>
  <si>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</si>
  <si>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</si>
  <si>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</si>
  <si>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</si>
  <si>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</si>
  <si>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</si>
  <si>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</si>
  <si>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</si>
  <si>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</si>
  <si>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</si>
  <si>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</si>
  <si>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</si>
  <si>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</si>
  <si>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</si>
  <si>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</si>
  <si>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</si>
  <si>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</si>
  <si>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</si>
  <si>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</si>
  <si>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</si>
  <si>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</si>
  <si>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</si>
  <si>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</si>
  <si>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</si>
  <si>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</si>
  <si>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</si>
  <si>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</si>
  <si>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</si>
  <si>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</si>
  <si>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</si>
  <si>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</si>
  <si>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</si>
  <si>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</si>
  <si>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</si>
  <si>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</si>
  <si>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</si>
  <si>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</si>
  <si>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</si>
  <si>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</si>
  <si>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</si>
  <si>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</si>
  <si>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</si>
  <si>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</si>
  <si>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</si>
  <si>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</si>
  <si>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</si>
  <si>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</si>
  <si>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</si>
  <si>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</si>
  <si>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</si>
  <si>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</si>
  <si>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</si>
  <si>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</si>
  <si>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</si>
  <si>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</si>
  <si>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</si>
  <si>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</si>
  <si>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</si>
  <si>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</si>
  <si>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</si>
  <si>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</si>
  <si>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</si>
  <si>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</si>
  <si>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</si>
  <si>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</si>
  <si>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</si>
  <si>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</si>
  <si>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</si>
  <si>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</si>
  <si>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</si>
  <si>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</si>
  <si>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</si>
  <si>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</si>
  <si>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</si>
  <si>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</si>
  <si>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</si>
  <si>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</si>
  <si>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</si>
  <si>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</si>
  <si>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</si>
  <si>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</si>
  <si>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</si>
  <si>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</si>
  <si>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</si>
  <si>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</si>
  <si>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</si>
  <si>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</si>
  <si>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</si>
  <si>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</si>
  <si>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</si>
  <si>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</si>
  <si>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</si>
  <si>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</si>
  <si>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</si>
  <si>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</si>
  <si>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</si>
  <si>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</si>
  <si>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</si>
  <si>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</si>
  <si>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</si>
  <si>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</si>
  <si>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</si>
  <si>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</si>
  <si>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</si>
  <si>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</si>
  <si>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</si>
  <si>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</si>
  <si>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</si>
  <si>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</si>
  <si>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</si>
  <si>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</si>
  <si>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</si>
  <si>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</si>
  <si>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</si>
  <si>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</si>
  <si>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</si>
  <si>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</si>
  <si>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</si>
  <si>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</si>
  <si>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</si>
  <si>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</si>
  <si>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</si>
  <si>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</si>
  <si>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</si>
  <si>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</si>
  <si>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</si>
  <si>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</si>
  <si>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</si>
  <si>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</si>
  <si>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</si>
  <si>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</si>
  <si>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</si>
  <si>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</si>
  <si>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</si>
  <si>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</si>
  <si>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</si>
  <si>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</si>
  <si>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</si>
  <si>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</si>
  <si>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</si>
  <si>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</si>
  <si>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</si>
  <si>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</si>
  <si>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</si>
  <si>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</si>
  <si>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</si>
  <si>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</si>
  <si>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</si>
  <si>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</si>
  <si>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</si>
  <si>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</si>
  <si>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</si>
  <si>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</si>
  <si>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</si>
  <si>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</si>
  <si>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</si>
  <si>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</si>
  <si>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</si>
  <si>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</si>
  <si>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</si>
  <si>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</si>
  <si>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</si>
  <si>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</si>
  <si>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</si>
  <si>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</si>
  <si>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</si>
  <si>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</si>
  <si>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</si>
  <si>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</si>
  <si>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</si>
  <si>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</si>
  <si>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</si>
  <si>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</si>
  <si>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</si>
  <si>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</si>
  <si>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</si>
  <si>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</si>
  <si>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</si>
  <si>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</si>
  <si>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</si>
  <si>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</si>
  <si>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</si>
  <si>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</si>
  <si>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</si>
  <si>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</si>
  <si>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</si>
  <si>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</si>
  <si>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</si>
  <si>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</si>
  <si>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</si>
  <si>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</si>
  <si>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</si>
  <si>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</si>
  <si>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</si>
  <si>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</si>
  <si>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</si>
  <si>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</si>
  <si>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</si>
  <si>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</si>
  <si>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</si>
  <si>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</si>
  <si>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</si>
  <si>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</si>
  <si>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</si>
  <si>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</si>
  <si>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</si>
  <si>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</si>
  <si>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</si>
  <si>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</si>
  <si>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</si>
  <si>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</si>
  <si>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</si>
  <si>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</si>
  <si>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</si>
  <si>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</si>
  <si>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</si>
  <si>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</si>
  <si>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</si>
  <si>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</si>
  <si>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</si>
  <si>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</si>
  <si>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</si>
  <si>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</si>
  <si>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</si>
  <si>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</si>
  <si>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</si>
  <si>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</si>
  <si>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</si>
  <si>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</si>
  <si>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</si>
  <si>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</si>
  <si>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</si>
  <si>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</si>
  <si>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</si>
  <si>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</si>
  <si>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</si>
  <si>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</si>
  <si>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</si>
  <si>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</si>
  <si>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</si>
  <si>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</si>
  <si>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</si>
  <si>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</si>
  <si>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</si>
  <si>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</si>
  <si>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</si>
  <si>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</si>
  <si>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</si>
  <si>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</si>
  <si>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</si>
  <si>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</si>
  <si>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</si>
  <si>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</si>
  <si>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</si>
  <si>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</si>
  <si>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</si>
  <si>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</si>
  <si>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</si>
  <si>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</si>
  <si>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</si>
  <si>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</si>
  <si>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</si>
  <si>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</si>
  <si>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</si>
  <si>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</si>
  <si>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</si>
  <si>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</si>
  <si>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</si>
  <si>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</si>
  <si>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</si>
  <si>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</si>
  <si>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</si>
  <si>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</si>
  <si>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</si>
  <si>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</si>
  <si>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</si>
  <si>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</si>
  <si>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</si>
  <si>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</si>
  <si>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</si>
  <si>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</si>
  <si>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</si>
  <si>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</si>
  <si>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</si>
  <si>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</si>
  <si>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</si>
  <si>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</si>
  <si>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</si>
  <si>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</si>
  <si>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</si>
  <si>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</si>
  <si>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</si>
  <si>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</si>
  <si>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</si>
  <si>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</si>
  <si>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</si>
  <si>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</si>
  <si>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</si>
  <si>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</si>
  <si>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</si>
  <si>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</si>
  <si>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</si>
  <si>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</si>
  <si>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</si>
  <si>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</si>
  <si>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</si>
  <si>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</si>
  <si>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</si>
  <si>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</si>
  <si>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</si>
  <si>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</si>
  <si>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</si>
  <si>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</si>
  <si>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</si>
  <si>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</si>
  <si>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</si>
  <si>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</si>
  <si>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</si>
  <si>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</si>
  <si>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</si>
  <si>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</si>
  <si>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</si>
  <si>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</si>
  <si>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</si>
  <si>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</si>
  <si>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</si>
  <si>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</si>
  <si>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</si>
  <si>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</si>
  <si>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</si>
  <si>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</si>
  <si>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</si>
  <si>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</si>
  <si>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</si>
  <si>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</si>
  <si>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</si>
  <si>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</si>
  <si>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</si>
  <si>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</si>
  <si>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</si>
  <si>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</si>
  <si>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</si>
  <si>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</si>
  <si>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</si>
  <si>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</si>
  <si>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</si>
  <si>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</si>
  <si>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</si>
  <si>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</si>
  <si>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</si>
  <si>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</si>
  <si>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</si>
  <si>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</si>
  <si>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</si>
  <si>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</si>
  <si>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</si>
  <si>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</si>
  <si>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</si>
  <si>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</si>
  <si>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</si>
  <si>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</si>
  <si>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</si>
  <si>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</si>
  <si>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</si>
  <si>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</si>
  <si>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</si>
  <si>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</si>
  <si>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</si>
  <si>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</si>
  <si>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</si>
  <si>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</si>
  <si>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</si>
  <si>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</si>
  <si>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</si>
  <si>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</si>
  <si>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</si>
  <si>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</si>
  <si>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</si>
  <si>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</si>
  <si>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</si>
  <si>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</si>
  <si>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</si>
  <si>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</si>
  <si>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</si>
  <si>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</si>
  <si>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</si>
  <si>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</si>
  <si>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</si>
  <si>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</si>
  <si>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</si>
  <si>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</si>
  <si>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</si>
  <si>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</si>
  <si>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</si>
  <si>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</si>
  <si>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</si>
  <si>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</si>
  <si>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</si>
  <si>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</si>
  <si>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</si>
  <si>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</si>
  <si>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</si>
  <si>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</si>
  <si>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</si>
  <si>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</si>
  <si>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</si>
  <si>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</si>
  <si>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</si>
  <si>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</si>
  <si>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</si>
  <si>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</si>
  <si>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</si>
  <si>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</si>
  <si>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</si>
  <si>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</si>
  <si>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</si>
  <si>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</si>
  <si>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</si>
  <si>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</si>
  <si>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</si>
  <si>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</si>
  <si>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</si>
  <si>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</si>
  <si>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</si>
  <si>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</si>
  <si>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</si>
  <si>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</si>
  <si>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</si>
  <si>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</si>
  <si>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</si>
  <si>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</si>
  <si>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</si>
  <si>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</si>
  <si>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</si>
  <si>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</si>
  <si>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</si>
  <si>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</si>
  <si>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</si>
  <si>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</si>
  <si>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</si>
  <si>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</si>
  <si>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</si>
  <si>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</si>
  <si>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</si>
  <si>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</si>
  <si>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</si>
  <si>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</si>
  <si>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</si>
  <si>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</si>
  <si>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</si>
  <si>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</si>
  <si>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</si>
  <si>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</si>
  <si>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</si>
  <si>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</si>
  <si>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</si>
  <si>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</si>
  <si>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</si>
  <si>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</si>
  <si>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</si>
  <si>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</si>
  <si>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</si>
  <si>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</si>
  <si>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</si>
  <si>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</si>
  <si>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</si>
  <si>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</si>
  <si>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</si>
  <si>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</si>
  <si>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</si>
  <si>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</si>
  <si>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</si>
  <si>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</si>
  <si>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</si>
  <si>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</si>
  <si>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</si>
  <si>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</si>
  <si>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</si>
  <si>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</si>
  <si>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</si>
  <si>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</si>
  <si>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</si>
  <si>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</si>
  <si>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</si>
  <si>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</si>
  <si>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</si>
  <si>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</si>
  <si>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</si>
  <si>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</si>
  <si>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</si>
  <si>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</si>
  <si>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</si>
  <si>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</si>
  <si>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</si>
  <si>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</si>
  <si>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</si>
  <si>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</si>
  <si>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</si>
  <si>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</si>
  <si>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</si>
  <si>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</si>
  <si>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</si>
  <si>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</si>
  <si>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</si>
  <si>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</si>
  <si>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</si>
  <si>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</si>
  <si>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</si>
  <si>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</si>
  <si>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</si>
  <si>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</si>
  <si>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</si>
  <si>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</si>
  <si>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</si>
  <si>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</si>
  <si>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</si>
  <si>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</si>
  <si>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</si>
  <si>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</si>
  <si>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</si>
  <si>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</si>
  <si>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</si>
  <si>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</si>
  <si>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</si>
  <si>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</si>
  <si>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</si>
  <si>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</si>
  <si>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</si>
  <si>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</si>
  <si>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</si>
  <si>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</si>
  <si>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</si>
  <si>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</si>
  <si>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</si>
  <si>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</si>
  <si>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</si>
  <si>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</si>
  <si>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</si>
  <si>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</si>
  <si>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</si>
  <si>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</si>
  <si>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</si>
  <si>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</si>
  <si>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</si>
  <si>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</si>
  <si>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</si>
  <si>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</si>
  <si>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</si>
  <si>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</si>
  <si>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</si>
  <si>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</si>
  <si>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</si>
  <si>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</si>
  <si>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</si>
  <si>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</si>
  <si>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</si>
  <si>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</si>
  <si>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</si>
  <si>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</si>
  <si>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</si>
  <si>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</si>
  <si>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</si>
  <si>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</si>
  <si>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</si>
  <si>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</si>
  <si>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</si>
  <si>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</si>
  <si>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</si>
  <si>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</si>
  <si>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</si>
  <si>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</si>
  <si>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</si>
  <si>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</si>
  <si>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</si>
  <si>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</si>
  <si>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</si>
  <si>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</si>
  <si>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</si>
  <si>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</si>
  <si>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</si>
  <si>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</si>
  <si>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</si>
  <si>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</si>
  <si>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</si>
  <si>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</si>
  <si>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</si>
  <si>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</si>
  <si>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</si>
  <si>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</si>
  <si>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</si>
  <si>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</si>
  <si>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</si>
  <si>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</si>
  <si>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</si>
  <si>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</si>
  <si>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</si>
  <si>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</si>
  <si>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</si>
  <si>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</si>
  <si>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</si>
  <si>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</si>
  <si>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</si>
  <si>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</si>
  <si>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</si>
  <si>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</si>
  <si>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</si>
  <si>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</si>
  <si>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</si>
  <si>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</si>
  <si>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</si>
  <si>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</si>
  <si>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</si>
  <si>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</si>
  <si>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</si>
  <si>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</si>
  <si>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</si>
  <si>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</si>
  <si>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</si>
  <si>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</si>
  <si>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</si>
  <si>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</si>
  <si>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</si>
  <si>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</si>
  <si>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</si>
  <si>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</si>
  <si>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</si>
  <si>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</si>
  <si>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</si>
  <si>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</si>
  <si>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</si>
  <si>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</si>
  <si>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</si>
  <si>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</si>
  <si>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</si>
  <si>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</si>
  <si>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</si>
  <si>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</si>
  <si>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</si>
  <si>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</si>
  <si>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</si>
  <si>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</si>
  <si>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</si>
  <si>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</si>
  <si>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</si>
  <si>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</si>
  <si>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</si>
  <si>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</si>
  <si>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</si>
  <si>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</si>
  <si>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</si>
  <si>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</si>
  <si>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</si>
  <si>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</si>
  <si>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</si>
  <si>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</si>
  <si>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</si>
  <si>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</si>
  <si>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</si>
  <si>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</si>
  <si>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</si>
  <si>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</si>
  <si>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</si>
  <si>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</si>
  <si>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</si>
  <si>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</si>
  <si>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</si>
  <si>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</si>
  <si>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</si>
  <si>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</si>
  <si>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</si>
  <si>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</si>
  <si>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</si>
  <si>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</si>
  <si>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</si>
  <si>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</si>
  <si>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</si>
  <si>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</si>
  <si>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</si>
  <si>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</si>
  <si>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</si>
  <si>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</si>
  <si>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</si>
  <si>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</si>
  <si>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</si>
  <si>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</si>
  <si>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</si>
  <si>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</si>
  <si>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</si>
  <si>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</si>
  <si>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</si>
  <si>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</si>
  <si>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</si>
  <si>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</si>
  <si>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</si>
  <si>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</si>
  <si>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</si>
  <si>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</si>
  <si>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</si>
  <si>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</si>
  <si>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</si>
  <si>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</si>
  <si>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</si>
  <si>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</si>
  <si>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</si>
  <si>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</si>
  <si>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</si>
  <si>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</si>
  <si>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</si>
  <si>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</si>
  <si>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</si>
  <si>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</si>
  <si>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</si>
  <si>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</si>
  <si>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</si>
  <si>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</si>
  <si>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</si>
  <si>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</si>
  <si>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</si>
  <si>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</si>
  <si>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</si>
  <si>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</si>
  <si>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</si>
  <si>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</si>
  <si>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</si>
  <si>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</si>
  <si>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</si>
  <si>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</si>
  <si>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</si>
  <si>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</si>
  <si>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</si>
  <si>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</si>
  <si>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</si>
  <si>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</si>
  <si>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</si>
  <si>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</si>
  <si>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</si>
  <si>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</si>
  <si>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</si>
  <si>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</si>
  <si>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</si>
  <si>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</si>
  <si>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</si>
  <si>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</si>
  <si>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</si>
  <si>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</si>
  <si>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</si>
  <si>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</si>
  <si>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</si>
  <si>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</si>
  <si>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</si>
  <si>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</si>
  <si>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</si>
  <si>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</si>
  <si>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</si>
  <si>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</si>
  <si>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</si>
  <si>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</si>
  <si>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</si>
  <si>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</si>
  <si>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</si>
  <si>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</si>
  <si>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</si>
  <si>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</si>
  <si>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</si>
  <si>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</si>
  <si>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</si>
  <si>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</si>
  <si>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</si>
  <si>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</si>
  <si>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</si>
  <si>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</si>
  <si>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</si>
  <si>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</si>
  <si>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</si>
  <si>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</si>
  <si>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</si>
  <si>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</si>
  <si>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</si>
  <si>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</si>
  <si>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</si>
  <si>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</si>
  <si>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</si>
  <si>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</si>
  <si>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</si>
  <si>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</si>
  <si>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</si>
  <si>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</si>
  <si>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</si>
  <si>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</si>
  <si>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</si>
  <si>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</si>
  <si>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</si>
  <si>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</si>
  <si>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</si>
  <si>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</si>
  <si>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</si>
  <si>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</si>
  <si>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</si>
  <si>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</si>
  <si>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</si>
  <si>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</si>
  <si>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</si>
  <si>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</si>
  <si>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</si>
  <si>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</si>
  <si>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</si>
  <si>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</si>
  <si>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</si>
  <si>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</si>
  <si>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</si>
  <si>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</si>
  <si>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</si>
  <si>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</si>
  <si>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</si>
  <si>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</si>
  <si>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</si>
  <si>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</si>
  <si>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</si>
  <si>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</si>
  <si>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</si>
  <si>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</si>
  <si>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</si>
  <si>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</si>
  <si>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</si>
  <si>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</si>
  <si>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</si>
  <si>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</si>
  <si>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</si>
  <si>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</si>
  <si>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</si>
  <si>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</si>
  <si>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</si>
  <si>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</si>
  <si>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</si>
  <si>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</si>
  <si>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</si>
  <si>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</si>
  <si>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</si>
  <si>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</si>
  <si>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</si>
  <si>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</si>
  <si>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</si>
  <si>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</si>
  <si>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</si>
  <si>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</si>
  <si>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</si>
  <si>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</si>
  <si>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</si>
  <si>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</si>
  <si>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</si>
  <si>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</si>
  <si>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</si>
  <si>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</si>
  <si>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</si>
  <si>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</si>
  <si>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</si>
  <si>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</si>
  <si>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</si>
  <si>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</si>
  <si>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</si>
  <si>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</si>
  <si>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</si>
  <si>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</si>
  <si>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</si>
  <si>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</si>
  <si>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</si>
  <si>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</si>
  <si>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</si>
  <si>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</si>
  <si>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</si>
  <si>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</si>
  <si>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</si>
  <si>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</si>
  <si>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</si>
  <si>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</si>
  <si>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</si>
  <si>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</si>
  <si>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</si>
  <si>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</si>
  <si>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</si>
  <si>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</si>
  <si>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</si>
  <si>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</si>
  <si>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</si>
  <si>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</si>
  <si>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</si>
  <si>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</si>
  <si>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</si>
  <si>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</si>
  <si>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</si>
  <si>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</si>
  <si>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</si>
  <si>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</si>
  <si>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</si>
  <si>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</si>
  <si>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</si>
  <si>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</si>
  <si>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</si>
  <si>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</si>
  <si>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</si>
  <si>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</si>
  <si>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</si>
  <si>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</si>
  <si>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</si>
  <si>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</si>
  <si>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</si>
  <si>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</si>
  <si>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</si>
  <si>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</si>
  <si>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</si>
  <si>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</si>
  <si>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</si>
  <si>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</si>
  <si>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</si>
  <si>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</si>
  <si>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</si>
  <si>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</si>
  <si>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</si>
  <si>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</si>
  <si>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</si>
  <si>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</si>
  <si>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</si>
  <si>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</si>
  <si>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</si>
  <si>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</si>
  <si>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</si>
  <si>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</si>
  <si>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</si>
  <si>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</si>
  <si>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</si>
  <si>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</si>
  <si>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</si>
  <si>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</si>
  <si>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</si>
  <si>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</si>
  <si>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</si>
  <si>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</si>
  <si>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</si>
  <si>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</si>
  <si>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</si>
  <si>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</si>
  <si>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</si>
  <si>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</si>
  <si>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</si>
  <si>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</si>
  <si>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</si>
  <si>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</si>
  <si>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</si>
  <si>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</si>
  <si>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</si>
  <si>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</si>
  <si>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</si>
  <si>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</si>
  <si>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</si>
  <si>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</si>
  <si>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</si>
  <si>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</si>
  <si>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</si>
  <si>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</si>
  <si>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</si>
  <si>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</si>
  <si>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</si>
  <si>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</si>
  <si>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</si>
  <si>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</si>
  <si>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</si>
  <si>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</si>
  <si>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</si>
  <si>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</si>
  <si>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</si>
  <si>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</si>
  <si>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</si>
  <si>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</si>
  <si>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</si>
  <si>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</si>
  <si>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</si>
  <si>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</si>
  <si>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</si>
  <si>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</si>
  <si>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</si>
  <si>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</si>
  <si>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</si>
  <si>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</si>
  <si>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</si>
  <si>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</si>
  <si>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</si>
  <si>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</si>
  <si>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</si>
  <si>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</si>
  <si>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</si>
  <si>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</si>
  <si>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</si>
  <si>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</si>
  <si>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</si>
  <si>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</si>
  <si>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</si>
  <si>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</si>
  <si>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</si>
  <si>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</si>
  <si>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</si>
  <si>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</si>
  <si>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</si>
  <si>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</si>
  <si>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</si>
  <si>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</si>
  <si>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</si>
  <si>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</si>
  <si>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</si>
  <si>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</si>
  <si>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</si>
  <si>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</si>
  <si>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</si>
  <si>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</si>
  <si>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</si>
  <si>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</si>
  <si>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</si>
  <si>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</si>
  <si>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</si>
  <si>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</si>
  <si>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</si>
  <si>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</si>
  <si>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</si>
  <si>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</si>
  <si>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</si>
  <si>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</si>
  <si>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</si>
  <si>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</si>
  <si>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</si>
  <si>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</si>
  <si>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</si>
  <si>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</si>
  <si>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</si>
  <si>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</si>
  <si>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</si>
  <si>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</si>
  <si>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</si>
  <si>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</si>
  <si>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</si>
  <si>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</si>
  <si>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</si>
  <si>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</si>
  <si>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</si>
  <si>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</si>
  <si>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</si>
  <si>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</si>
  <si>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</si>
  <si>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</si>
  <si>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</si>
  <si>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</si>
  <si>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</si>
  <si>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</si>
  <si>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</si>
  <si>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</si>
  <si>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</si>
  <si>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</si>
  <si>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</si>
  <si>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</si>
  <si>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</si>
  <si>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</si>
  <si>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</si>
  <si>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</si>
  <si>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</si>
  <si>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</si>
  <si>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</si>
  <si>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</si>
  <si>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</si>
  <si>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</si>
  <si>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</si>
  <si>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</si>
  <si>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</si>
  <si>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</si>
  <si>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</si>
  <si>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</si>
  <si>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</si>
  <si>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</si>
  <si>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</si>
  <si>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</si>
  <si>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</si>
  <si>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</si>
  <si>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</si>
  <si>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</si>
  <si>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</si>
  <si>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</si>
  <si>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</si>
  <si>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</si>
  <si>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</si>
  <si>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</si>
  <si>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</si>
  <si>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</si>
  <si>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</si>
  <si>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</si>
  <si>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</si>
  <si>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</si>
  <si>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</si>
  <si>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</si>
  <si>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</si>
  <si>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</si>
  <si>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</si>
  <si>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</si>
  <si>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</si>
  <si>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</si>
  <si>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</si>
  <si>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</si>
  <si>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</si>
  <si>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</si>
  <si>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</si>
  <si>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</si>
  <si>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</si>
  <si>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</si>
  <si>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</si>
  <si>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</si>
  <si>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</si>
  <si>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</si>
  <si>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</si>
  <si>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</si>
  <si>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</si>
  <si>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</si>
  <si>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</si>
  <si>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</si>
  <si>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</si>
  <si>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</si>
  <si>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</si>
  <si>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</si>
  <si>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</si>
  <si>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</si>
  <si>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</si>
  <si>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</si>
  <si>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</si>
  <si>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</si>
  <si>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</si>
  <si>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</si>
  <si>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</si>
  <si>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</si>
  <si>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</si>
  <si>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</si>
  <si>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</si>
  <si>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Performance Indicators</t>
  </si>
  <si>
    <t>Total Values</t>
  </si>
  <si>
    <t>CY</t>
  </si>
  <si>
    <t>PY</t>
  </si>
  <si>
    <t>YOY%</t>
  </si>
  <si>
    <t>Total</t>
  </si>
  <si>
    <t>Sales Trend</t>
  </si>
  <si>
    <t>Top Selling Cities</t>
  </si>
  <si>
    <t>Count of Order ID</t>
  </si>
  <si>
    <t>Order By Duration</t>
  </si>
  <si>
    <t>Orders By Shipping Mode</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</si>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</sst>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00"/>
    <numFmt numFmtId="165" formatCode="[&gt;=1000000]\$0,\ \,&quot;M&quot;;[&gt;=1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22" fontId="0" fillId="0" borderId="0" xfId="0" applyNumberFormat="1"/>
    <xf numFmtId="0" fontId="0" fillId="0" borderId="0" xfId="0" pivotButton="1"/>
    <xf numFmtId="164" fontId="0" fillId="0" borderId="0" xfId="0" applyNumberFormat="1"/>
    <xf numFmtId="3" fontId="0" fillId="0" borderId="0" xfId="0" applyNumberFormat="1"/>
    <xf numFmtId="0" fontId="0" fillId="0" borderId="0" xfId="0" applyAlignment="1">
      <alignment horizontal="left"/>
    </xf>
    <xf numFmtId="9" fontId="0" fillId="0" borderId="0" xfId="1" applyFont="1"/>
    <xf numFmtId="165" fontId="0" fillId="0" borderId="0" xfId="0" applyNumberFormat="1"/>
    <xf numFmtId="10" fontId="0" fillId="0" borderId="0" xfId="0" applyNumberFormat="1"/>
    <xf numFmtId="0" fontId="0" fillId="2" borderId="0" xfId="0" applyFill="1" applyAlignment="1">
      <alignment horizontal="center"/>
    </xf>
  </cellXfs>
  <cellStyles count="2">
    <cellStyle name="Normal" xfId="0" builtinId="0"/>
    <cellStyle name="Percent" xfId="1" builtinId="5"/>
  </cellStyles>
  <dxfs count="98">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fill>
        <patternFill>
          <bgColor rgb="FF002060"/>
        </patternFill>
      </fill>
    </dxf>
    <dxf>
      <numFmt numFmtId="165" formatCode="[&gt;=1000000]\$0,\ \,&quot;M&quot;;[&gt;=1000]\$0,&quot;k&quot;;0"/>
    </dxf>
    <dxf>
      <numFmt numFmtId="165" formatCode="[&gt;=1000000]\$0,\ \,&quot;M&quot;;[&gt;=1000]\$0,&quot;k&quot;;0"/>
    </dxf>
    <dxf>
      <numFmt numFmtId="165" formatCode="[&gt;=1000000]\$0,\ \,&quot;M&quot;;[&gt;=1000]\$0,&quot;k&quot;;0"/>
    </dxf>
    <dxf>
      <numFmt numFmtId="165" formatCode="[&gt;=1000000]\$0,\ \,&quot;M&quot;;[&gt;=1000]\$0,&quot;k&quot;;0"/>
    </dxf>
    <dxf>
      <numFmt numFmtId="14" formatCode="0.00%"/>
    </dxf>
    <dxf>
      <numFmt numFmtId="165" formatCode="[&gt;=1000000]\$0,\ \,&quot;M&quot;;[&gt;=1000]\$0,&quot;k&quot;;0"/>
    </dxf>
    <dxf>
      <numFmt numFmtId="14" formatCode="0.00%"/>
    </dxf>
    <dxf>
      <numFmt numFmtId="165" formatCode="[&gt;=1000000]\$0,\ \,&quot;M&quot;;[&gt;=1000]\$0,&quot;k&quot;;0"/>
    </dxf>
    <dxf>
      <numFmt numFmtId="165" formatCode="[&gt;=1000000]\$0,\ \,&quot;M&quot;;[&gt;=1000]\$0,&quot;k&quot;;0"/>
    </dxf>
    <dxf>
      <numFmt numFmtId="165" formatCode="[&gt;=1000000]\$0,\ \,&quot;M&quot;;[&gt;=1000]\$0,&quot;k&quot;;0"/>
    </dxf>
    <dxf>
      <numFmt numFmtId="27" formatCode="dd/mm/yyyy\ hh:mm"/>
    </dxf>
    <dxf>
      <numFmt numFmtId="27" formatCode="dd/mm/yyyy\ hh:mm"/>
    </dxf>
  </dxfs>
  <tableStyles count="2" defaultTableStyle="TableStyleMedium2" defaultPivotStyle="PivotStyleLight16">
    <tableStyle name="Slicer Style 1" pivot="0" table="0" count="0" xr9:uid="{282FCD2D-2C1A-40DA-9537-0D34668AA8D7}"/>
    <tableStyle name="Slicer Style 2" pivot="0" table="0" count="1" xr9:uid="{6BAA0519-B337-4A35-B6E6-9F18BEAAA3B8}">
      <tableStyleElement type="wholeTable" dxfId="85"/>
    </tableStyle>
  </tableStyles>
  <colors>
    <mruColors>
      <color rgb="FFACAEEE"/>
      <color rgb="FFB7D3EB"/>
      <color rgb="FF1E2060"/>
      <color rgb="FF171849"/>
      <color rgb="FF3437A6"/>
      <color rgb="FF3075AE"/>
      <color rgb="FF6161D9"/>
      <color rgb="FF42C1CE"/>
      <color rgb="FF1B4263"/>
      <color rgb="FF122C42"/>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Dashboard.xlsx]PIvot_Table!PivotTable3</c:name>
    <c:fmtId val="7"/>
  </c:pivotSource>
  <c:chart>
    <c:autoTitleDeleted val="1"/>
    <c:pivotFmts>
      <c:pivotFmt>
        <c:idx val="0"/>
        <c:spPr>
          <a:solidFill>
            <a:schemeClr val="accent1"/>
          </a:solidFill>
          <a:ln w="15875" cap="rnd">
            <a:solidFill>
              <a:schemeClr val="bg1"/>
            </a:solidFill>
            <a:round/>
          </a:ln>
          <a:effectLst/>
        </c:spPr>
        <c:marker>
          <c:symbol val="circle"/>
          <c:size val="5"/>
          <c:spPr>
            <a:solidFill>
              <a:schemeClr val="bg1">
                <a:lumMod val="50000"/>
              </a:schemeClr>
            </a:solidFill>
            <a:ln w="9525">
              <a:solidFill>
                <a:schemeClr val="accent1"/>
              </a:solidFill>
            </a:ln>
            <a:effectLst/>
          </c:spPr>
        </c:marker>
      </c:pivotFmt>
      <c:pivotFmt>
        <c:idx val="1"/>
        <c:spPr>
          <a:solidFill>
            <a:schemeClr val="accent1"/>
          </a:solidFill>
          <a:ln w="15875" cap="rnd">
            <a:solidFill>
              <a:schemeClr val="bg1"/>
            </a:solidFill>
            <a:round/>
          </a:ln>
          <a:effectLst/>
        </c:spPr>
        <c:marker>
          <c:symbol val="circle"/>
          <c:size val="5"/>
          <c:spPr>
            <a:solidFill>
              <a:schemeClr val="bg1">
                <a:lumMod val="50000"/>
              </a:schemeClr>
            </a:solidFill>
            <a:ln w="9525">
              <a:solidFill>
                <a:schemeClr val="accent1"/>
              </a:solidFill>
            </a:ln>
            <a:effectLst/>
          </c:spPr>
        </c:marker>
      </c:pivotFmt>
      <c:pivotFmt>
        <c:idx val="2"/>
        <c:spPr>
          <a:ln w="25400" cap="rnd">
            <a:solidFill>
              <a:schemeClr val="bg1"/>
            </a:solidFill>
            <a:round/>
          </a:ln>
          <a:effectLst/>
        </c:spPr>
        <c:marker>
          <c:symbol val="circle"/>
          <c:size val="5"/>
          <c:spPr>
            <a:solidFill>
              <a:srgbClr val="FF0000"/>
            </a:solidFill>
            <a:ln w="25400">
              <a:noFill/>
            </a:ln>
            <a:effectLst/>
          </c:spPr>
        </c:marker>
      </c:pivotFmt>
    </c:pivotFmts>
    <c:plotArea>
      <c:layout>
        <c:manualLayout>
          <c:layoutTarget val="inner"/>
          <c:xMode val="edge"/>
          <c:yMode val="edge"/>
          <c:x val="0"/>
          <c:y val="6.8957423072376886E-2"/>
          <c:w val="0.94338347563452962"/>
          <c:h val="0.81859812190218906"/>
        </c:manualLayout>
      </c:layout>
      <c:lineChart>
        <c:grouping val="standard"/>
        <c:varyColors val="0"/>
        <c:ser>
          <c:idx val="0"/>
          <c:order val="0"/>
          <c:tx>
            <c:strRef>
              <c:f>PIvot_Table!$B$15</c:f>
              <c:strCache>
                <c:ptCount val="1"/>
                <c:pt idx="0">
                  <c:v>Total</c:v>
                </c:pt>
              </c:strCache>
            </c:strRef>
          </c:tx>
          <c:spPr>
            <a:ln w="25400" cap="rnd">
              <a:solidFill>
                <a:schemeClr val="bg1"/>
              </a:solidFill>
              <a:round/>
            </a:ln>
            <a:effectLst/>
          </c:spPr>
          <c:marker>
            <c:symbol val="circle"/>
            <c:size val="5"/>
            <c:spPr>
              <a:solidFill>
                <a:srgbClr val="FF0000"/>
              </a:solidFill>
              <a:ln w="25400">
                <a:noFill/>
              </a:ln>
              <a:effectLst/>
            </c:spPr>
          </c:marker>
          <c:cat>
            <c:strRef>
              <c:f>PIvot_Table!$A$16:$A$28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PIvot_Table!$B$16:$B$28</c:f>
              <c:numCache>
                <c:formatCode>[&gt;=1000000]\$0,\ \,"M";[&gt;=1000]\$0,"k";0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769C-4072-B1A1-7DAE034D54D8}"/>
            </c:ext>
          </c:extLst>
        </c:ser>
        <c:dLbls>
          <c:showLegendKey val="0"/>
          <c:showVal val="0"/>
          <c:showCatName val="0"/>
          <c:showSerName val="0"/>
          <c:showPercent val="0"/>
          <c:showBubbleSize val="0"/>
        </c:dLbls>
        <c:marker val="1"/>
        <c:smooth val="0"/>
        <c:axId val="1806909888"/>
        <c:axId val="1807779088"/>
      </c:lineChart>
      <c:catAx>
        <c:axId val="18069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807779088"/>
        <c:crosses val="autoZero"/>
        <c:auto val="1"/>
        <c:lblAlgn val="ctr"/>
        <c:lblOffset val="100"/>
        <c:noMultiLvlLbl val="0"/>
      </c:catAx>
      <c:valAx>
        <c:axId val="1807779088"/>
        <c:scaling>
          <c:orientation val="minMax"/>
        </c:scaling>
        <c:delete val="1"/>
        <c:axPos val="l"/>
        <c:numFmt formatCode="[&gt;=1000000]\$0,\ \,&quot;M&quot;;[&gt;=1000]\$0,&quot;k&quot;;0" sourceLinked="1"/>
        <c:majorTickMark val="none"/>
        <c:minorTickMark val="none"/>
        <c:tickLblPos val="nextTo"/>
        <c:crossAx val="180690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dbl"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Dashboard.xlsx]PIvot_Table!PivotTable5</c:name>
    <c:fmtId val="3"/>
  </c:pivotSource>
  <c:chart>
    <c:autoTitleDeleted val="1"/>
    <c:pivotFmts>
      <c:pivotFmt>
        <c:idx val="0"/>
        <c:spPr>
          <a:solidFill>
            <a:schemeClr val="accent1"/>
          </a:solidFill>
          <a:ln w="28575" cap="rnd">
            <a:noFill/>
            <a:round/>
          </a:ln>
          <a:effectLst/>
        </c:spPr>
        <c:marker>
          <c:symbol val="circle"/>
          <c:size val="8"/>
          <c:spPr>
            <a:solidFill>
              <a:srgbClr val="FF0000"/>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FF0000"/>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rgbClr val="FF0000"/>
            </a:solidFill>
            <a:ln w="2857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PIvot_Table!$E$27</c:f>
              <c:strCache>
                <c:ptCount val="1"/>
                <c:pt idx="0">
                  <c:v>Total</c:v>
                </c:pt>
              </c:strCache>
            </c:strRef>
          </c:tx>
          <c:spPr>
            <a:ln w="28575" cap="rnd">
              <a:noFill/>
              <a:round/>
            </a:ln>
            <a:effectLst/>
          </c:spPr>
          <c:marker>
            <c:symbol val="circle"/>
            <c:size val="8"/>
            <c:spPr>
              <a:solidFill>
                <a:srgbClr val="FF0000"/>
              </a:solidFill>
              <a:ln w="2857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PIvot_Table!$D$28:$D$36</c:f>
              <c:strCache>
                <c:ptCount val="8"/>
                <c:pt idx="0">
                  <c:v>0- days</c:v>
                </c:pt>
                <c:pt idx="1">
                  <c:v>1- days</c:v>
                </c:pt>
                <c:pt idx="2">
                  <c:v>2- days</c:v>
                </c:pt>
                <c:pt idx="3">
                  <c:v>3- days</c:v>
                </c:pt>
                <c:pt idx="4">
                  <c:v>4- days</c:v>
                </c:pt>
                <c:pt idx="5">
                  <c:v>5- days</c:v>
                </c:pt>
                <c:pt idx="6">
                  <c:v>6- days</c:v>
                </c:pt>
                <c:pt idx="7">
                  <c:v>7- days</c:v>
                </c:pt>
              </c:strCache>
            </c:strRef>
          </c:cat>
          <c:val>
            <c:numRef>
              <c:f>PIvot_Table!$E$28:$E$36</c:f>
              <c:numCache>
                <c:formatCode>0.00%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1"/>
          <c:extLst>
            <c:ext xmlns:c16="http://schemas.microsoft.com/office/drawing/2014/chart" uri="{C3380CC4-5D6E-409C-BE32-E72D297353CC}">
              <c16:uniqueId val="{00000000-0EF4-4989-B72D-237D8392EAF0}"/>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812040576"/>
        <c:axId val="1807759536"/>
      </c:lineChart>
      <c:catAx>
        <c:axId val="181204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7759536"/>
        <c:crosses val="autoZero"/>
        <c:auto val="1"/>
        <c:lblAlgn val="ctr"/>
        <c:lblOffset val="100"/>
        <c:noMultiLvlLbl val="0"/>
      </c:catAx>
      <c:valAx>
        <c:axId val="1807759536"/>
        <c:scaling>
          <c:orientation val="minMax"/>
        </c:scaling>
        <c:delete val="1"/>
        <c:axPos val="l"/>
        <c:numFmt formatCode="0.00%" sourceLinked="1"/>
        <c:majorTickMark val="none"/>
        <c:minorTickMark val="none"/>
        <c:tickLblPos val="nextTo"/>
        <c:crossAx val="181204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Dashboard.xlsx]PIvot_Table!PivotTable4</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51528842716"/>
          <c:y val="4.5543813751597752E-2"/>
          <c:w val="0.69601092128244768"/>
          <c:h val="0.83727185564217632"/>
        </c:manualLayout>
      </c:layout>
      <c:barChart>
        <c:barDir val="bar"/>
        <c:grouping val="clustered"/>
        <c:varyColors val="0"/>
        <c:ser>
          <c:idx val="0"/>
          <c:order val="0"/>
          <c:tx>
            <c:strRef>
              <c:f>PIvot_Table!$E$16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PIvot_Table!$D$17:$D$22</c:f>
              <c:strCache>
                <c:ptCount val="5"/>
                <c:pt idx="0">
                  <c:v>Los Angeles</c:v>
                </c:pt>
                <c:pt idx="1">
                  <c:v>New York City</c:v>
                </c:pt>
                <c:pt idx="2">
                  <c:v>Philadelphia</c:v>
                </c:pt>
                <c:pt idx="3">
                  <c:v>San Francisco</c:v>
                </c:pt>
                <c:pt idx="4">
                  <c:v>Seattle</c:v>
                </c:pt>
              </c:strCache>
            </c:strRef>
          </c:cat>
          <c:val>
            <c:numRef>
              <c:f>PIvot_Table!$E$17:$E$22</c:f>
              <c:numCache>
                <c:formatCode>[&gt;=1000000]\$0,\ \,"M";[&gt;=1000]\$0,"k";0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B9A2-4F63-AF0E-1AC24A28460C}"/>
            </c:ext>
          </c:extLst>
        </c:ser>
        <c:dLbls>
          <c:dLblPos val="outEnd"/>
          <c:showLegendKey val="0"/>
          <c:showVal val="1"/>
          <c:showCatName val="0"/>
          <c:showSerName val="0"/>
          <c:showPercent val="0"/>
          <c:showBubbleSize val="0"/>
        </c:dLbls>
        <c:gapWidth val="182"/>
        <c:axId val="1171289216"/>
        <c:axId val="441140336"/>
      </c:barChart>
      <c:catAx>
        <c:axId val="11712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1140336"/>
        <c:crosses val="autoZero"/>
        <c:auto val="1"/>
        <c:lblAlgn val="ctr"/>
        <c:lblOffset val="100"/>
        <c:noMultiLvlLbl val="0"/>
      </c:catAx>
      <c:valAx>
        <c:axId val="441140336"/>
        <c:scaling>
          <c:orientation val="minMax"/>
        </c:scaling>
        <c:delete val="1"/>
        <c:axPos val="b"/>
        <c:numFmt formatCode="[&gt;=1000000]\$0,\ \,&quot;M&quot;;[&gt;=1000]\$0,&quot;k&quot;;0" sourceLinked="1"/>
        <c:majorTickMark val="none"/>
        <c:minorTickMark val="none"/>
        <c:tickLblPos val="nextTo"/>
        <c:crossAx val="117128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Dashboard.xlsx]PIvot_Table!PivotTable6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34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277777777777777"/>
              <c:y val="0.1388888888888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944444444444444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34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77"/>
              <c:y val="0.1388888888888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9444444444444448E-2"/>
              <c:y val="-0.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345E-2"/>
              <c:y val="-6.481481481481481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11111111111111"/>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277777777777777"/>
              <c:y val="0.1388888888888887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lt1"/>
            </a:solidFill>
          </a:ln>
          <a:effectLst/>
        </c:spPr>
        <c:dLbl>
          <c:idx val="0"/>
          <c:layout>
            <c:manualLayout>
              <c:x val="-6.9444444444444448E-2"/>
              <c:y val="-0.259259259259259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8197842817535"/>
          <c:y val="5.8818561656286718E-2"/>
          <c:w val="0.38496819113515807"/>
          <c:h val="0.83347404400365033"/>
        </c:manualLayout>
      </c:layout>
      <c:doughnutChart>
        <c:varyColors val="1"/>
        <c:ser>
          <c:idx val="0"/>
          <c:order val="0"/>
          <c:tx>
            <c:strRef>
              <c:f>PIvot_Table!$E$41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E5-4ADD-B1FB-59F952CF11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E5-4ADD-B1FB-59F952CF11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E5-4ADD-B1FB-59F952CF11E9}"/>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AAE5-4ADD-B1FB-59F952CF11E9}"/>
              </c:ext>
            </c:extLst>
          </c:dPt>
          <c:dLbls>
            <c:dLbl>
              <c:idx val="0"/>
              <c:layout>
                <c:manualLayout>
                  <c:x val="9.4444444444444345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5-4ADD-B1FB-59F952CF11E9}"/>
                </c:ext>
              </c:extLst>
            </c:dLbl>
            <c:dLbl>
              <c:idx val="1"/>
              <c:layout>
                <c:manualLayout>
                  <c:x val="0.1111111111111111"/>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E5-4ADD-B1FB-59F952CF11E9}"/>
                </c:ext>
              </c:extLst>
            </c:dLbl>
            <c:dLbl>
              <c:idx val="2"/>
              <c:layout>
                <c:manualLayout>
                  <c:x val="0.10277777777777777"/>
                  <c:y val="0.1388888888888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E5-4ADD-B1FB-59F952CF11E9}"/>
                </c:ext>
              </c:extLst>
            </c:dLbl>
            <c:dLbl>
              <c:idx val="3"/>
              <c:layout>
                <c:manualLayout>
                  <c:x val="-6.9444444444444448E-2"/>
                  <c:y val="-0.2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E5-4ADD-B1FB-59F952CF11E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accent2">
                      <a:lumMod val="75000"/>
                    </a:schemeClr>
                  </a:solidFill>
                  <a:round/>
                </a:ln>
                <a:effectLst/>
              </c:spPr>
            </c:leaderLines>
            <c:extLst>
              <c:ext xmlns:c15="http://schemas.microsoft.com/office/drawing/2012/chart" uri="{CE6537A1-D6FC-4f65-9D91-7224C49458BB}"/>
            </c:extLst>
          </c:dLbls>
          <c:cat>
            <c:strRef>
              <c:f>PIvot_Table!$D$42:$D$46</c:f>
              <c:strCache>
                <c:ptCount val="4"/>
                <c:pt idx="0">
                  <c:v>First Class</c:v>
                </c:pt>
                <c:pt idx="1">
                  <c:v>Same Day</c:v>
                </c:pt>
                <c:pt idx="2">
                  <c:v>Second Class</c:v>
                </c:pt>
                <c:pt idx="3">
                  <c:v>Standard Class</c:v>
                </c:pt>
              </c:strCache>
            </c:strRef>
          </c:cat>
          <c:val>
            <c:numRef>
              <c:f>PIvot_Table!$E$42:$E$46</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AAE5-4ADD-B1FB-59F952CF11E9}"/>
            </c:ext>
          </c:extLst>
        </c:ser>
        <c:dLbls>
          <c:showLegendKey val="0"/>
          <c:showVal val="1"/>
          <c:showCatName val="0"/>
          <c:showSerName val="0"/>
          <c:showPercent val="0"/>
          <c:showBubbleSize val="0"/>
          <c:showLeaderLines val="1"/>
        </c:dLbls>
        <c:firstSliceAng val="36"/>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71420671780743"/>
          <c:y val="9.407246264763057E-2"/>
          <c:w val="0.65644608559177486"/>
          <c:h val="0.79893029610140942"/>
        </c:manualLayout>
      </c:layout>
      <c:barChart>
        <c:barDir val="bar"/>
        <c:grouping val="stacked"/>
        <c:varyColors val="0"/>
        <c:ser>
          <c:idx val="0"/>
          <c:order val="0"/>
          <c:spPr>
            <a:solidFill>
              <a:schemeClr val="bg1">
                <a:lumMod val="50000"/>
              </a:schemeClr>
            </a:solidFill>
            <a:ln>
              <a:noFill/>
            </a:ln>
            <a:effectLst/>
          </c:spPr>
          <c:invertIfNegative val="0"/>
          <c:dLbls>
            <c:dLbl>
              <c:idx val="0"/>
              <c:layout>
                <c:manualLayout>
                  <c:x val="0.11560351316886651"/>
                  <c:y val="1.68341576989429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37-4256-B622-32D0A57B4B47}"/>
                </c:ext>
              </c:extLst>
            </c:dLbl>
            <c:dLbl>
              <c:idx val="1"/>
              <c:layout>
                <c:manualLayout>
                  <c:x val="0.27674741975284461"/>
                  <c:y val="-7.71556648113313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37-4256-B622-32D0A57B4B47}"/>
                </c:ext>
              </c:extLst>
            </c:dLbl>
            <c:dLbl>
              <c:idx val="2"/>
              <c:layout>
                <c:manualLayout>
                  <c:x val="9.108161434086983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37-4256-B622-32D0A57B4B47}"/>
                </c:ext>
              </c:extLst>
            </c:dLbl>
            <c:dLbl>
              <c:idx val="3"/>
              <c:layout>
                <c:manualLayout>
                  <c:x val="0.16815043922885944"/>
                  <c:y val="-1.928891620283284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37-4256-B622-32D0A57B4B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PIvot_Table!$F$51:$F$54</c:f>
              <c:strCache>
                <c:ptCount val="4"/>
                <c:pt idx="0">
                  <c:v>Bookcases</c:v>
                </c:pt>
                <c:pt idx="1">
                  <c:v>Chairs</c:v>
                </c:pt>
                <c:pt idx="2">
                  <c:v>Furnishings</c:v>
                </c:pt>
                <c:pt idx="3">
                  <c:v>Tables</c:v>
                </c:pt>
              </c:strCache>
            </c:strRef>
          </c:cat>
          <c:val>
            <c:numRef>
              <c:f>PIvot_Table!$G$51:$G$54</c:f>
              <c:numCache>
                <c:formatCode>[&gt;=1000000]\$0,\ \,"M";[&gt;=1000]\$0,"k";0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EB37-4256-B622-32D0A57B4B47}"/>
            </c:ext>
          </c:extLst>
        </c:ser>
        <c:ser>
          <c:idx val="1"/>
          <c:order val="1"/>
          <c:spPr>
            <a:solidFill>
              <a:srgbClr val="FF0000"/>
            </a:solidFill>
            <a:ln>
              <a:noFill/>
            </a:ln>
            <a:effectLst/>
          </c:spPr>
          <c:invertIfNegative val="0"/>
          <c:cat>
            <c:strRef>
              <c:f>PIvot_Table!$F$51:$F$54</c:f>
              <c:strCache>
                <c:ptCount val="4"/>
                <c:pt idx="0">
                  <c:v>Bookcases</c:v>
                </c:pt>
                <c:pt idx="1">
                  <c:v>Chairs</c:v>
                </c:pt>
                <c:pt idx="2">
                  <c:v>Furnishings</c:v>
                </c:pt>
                <c:pt idx="3">
                  <c:v>Tables</c:v>
                </c:pt>
              </c:strCache>
            </c:strRef>
          </c:cat>
          <c:val>
            <c:numRef>
              <c:f>PIvot_Table!$H$51:$H$54</c:f>
              <c:numCache>
                <c:formatCode>[&gt;=1000000]\$0,\ \,"M";[&gt;=1000]\$0,"k";0</c:formatCode>
                <c:ptCount val="4"/>
                <c:pt idx="0">
                  <c:v>279258.92730000091</c:v>
                </c:pt>
                <c:pt idx="1">
                  <c:v>65689.820600000152</c:v>
                </c:pt>
                <c:pt idx="2">
                  <c:v>302433.75960000086</c:v>
                </c:pt>
                <c:pt idx="3">
                  <c:v>187173.39160000082</c:v>
                </c:pt>
              </c:numCache>
            </c:numRef>
          </c:val>
          <c:extLst>
            <c:ext xmlns:c16="http://schemas.microsoft.com/office/drawing/2014/chart" uri="{C3380CC4-5D6E-409C-BE32-E72D297353CC}">
              <c16:uniqueId val="{00000001-EB37-4256-B622-32D0A57B4B47}"/>
            </c:ext>
          </c:extLst>
        </c:ser>
        <c:dLbls>
          <c:showLegendKey val="0"/>
          <c:showVal val="0"/>
          <c:showCatName val="0"/>
          <c:showSerName val="0"/>
          <c:showPercent val="0"/>
          <c:showBubbleSize val="0"/>
        </c:dLbls>
        <c:gapWidth val="150"/>
        <c:overlap val="100"/>
        <c:axId val="626699568"/>
        <c:axId val="614520736"/>
      </c:barChart>
      <c:catAx>
        <c:axId val="62669956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4520736"/>
        <c:crosses val="autoZero"/>
        <c:auto val="1"/>
        <c:lblAlgn val="ctr"/>
        <c:lblOffset val="100"/>
        <c:noMultiLvlLbl val="0"/>
      </c:catAx>
      <c:valAx>
        <c:axId val="614520736"/>
        <c:scaling>
          <c:orientation val="maxMin"/>
        </c:scaling>
        <c:delete val="1"/>
        <c:axPos val="b"/>
        <c:numFmt formatCode="[&gt;=1000000]\$0,\ \,&quot;M&quot;;[&gt;=1000]\$0,&quot;k&quot;;0" sourceLinked="1"/>
        <c:majorTickMark val="none"/>
        <c:minorTickMark val="none"/>
        <c:tickLblPos val="nextTo"/>
        <c:crossAx val="626699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10BF2E6-C687-423D-A3B5-AAB0AF1B4EE6}">
          <cx:tx>
            <cx:txData>
              <cx:f>_xlchart.v5.2</cx:f>
              <cx:v>Sales</cx:v>
            </cx:txData>
          </cx:tx>
          <cx:dataId val="0"/>
          <cx:layoutPr>
            <cx:geography cultureLanguage="en-US" cultureRegion="GB" attribution="Powered by Bing">
              <cx:geoCache provider="{E9337A44-BEBE-4D9F-B70C-5C5E7DAFC167}">
                <cx:binary>7H1pc9u40u5fSeXzpYdYSACnzpyqIbVY3mM76xeWYjskuIAkAK6//rZi2bEZZeKp47fuVdWrZCZl
UxCbeNDb0w3o3zf9v27yu7V+0xe5Mv+66f98m1hb/euPP8xNcleszUEhb3Rpym/24KYs/ii/fZM3
d3/c6nUnVfwHdhH94yZZa3vXv/3Pv+HT4rvypLxZW1mqd82dHi7vTJNb8zfXdl56c1M2ym6Gx/BJ
f759r6S9u31zZdf2zrx9c6estMP1UN39+fbZO9+++WP6eT/d+00O4tnmFsYSceC5xGOUMPf7i7x9
k5cq3l52hDhwESc+EVR8f9GHe5+tCxj/YrG+C7W+vdV3xrzZ/vvT8GdP8tNVacrwflLCciP7+6vv
D/vH80n/z78nv4DHn/zmCS7TufrdJRC9kGomjdXyxqI/34ZlXur1bfkwLfeQPHvXP4WEHwjBPc+l
+B4S9BwS5HoHHmUbUB5ueo/FS0TZDcOPkc8Eh6c7f/ubhfj/JSh/5euv62L9MD2vgAk+YL5PMcbs
ORjcP+DUJQS7+F4/xMNN7zF5gSS7IXkcOEHkr5O9RGR2l6+7tb57mJ1XgAQsk8uZj4n3OPNPLRfz
DqjPfUoQv7/uPdz7HpmXSLQbmh8jJ9jM5nuJzV9ajqV6TW2hB1gQjDnaOo2J0iCEDkCbPOF7/ncT
Bxbu3qFtleb3Au1G5vFJJsD89WVPgcnWyqwn7v7Zs/1T30IPQBu4S9BWafhzcybwASUCeZ7H733P
RGn+0r+X6FfQPIx8Jv+fb/+63EtsHkKAN+W3N+A+m+KrfE0NghjABR+PCMRbz6wag3jMx8InW6s2
icf+qVi7wdr9KRPgZuFeAheuc/mt1OpV4WIH2KO+L5DYHbIhceAjhhmi6N4ZPTd4L5NpN1ZPx04Q
Cv/aS4Q+SnNTKiPVwyT998ECpQeQwgiP+O7OYIGLA0aw8DxB7gGchNYvEmk3Pk+GTuD5uNpLeMJS
qbsbK28a+4oAoQOPecgjxNupQQwCcMIhosATj/RCaXZj82zwBJ3wei/RWUA6Km9f0RVhfuCBYiBM
ILV56oo4xAqcEYr5bp15gSS7UXkcOEFksZ+pz/Ud6Isxd3evpy3Eg6wTEk6Xb8M0PIHGPyCUYOrT
+/janZizF4m0G5wnQyfwXJ/tpcKs1K1cv2r2Iw4gDhBMPLiaqd74B2DHuOuLrambhHAvEGg3NI8D
J8Cs9hOY5V2p41eN0vCBT8GHUIF2+hhODigFIpS6W62aaM0LBNoNzOPACTDL/YzPTtfGrG+SxtxZ
a17PqFF8ACEyTD/b+hP03KgxIA1cIKsJBzrhKV3wYnl2ozMZPsHodD8xWt2uk1fkpCF+hoTTZfgh
f5nwBghBgA3BM+PuJD77rSC7QdkOm4Cxmu2lizmVN4mM16+bz3BQFAEMwX0+M8GDexAuu+CDNp5o
8/InKvMCiXYD8+NZJtic7mc2s8pzqUr5mnbMPUCgJxQqOPdzP8VGHCDKfeLxH8T1U3P2Eol2Y/Nj
5ASb1X5Gzh/vjH3zQUIU8LpsDYc4AHugO9uazYSe5i6QNYQR4W7jhEkc8GKxdqM0GT6B6uOHvTRx
q7J7xZwTQgGXUR/K0vSRjnmaegoCVWvX9ZG7vT4xb7+TZjcw96MmeKz20/9fJlAif7My+VrdPpj+
V6DRIATDHHiyLfksJqYNQjQPQU66qe18f00056VS7cbn+egJTpf76X6OX7vAw4GUoQwLtu3nmATR
gkMgBx0d0PNxj9Aklv69PLuxeRg3QeX4ai+t2VXZ2ORNuNYlBAevaNcIgbIOtNJg9MOzPLVr4Hm4
gPQTCqT36Ezs2svl2o3SdPwEratwL9E6z3JIdl613QM6bDih4IHu3Y871SIG/mdDezKIsL+/Hmzs
fQH7JRLtRujHyAk258d7ic3ZXffmc6mzh/l5BR+EDwQRmG56br6/wMc81SHo+/Dhiuc/NB9MdOgl
Eu3G5sfICTZnn/cSm2PIOpqbbHg9bAjoBYZCGjTePAcF8lHMwSWBSt3ry4TzfIkou0H5MXICyvF+
gnJSNtK8MiHtHggODsf3t15FPAdHIPA6iEO/zjZhnYDzIpF2o/Nk6ASek/2Mq0/XenjdmJpAq8dG
abwJKsw/YC5kqI+dt5NY+iWS7Ablx8gJJqd7Sq+tpXrF4hr1oHi2aU97EiI/dTC+OMAIvAtkqDtt
2envxPkVKt+fYgrJfC9dy6nc1DxL+4qxM93UNAWC9rRtdWYak9EDJCAmg77DB4d2H4y9SJZfYPLj
Maa47GdN7T4BmK2z14WGQtcgaIT3EA5PCDXwPQeYuICeP3EtL5VnNzzPR08QutpTYyaN2fytKvmw
jP/7mJlA9wyGZulHxnnia6D9CVpxMew42MbUk5j59GVC7Ubp2eAJSKf7yQ9cQEuHGfJ2/aq8NN1k
/9BEuLVv7jTrZOyAE8431M6944Eg+2nh4KVS7Ybp+egJThd7Gq3Bui0b/ZqaBPyZz6A7mm4ZnEnn
zaaBmjHYmvNAke7QpN9JtBufjRrdj5xgc7qfe3Q22fTpXS9vXrFMTcARYSjdoCd9T09DN+T6BwiI
G2icgujhqe68TJrdyDwdO8Hm7HQ/w7dS2VftiaLQtg6tnUhAc80u0ga54IEoNBn6m4b3p8Cc/l6U
3ag8DpxAcnq9l5Cc3X3Va5O9ZkANxRroSCeMbZsEp6ZMHABrAKWEB4c06ex4iUS7ofkxcoLN2X5m
O/8DJWog0hDmAnzNo6t/asgYlLABFkoe+j8m2LxEot3Y/Bg5webDfoYAZ3ft+jXboWHDNPF8CuzA
jyDsKTII+RBLe9Cktu3N/cnR/E6e3bg8PMcElbMPe2nNru/6V93WhmCvJ+EUCmf37gUm/SkosIud
QL0AIudtx8ckcv6tOLsx2Q6bQHL9aS8hOSv1/0zNE2ppBDoDHxVmQg4waIfioC++v3VDk4j55XLt
Bmk6foLW2X7WPDcx5+G6qEwiX3NTNSUHPofSmXjYhjMtrm226cCea+htv1e0Cdf2YrF+gdXzp5pC
dbifigUPdXSnzd3wENn+94QOUAUIshjY0LY7DWXQjgtsD5xOch8+iElUvcHp9zL9GqSHsVOEjvYS
ofNEvmISCthQ2EENZPXuI1Vg3xQQOEAQ4AdwHtbFtnngN9LsRuX+GSZ4nO+nxpzru7h8zW5paLsB
BwM9t9vq84T+RNg9gB3vCJFJsPZ7QX4BxvYBpnBc7qV6vLfr5GGJ/vemaxNAwy4PcCLb5ppJ2vn9
cAgG1WjsTyKB38mxG4v7URMk3u8nCfDhThfAh7weGLCvw2Uehj9TRw97pXzsCx/Isu+vaYL5e0l2
w/H4CBNEPuwnIh/XEIGp2L6quWLgQBAcysW3yf8kYr43V7CV7YGEnlitl8m0G56nYycIffxrL63X
x6GEE7viV9QZaECDDTXY/8UZKsCZgTdBQBG4W4rg4d73/v0FAv0Cm4cnmQLz+f8NML8+Ve3xxLnZ
2q7n34+qe3Kw2t9f/f7scIjeZOiWFN7pf+754tXtn2/hAAfw7Y8n4G0+4xmb/PSwjOmou7Wxf751
NlvZEHAJnutjDFHBpi+ng40om0sY6guwBRH6210Oh31QUDy1SZv/fLvZsYAYxBigk0JgaIJ/+wbK
NZtLUHyFYw2gKZvDdm3YISfQ40GBF2U+QKTzOCHbn9+oprgopbLmz7cI7lHdv+37A7pwahKC/hPu
wwYv2HxPwTBXN+tLWOKbd/8fO5KyqpumP1MdEfO2i5IqKEnKsjBjXfvOd7zhKO1blc1dN7OfbUnb
9xk1fR0YoeqPT2ZvlzRgiqbSUFdgxoDYh721/kbaJ9JQNVSZSJr2DNcKncXZqKKgYaWfhH1rSxG0
HW0+s7ZyZKALbuuwTnUWB9FoGA2h1KluhbXuOXxG0sxwnqP3o+dwtBx8L7pDg4P6xd9LjCHz+Uli
n/lcwDYG5nLsTiSWLAFsB3tGei+OZ34/5u9bCp0lC8uG0gvaoUfpTLKIByPzBxkMmUuWRasHNNNt
aW+T3hgUSqfyZgZOgWwDWyRuGzDtZfE8LtPkImvEUWFEYmaQIYgPJqmPs7zz+rk0jn8qddIWy79/
qp9hgBMcXQZA+LA2oAHz+UOxwYk7p8rNmbKR+FDGsPUpoBmGpVGppr/oei2uqgjln/7+tpu19nQt
MsQYgjMgBHR3bP63EesJ+p7bx7QysTpTfERnKEuaM2V0KHmUAG/5qKY7Fhqoz093Ei6GnisO7ARs
3Xp+p0rRYax1Up7xyqXruit1vowsH3CQVcncrZt8DIk78DJMidcVv1s0m0Xx/EFhoUCYRDedYWAd
JreHiq9MYlXIM1Zn3rpIG2+dwUEc+dIbCzP3dVkGgwvQL7u87nBQZyW7s7kwq04M9KT3iXZD0qVl
FqZMFe+JrjCZJXwY7iqnrWauMxYs9ERJ9SGcYTM2wd/PHvoZKDgpD8wGJEAY6tMUbNpToFy/8ZTn
Rc4paqJiLbU1cYCczCoakGFQ8VGXyOxrzEV10o91svBL2ssQo5Z9s2wcy3BIYhbSMm3vpCbstvWq
hAEZ8HcQU+8nkDeHVhC2SdKgedtjEJM+ldLXXLo6seQ0pXUVCT6zIhmXve2JWNi2aULd1+67thi8
JkiShIUaqaXBulrmtMJhltfFZZV7RR+wvIs/dmlRrgZjbVB5dfXeNxmfRbWKwqZMUxlIS9IuiFKj
zrrKMee1M5J5HCORBs4YqSLEbVIcer7NL3EaX8SDIn2QN6w+s1F9bXHhkJnfYphIOWCwDbQZx8Dt
eHqSJx7/HLkNPUp8jk7GuG9F2LkJLeAksUGuHK6HIugGPs5Q5zmzMe1vKlPbq8Z1WBJ0hWWLyNTN
ikYYX9cJ6rJlxBwkgzHJoq9whpFuA6lq50tTsGJWVQavslJVK1SL/Fa2lQ96T4rsSoqoZ0Fb0/hI
R7oJB5iHJYKTRc7rrujntNP1AqEetfPcYygO2y7mddjiJJoXhuhZU4nzJHJid4ZQaQ/B1eAuVG7q
B9yy/FNfuMkx1qK68oj1lo1IHbwwfjGuuV/quXH7dFy0GY8XTt+7a2zy7puJq8oLR2zdJlAxbuNF
b9MSlKPr5kPcNnyhyyiZ5ZYUhwreGgif6hImumhZkJo0dUIWdSxgpdePAbV5FBLrqGKp/Wwe02Zw
33UEUTjhTLt5kMJKsgtiO2GWPWH9iZ+NYx69a7raFkUwyHxQ+jaJEozHz6ZzelYkgdBgyssbPBSp
JTpobNNU7pnNbJH1R0LW47IVjY1WhZayClKcl1cuc8gqHQhpwgYwiIKhdkUPcBWcz1QUgT+0edbV
cz/rYjfUuUXReVK7PisPs4F1yWzoc2FPfGMJrKguKpHpwgZ84cJ3kjQ6b0F1/DisecVhwZHMFAuV
Sy2CvAbnFc37VvqhE8F2cC8YIlfRsDRRUYSJaLpo0eUsL+Ymgqhg4am4GEM+emAxFc5oExaJdvKg
NUNsLox0imJexpJ/c5qWSXfmltguJeUNP/OcKI6OFGGWeWmoelOPw6Fxwbol8ypOWDGPTDvWC6GN
kosh94vh0DWmqEIPD7kMWe8N+VLLWjohwIo/OlUxohkhflbM4D/XOc9T1zEw5Up9TItCFCuihc3n
WWL9y7GxhCxSp8ToOOkSw1TAEpzYZaTbSl2BMyZHaTzibNFUIMG8tHk8zjnqRxHydKi604IPsLQd
UBU9ixBqjjTxvHwWRyRuZky1AKdkBuITNaZkvMszIvwZBwGKGRmKpF4hV9LDWLLMD3GW1WQmSxnN
xibKvMDpdCUu0qhLaUhknY5BUaWjc+xGOV2gKoo9EFewao6GZCxXiURdPM8ETbpg874ACSkULJ+Y
1GHfSWcMbC+dL1oN5eAEEvQIn6FRyVEGvKUOuR7yDjdnfiWGcqZEbU+9RoFLig3LYIAooCS2iGSC
1OcR5So5qoci7xem80Z5jGxsr2mKvbXXR0UUcASLd9GonpG58UcJwjcoLWY5qTMT8i6aSyTrz3nX
QWSRxml7ZTy/+1rphBy2rIujOc88FweKR/A5Xl6m/ULpFp2NfUXoO2M9dI2sA+/ofMfw0KKB9fMW
F6k81D3G3Uqx2OBz6TDxQbn1ZnGmaW2WLDeJuegHanno1h1gk3QKBCsNGN1j8GDiA2x4hNVdgJXU
M6iX9+XKGhHhi1Q3WXaJuRJ01dO0a05tbzfBZzL0F17m+P287Aq4dVmOYxv0uLDj0s3Y5uE3ondg
n0CuqkBn1FPwFE3twVQlWZmNochaUJ0qjzP5TmkGKq8biApiuAY2FVuVnNeIDloFpEpcgLvTfXNa
OEllAuk2db/oXeaS+dDWeGM0QJlCeCIwIL1AmzjZquJDBIdyHfFWSh7wxMtgXQyxv+4UATF6nQ6X
xPauOY4hzE2Py0pl6RUHb7E0ykVntYjrz9TFfh0kNJH4qOSxaI6jpIzb2aBZ3UGAO5BlhWFaQ5fV
w02WZ95F3xi3PKzdoc0+dn4Rm8Micopvwyg2NkTWeTKDPICTucRDYhaVX4iPjhsVi6Kr4jpgFMzc
oLvkUpbWHIsiS72ZhzWOwezBudZBm2DxQadOG89zrEBNRiciYkVVieq7AgzycMQRLKl5t7HY89Rz
YEb7dmzn4GS6+hjpBvthJHLbgqclrQuhd51+0aIV184AYfrRKKxGt9aowQQFQqxdyQ7DR/UFSsaQ
drEfryqApQudTPiLsWxbe9oPLL9KW1MHnJlDWvStdzh2PoCTuciMyyrPyvJU+T09caxLy3lSq6I9
joeuSkLumSK5hkjE3LpCgRkB02naIEtMZwLRtbwGLzDUV3lcI/kJlSPhbTBCBDa8ryxxBHyYifQ8
YU4WHzlR1X1NYtdpw5wZP1tJOKngXW+caFzqpjZyLscGFqnENiUXfZaP3lnhV3ke1FXr+qcUJbQP
B4huzLxLKkCt40rGgR5ZAbbDmHyOetLrWZtjrpcjr2H1Z7SP2WyIBteEUWX8+mPnDeg6TTSsNfB0
4gOs9cJcKKEQGFhciXTBi8Tvgr75jHnTcRRkWcvee1jV3azzYktPaZTz9rKOjNDg3GFFzytJAE1I
HIb+RBKblSdMVwm5wL2b+6uoLwU8V9878WmmnaqbFSYCmwHRWGNP8zwC+bXI4oVJeJbMut51V0NN
Qe8H32cyoFHCoCMPotItd7HNPO4T8JuyGrSMk+1h/Y8//ue6LODv9zE/frk56//HT3Asyv2XBPzt
u+AgqA0HZKZv2kjz+FkgzFa6DX3x7IefqJRfkCX33znwi4svY1IYFEuexO8/MymTc+835MT9mAce
xQVKBBqUvp+6iQgcefaDR4FuP9igCdtr4SAUsTmJ4wePgoBH2RzpDVkebLGBIsEPHsUH3g02RAHz
AdU1Bi2D/4RHodOUbtOgs+FXodRAPCroJhl5kru6RVK5kQP+mUM4n4oF0Dp8aD7pVlClj1K3YLIO
MsF5ki6Zsb70TghYwG4eFwJ2QtjAKwdaxUcQffGMnCoHcmR/CBwLmptWAc+1NMsmS20fLTMuPSlP
vLhr6yQY4bdRcxiB2gn63vXarh7jIG6Kpk9OUFt4w5gFHWdOkHAHbFTrc1UcwcFZ4Bwy0uVyCOoo
at3PWOnIhqVvdTVcpfUIpPKc07hj73jSN4k4l9LOOytADYOCY6cIIUIgCpIYPTpDAKxBlIWxV0JU
eZ9w/q/W/IZ/xAja9v5ObX50cf+gH7eDtnoDezGgri/gDIfNlgxY/lvyUcCRTkDwQEWGwS8faMfN
UTXQcuZi+D4IDMd6Q8r8QDv6cD4+fIUE5P3fW545/SfqAg05Ewpk0zwFGgmMKIezcWD7+3N90chP
awhOk6MRrHcd5HnstzagaYSHoPJp+9mNC3bmeF55KatBnY2dcIKaFy4KlWjSOYJk4iq12TjMNe6z
84TbNAt8R6WBYHrZC4jerWpQUEAYXs883nMSlBHEx0GUdWwxJF5y3OZdeeLGArGgxPlJlejsgpWE
LwtXJJAjR2xJs5zaMC6caGaazF+OMtGrDLKn08YMEKuPJnFC0gxWB0XH8fGQY/+jbHDZhKzAadiz
KA4JUJpLyGbtYavK6LKsKe0C6XT9qnG/ZtlYrlmW89MxIxEJdM/tHN4AEUvr94ss6v3zLup5PEe+
yN0wiUp3hYaIHmYaOzfAXdXfWCXFOUkVX5VRAdXkHkd1mBQVupBJ1Swh0dGX1NDuKM0gSgQOMh2K
kKT4LnVLN0w9CJuqvCJ14EBEeBa7Kj421ejcKD/WNkBVic8gbFKrQdafWtHXl2mH/WWW8PZ9Ull7
JYTtiyB3Rv2VRiz+pJ0sE2Hj0SHw/ThtglGBJ264WuWbiDjArtSrxBMZCzFGel0PfdeEmHYfoVCC
YaZV/jWX1h6KUdoFolLejG6TnwChc+6MsXeUaVsBCTGOx1WUt6HymFmwnhs8074cksAdGqwB1Dj7
BHkQWEmYpQY+rXDMAhuSHw+IRaEuCx8etAeOxqCoOUHScw5Tz02WfR3l16WiycfMyiQLO1URHAx9
Wc4L30vRzIk8twoSDLkzRE59tqqBsTltqBgNEEIuyYIBtdEiGYGqzuNNGNQZBUTESFAceKLvvskU
NzqseqJkoPJNSJgm6kL6Xh/QemAnsS7HmTcOTYA1L04r66Qn2CFoCLOio05Q0oEN4Daq+EPERuwH
oonp17rvaAUspudDrqPhXZVbHI7VCNFYy2g8KzkQ62PhiXdxNCRhx515lRRtmAztzNfemcxFe6MY
yVauhhyiSx0nmbWmGZZUJf3xOFrfLFJh1XtRptEnp/Bj5yiqcZ3OhWLotu5cA3Sa2zWX7diV0bwd
MvTZAomhwljVzTvUqPqLHlwciqpD60wT3YbtYIdL07GcH1KSQZCruSgPISOAcLcgPQ0imyQyaCJE
PkCInhzXQH99bfzaVQGisGhDpsf8sIoV/5Iyl51mXj+4q15k4npss9IJh5RFRUCTvM1nVWzKBU9U
sfbiRLzXkn513K6a+ZUmQGn6w51X6QEqHEBTqXnEI/UpjRtg6XOdWgZgKf3ZMgrJ2MDSasWj0s4K
p22KwEJF6STBvZ1VVr9DBo5nCWoJ+qxdDxIyrumc59UYFsC8B2PbmFlPKzmjwKvMx87WR1mJ2JHn
GhaOJEk5zANNl2XTgFnTZGChIyp32eZUXuLW8ZaldLN+5ggb0TllGnx4loj5SMGittithlAAywwB
h63yVTyQ+iyjUZMHoiT2EuhRChPLivRjJtMaogBkSQcWLWpWUdwrHkK4UH1p2VDpQ+pwA0mciKPA
cwdzTo12bkqPFRpmKW0vhnpwwLiMiQhKJxU6EJS2C4cn9Re/G7o7SPO6zwNV6JQYGRVz2xk+BMQb
dBSKiNTnySCibMZxBdRN0kWrBDsdDpFbXcWZqWY8E92x9rUMizyrZ75iR7Qa7KxVKn8HpZF81sYy
WqXAh81LROtl7xbXsfKapdFdFEhCURsYLTULIEtSobCtP6/dfrwdSdsX8xb59awkTTF3y6TFQe7y
9Lx3Ud42xzSvfWVDqrtKfhydOFeHA6Mqcz/xIfMzHCSaIGs/Nc1g0vOoj5wAi9Q/RylwZcCV6Eu/
yN1LONE/vgCz2C8Zz8ZVG3cfPKrUZQ1B4WWDTIQDV6bRh0776hNxNAdGk6nuKBni7ANXPgYj1YFa
cVmpC7fpiwvoGKsXJi680MqMnglIqMKyHTEkuToGsw0uL+yLQZ41WDSLmrM6nRFTFGepcEFcP3MW
yOQJTEzuVKDqQPYHSBv/pEYg/thbfOp5Khoh1bPRFeXaX6Uy667jxuHAArRRckcg8jtXDkSbS+vU
5cngDtGZKKvqaoQ1vorhwW8q4DhX3aA94N7rZtFDpPolo2lfhiOQ5IcxyodFSqH20iPbzGsbNfPM
emCPGonGY2xHBuxWUoZFl17UEGwGXo3JeVTmhoKRzaLLboxWpZ/iU92XcRmqkTLQtaa8iEcml5v5
vNZlj05EOupDMBdsmdbaOYf8siVzIIu8d7kYk9vIUnkoe6dzAl33FdzHtcPRAKzGO5zpbikGIVYt
aswHHZXFRYu89hD0CaJ01ZQaiBkmCoAoboFYHwZ3ZlMFnEBDRA0csgu5pkkJUIeCoXniSfcwrXN6
3mRFdDoy0a8MOEYZACV+pgS/cUspbpAhuAw849WfZJMnX9wuylamdKqlIonDgcUDUwPLLwEnTXPi
Qc3KZQvZptlFJMruS8VYN8ss8j/jUvJzPEDKbIEnVkEnciyXYwfs3VxrjMsrNYhPEiug3tqEJ9Vx
DRUDFLqK4yRsi058lhDeX8GeLFNf+Bo2HR8SJmonGH0/88IiRbV7gn0rwY8JBJRbMNhEViE4fpj5
Eo/Dla7jWQ+ddcOCJD5bVMJnYaKUH4Vp3L0bES7TY6tzUxw21kk+eRXx5Br7oOJAZWWuN9fdqGM/
yPy+Hv1TqDRAUXhZAmXmNkewZLHOjlirgBBc19H4GWLf/mOWOeombXv8QdiGXaM6ro7qWl7Xig3z
gtTFitWmClnTFiEr+0s/Hz+DAfxGZbJOrf+ZNV3zlZQGIgiqvTgwHtSfhZMeQr9sflGjfN7RwjkB
cHDAdZWtVGbrb2T0WhXYqs4g86oJh+pQI/NDXQ72HdQTsyFsGprUQaVFHF9zv9HzYsTju2SEeCew
ZecVzv+mUPcpz30KdfP06w0fGmQ2JAKmULx+rBv+xDvs/MLBx3HbHMoHqoBB2QCYBah4bniEhzQK
Tpje7KyCDaDQgQtf2bLp09jmUnB4IRABm72726+Z2CZSCA5oIRj0BMgHBrVn+Aq4B2blGX0EPSvb
n5/2b5BNEfNHKXlzR4RdoDcIRAygO3iSR+Uo1Qqoau+Oo8g2Yo4rWjl56FatHD94XlNla+pozyxU
PZiBzizuvaQPnTJyv8ZKU+WEJYSv7Egk3tDMMuGo+rATRW5OofRZQV5fZr1XffUyCxZ75vh+npIw
hqIwumN9OTSXedKzfM25V0U3BFQK8gdf1hUBrhQaFPKQVp4uzhPk2k7N4tzTGXSYwAovThAbahA5
Lgo0HOOCqPSbY9oSxjyBdMckPW9ngDOioKUECsA+3WyHh+matjOgQjaJn/C7qCtVWh/agub0MKet
0exwNLGVXTjKCr7oJ3cjiaPflPs3KfszjCDXhRwXqv0cCjxANG2uP+GGoPjDje/68jZFGclkaEvi
ESgMCuzU6UL3HSRZM6hUx5CcOtQZwb93lAwG4h86+h0ksn6iTBaUZU00OoPzNGu49vdzBEv4qYyQ
9RECzRCwRRBq5Ztl+VzGPpEOhjjGufUd3bp4Bq4zZvUi59QSN1D/l7IzXY4bV7b1EyGC8/CXrEGz
ZcnSsfWHYdnenAmAJDg9/f1oed/bVkfY93R0d4VKpSIJJBKZK9dK9GMQvFCSycbLP1/33dzs1wUt
C+FGceQhUMC76yqzylAKN/qeU04agmSy4J18LihVdxQuK/zmhy7jiFW2uUJC8k3+fPmdqfCP5cPl
oYAAGzqAbJCEw31Y/jE1uT+VwloK97sIm1C7qT9bgf+VhSTGS7mVYXNXClsStdZ6NY/1YFlbkcDh
bBiU/+2dACHuICZts/amju+IREVYZE21Wv13L5hZcqfVDjagcb+fzeAd4cB4wUtvGALykgA+9Iuk
pNJD2Sqlpea/zMrvBA8vtHwHQijgzA4aweZ9NyvAk1a11l32LYu3zu/PUqs2W48ig4e0nsljFkzk
z8+/Y0u/T4XPGWWsEhYqMC9VtndTEW+VH5PlvqJRCltxsQB9siDaRRac5Gqog25eWrYU6lSywB5i
IIiiCvPYqqBa007YffcYt0Xbdwfty955APrphtc/3+bvuJUXAnrSds5CXM75QqyWd76E8nfUW3pb
Xpd+7DECy9QW82Mts+sLqmjuJB6VQy2XRTPOcn8pVW7+Mj//GixAOjoaAwHHESQiXNvvgxVpZxjX
IZCvXeMLfHiF99pm2GaErP61m/n4/SE3nL/XVn6HR+1V29v+RSSolNWJLvC2u+endjxzh1szXXtL
rWT7F7div19gtB51A8BHcHGsKtg7+f1zgS0uyEncbe4r+U0g2mM1Dqox93obSWPSWa+amxNhO/E7
uepWruR62yoeZ6WySyo9TZWn7bZZ6zUVc/hoSRdbATi18S3RkFnF+Qa3xo0XXKIjqtXurixqi3xr
XWaz1n9Zpu8IkzuOygmgMNktG+EuRxm98xhYZqenblIvoS/9yk+VhXBKJ1lm4rhP7Q3qBhDj+uY9
G+PxO/PTnSg7i/jVMo9uoE9mdv++hrz3XpyGBwQjfmxT9NjX7juzqBeYHFRk1QuV9LLXRxeSknfr
2IW7XruAOAxHnE3N9twWy7qGiSn6WRPfW84cPOR6y8RF33rV9twLMwR3URnsAcLiTW0Tn2vj79Mj
BzfGhNYp9KcH1ZP0P28NRJQ6sZpm37RKRn8vJHRxwZsuRbLtOWqXhblz/WrlZdisfIwOyh/c4RSE
Zp+7eslLAgz98/JxlIt1TiK5VHyFJHjgzkvR7bHBqPy2/roMQafVKZ56e3r0XLmNN31fZz1Icts7
bSryrF0uco/N9UsXdZn3PFmTjZGFUU6cMelOEqL82Te895qMPtgSFEbXCwO0dO9Mw82gvtmxal42
ux36HAqAFVKfn2Ulm0vX6BlH8ecrvvdGzt7SHHrwHpWyd7+/4tBbQzG37vzF3cxujLPxdvfnDGHN
5h1M2g9eMrgnGCHkDmh6tyGOBTv9823sdYTffDcsu8AJ9wIDvEaPKPn3VQ6GYrSIg/a59bp2dElh
jC9+SF1ovFFRD5197LNQlvfTEOV4HFX4EnZrNDqTpEAezg28VyfX100WBY+L2zegQ8NsB9PDGAmr
TLW/LfIaI7KKpLK8jJo4mbe9L/aCkteDnAqii8usqsd95U8I7j/sxy8rQCYgxmU6//mJ3/u1CAq2
tWuK9kpJAAPs3W5VB1nRzXoInybTWQSxPlk0QewEHjInHkGWd1HY84LZLnXs8pKPPyNbEajdpF0D
gp49gu3vJu3ocmv7ixIa5+4i9TZY9kk3kxrI0f21ZtVlc7vH1PYatazO0AYm+Yv1Ojvr9B+xEBz1
iOKlg1djBvcqz++TqN2u3WTVOU/RWLisrVHl+w2MwoWe9msd0/Br5d6yYtmXOL5ydym90mw0orAJ
421IWbwl4fnUX5u4Cr2Lcm72cdDrLIO7TC98qizc/RHXvAVNrkXYuycV9ZM7pCv7BY/759naj9V+
92gxZ586UFY5UYbDNN492rjUdtgYuT65+bR7qrHXmNbWbKX8NlpR7QDljlJvz6HT7ftjK6TNhCwA
d/l63NoAgtMpdoWZn4hSe4ZjDisX63OnDW/SlSLGxLy5Ubt3M7hNwGs149ZGIhIuWI6ZxU/kWDZD
0eYeQzGOYSHG1G9MxZIoYqfip7fx2V3h3rzl/ya2928T+c9U8d0ajQgXiK5Cx49IO6nwvVuj9rx5
wRpo8WlqQ4l3eAtvnSJapjols4SR/De38G472i/pUdtz4OzxH1HT7xZlVZKoVS3hp8HYWMi4cgJU
eWbvZ3y8SnnSP2azkMuQBA2MuP6imbKOkAWnxyhBcWrG+zAYoqw6Ac7B/SALcaaHnmYN7ACtYOGP
S8dG9Wvacj13DOXSRJRrElbRPh15vewTIarS5iVeq3h6sGQruRO/rtmb6mDc89Q/j7YXu+9tDlkA
XQqoX6Hs+HdGRTg4QHVd1k9FsQYQukZTuyrNZiur7gJn8/r1qIs+UFESO+DFRdL3utRXVmOQEiSK
aEdc9xQevdusLUI3haW+5N+ssrEu5sx4waEOO9l896pm6x9aGbT91xm0ef7gTTbA9iGquthXqSZ+
HMwJpC+a7npdQIpJgtZq7Rt4v3Z86Lo+ttNqGU2fJXKBvVMlRTf1cH7yBYS0Tqatn9cmWYRfedUp
dmzjPQbNuHp5ai02ABmI31zYGfFblo+XYxESmaXh1szbRlqLKarLpV4zkwC1VcFpisPcPQBxLdun
OZBO+Wy8Js8Orjc6drqSn0rKhjmsu0NcOpDJcr/JLzjrazxoac3bdRZ3lnW2Z7twTjn0v8I6qlq2
3tPqT3ktqExZy/JpJ3qPt2IYO/HAjhGa734fBP3TFk55JxMlpV0MH2MEG9ChS9ANmFte1MokrqUL
6ElFadDRq91WUfe9cJSclgOmsuof0HXn2YIgPlP7uBizTvvRgTzAb4Jz1oo6uKOiTAX0PAUKlnLx
o4g6d2SUF7QAvXeL5mbCpDewdlV85JDZMbCOXecpFV6aGI5lc9P5S63zYzXl4zzdzH6Wl+Up89rZ
+A9Z57j6Mqi8Io9O2EpAsVFNm8W23gxROcdJLrxAj4ci67dqvZzzQRTg4GXLbpNSSPFwsJMqjf9Z
ChP4yApmfxZZOruELfadUURdcTKubkTpuUGtw8v49qYoy4bfIUj3uNwmB0+/bkbHznRVBb3KnQt7
ESIEf6/82oTnpavstkl8b9r3RcsXJY+Tuz6bytclWzlfl+pzEfv5B4hvswohvIpqbk5h7QpHXdZm
jaPpQ4AKo4wTHcc7JhH2o1/Uz2GeQbi59rxmYKTEqnHZt3htXfjXws0gUVLP1aXd3FfVXEXZca5w
BJSHSnoh9Ckua7+ldRKN5RytvKC2fbBUXfVQrEdL+N1nJ3c6rtdWTRw/GbjsOu1JvRlZGGolO0hq
B8X+Jdw/IUuidbzH9F4x8PSpgirrBqeqmPcRc5ux5kUOxSgeuzbcXb43jXkUpvE8Sgxg64g3zmPc
A7Yn6u1RixFFCF9coZgK2UuGjKs1hU2S2dnlPj228grH/x+7WfZx7ry4AksSRvRMhejqqPB+aE1C
o0/Qy4m0qPjCldWIagrfCGbQM9o8U6owZcd4CbjE58Jsnr3cRqjAuJWSmVbbY4BlcQWXX+nXTCy7
gQW92GfeR1ilX5u43YdmopQWlWyxkZ65h4mTmXnGX8/T966rXwHcCt7zFyWDx9r3stiFRhkDACUq
LKCnHH9ZD7ouiMiHsBL7w2Xj+nMwDFbTp79i3Njf/P0nd/DrWxdagXj8NdTi7eP/HeS3z4EUOPVt
SJmRG7A7UUyvdRmosj+Xnbvy0NrZFq6VO24OwYQEPEd25r9NlNymEVMj8zZ9ftnZ8Zr5CTKlaQ0+
xK2RjBIU5IaPwGe0uStgjmyKk9pa96CXQp3Dm02YW/o1fhtBqVhB+LW3ZyqckhwtVbILZvtiNdGe
nVtvU/tmHkFWN4xP4JX8xdEPm/3hl2AtsNPc7vfLwM4NeHOV2gqLJ/gHnhmveFJ3H943Q9rMCvfm
yEPu32KX/cDfoSB2sa5hLPZbfxtQsc0bP8jGlV54FJYPJ/hyg4K3qHO+g0jWcS6NZE3HVb4jH8PM
/JZT6OhXO8g7zGfwiVh5+H7aiSwDWPb+hc60v3gTGiFGBA0IH2k3f7//zgR5MT+ZJm/y8tTlEd9b
aGgT7kU9rKE9XrtvtlJWQzyG519DHldTz+0spVvzJewAkotXqqzZ5yebgpH1RORWRdNBaTF2ZWoN
ecbF/argePfD2CiwzQbAAMiGaSrMZSjzfTmjBduBnno1QRWdaoLFZb1y46FZ5MXoSQtZRBN7TTsl
2ZADG8JENHy+GPXAC0Gj39y12vD/tZ3B7XxrtoGKNFh+czfVYwYoMPcVV7eLXE7PQZctZAEZDGks
Y45x5dVpcbWDh4n6ojHRsWnZYtvjIroMUZgP4WlbvljBUuFv8kbKur74BSdXY1P01ckUDfnutxUO
kOteQDRhOM7uzzWjZdQwYEM219n27BaRnMcn7c7FHFyMb4++xPnAELlq2WqeqM7nwT8Gm2Xj5cbe
24fPXtRuNeBVu4m/4afRUFP3TGzj7M87lqXDS4+B83lIET4/lQ3lwxdOuKm7OAGyWIP21lV2zycC
SrsY9eSbAbt6A1k222/6DF2B7jPnMqeQzHdsb9BbRloOaqh9rwaizOya1LdtyZ06tDIAE/51Wwf7
ehq9uQSEz+toxFW6Qbay5w0rngYKshvsg2dKd4cKHBPVYPFV0+X8OZ38ecovM+FZJq7mbOj78i52
qx2klIbt7jasMzcYP3rAWCsamqwSK9q3WfnNcAC6oJ11EgICBS9e7tqk5GyGMZO/CW/jqYKu3beN
1s92c+ud3sb43kayGiVItFtapTtdzRuygfBjvZlZUFPdRlCFTek4eMHfYl+QNjZGoPKs/Rky1Qmc
P+nljlI1JfEqkXXcSqgd6FYLbb96SxM0d0Gg1ZqdPEcOo/jPXNrVkh3Z0dzGhx8A/i3SqLHD/hlE
cq7HT1auqzxPM391i+VhDolt9Pd4KhEgfBmyCGji3NeUVeNUONtQP2+ecTyZGHaHhWQfag0xZRj6
sbENVt7CPkgn3hQh4teZyhS8lrcneZtLjaqF4YHLu+6P9dPdNM20+78Y0hovRP/74i2Hdv9E9xO9
zypnf8+3LcEn1nzdP5i5oBNwPky31zbKJlMs5ZxoMbvbxtVWx4qFuq/KuN1/88tkiSnxROgM91+9
QfC7OxUIEZa1d8PEdnorujdFmM8ymRFNMdHrlsXO5YxMkD/KxbbDgQN1Il48wrLxUm8W9u2h1Gvu
wC33O69LKo0vvy7k9zFbmsZUxONbxtaV1RbWSdUp431EBLY/X/0GNGo6cGINotE7CDnAl/G8Q5u3
WqIz0YERj6akrG4l40wVb7oqnXwP4+D3c41wavbbMj8XnJA1+0iS+ch2CGWcvcx46OZlt8kwQxRV
Jn4xdG17LKqG1Xh6GxBw4N3p1fTO4Xu9wRbVNRy5Joz+Any9S+jBcvAPWLCDcwvsf8HK6LcITmvl
PBZSBtx1mOcLq2GWuFktvH0FNRPAS5FMaKe4979kd7/ndvvlOdKB85z2o+y5/rvEtjeLFPMQAlW9
ucYKDJi7IA9gJf35Uu8AdFYTwh2LawFZ8f9gT+v/UaGao1qjf7a7/9oIhC8pUwStnveBE1332Y+D
Yp9UU1bMMKJfjyn75Rz/fC+/Qwi+RZ9j/t2761EOx86d3+8lm1wH+LbKH2nMixsrfXuPx4cBTfdx
k4TOfxvnf1+QDosAB7u+HnBxP3f2nw9fFz0UrNbKHvTSsVFABYvHy3CtcXO/VvafH9B+T+Onm/Ne
/QptziXkOMj3QObSVF7ejU3w8MtjzMW2g/Zr4K6+f1q8IZpOlcq2/qOZ3bU6tKbb/TkcRvEohs1j
P/rLHf1u6Yw5qdR+ng5sGp8mIO/LYmtsiRldlX5o3hbVTFzHGl9MneHXS+RcTEHhoVR1DrHL5kBo
IYr9RioIvWZLJ01mf/JbV/pWsuBa1hRXr/k46yOz78rVJZ9M57d6lnpzs39+iPfTyMR5lmtxBAqQ
LAr/99MYFHp0FjHdFUO9e6btZyCkBr8zH1cRGY8DZ///oS5/b2pBww0mcv9n7wT5u9mEC9EIxxMZ
iK4/t70lL3SVWBLPKhO4S/n/ClrzLSD//ZxKFgYEK+9f7sCdUX8i96zu3rYlguR9NuB0sy66Qe8b
xp8fcPcv/w+qBZ9FooWh7qQUKsX8/PsDzuu2lP3m1xdhJ3roV2Hbhu5L0LNg/rYE/30ppi6i7BV5
e1+O966uzZx2NUjcLt5CkQktM75mcXTLy5+f6hcV4x8PBlbIpWIIMj8L89H7cqFlUZcJy2I495tj
FcPR8ZedjWCQJhj5n2HrqKGjRc7BVuOkzTayRUi3+Wi31+zWUHDyVNYK5OfG8cAerPs2oy2HvFiJ
DXx5ly1lbS9rmjmUnL4MWrekQX3leJ0+to1BR55CiA+G9hD1PlDbjbvY0g3u47d6Xh2QjEA97Fpb
L7d1XqDcPhDkBKUNJlJB1bgg0QhLhK6iUkzFrwAlFPxZkcDb3k2BCD1iswh+urG3VKOeLVz3XKAY
8FNSwz0MmCckNuJCOhF5QucYPkCIFZjwzh2aPZgTb7GNojjKardUZEMeq4extbeEvhkIBw+BChvY
9/+FPDTbJtz4t0DmZwRFZW1mfDcd7Zt4qCeQJXKLOnCOKpJcEpH6HilYVCvKPG2WlsNGzuD5TdU8
uYS9sXsXrGiC1GUVWGIHA4apB2dd3/KweF4HVx+K2rTAriAwIVWGpCrGSGapMDKfrTaBIcf+eR/r
WIUIojSLW3/y13ja5CfqDXtFixgQ6ekdElCKCJ9KBdqcHyAhQSc4Fb227SptbYLO/6yknkN05QfL
7LzYsMDH6A7YLFMfuziuarix3SCQ8iscxzKmdOOhln7sJEzeCAWgs/VrYgmQiSklNLP9KF29NZtv
6ngYB5iwTTWXZNNx1FMXLQtrOHtWM86vgdXWa3HIPALuLmlpy9F/7kBehEEMHewlt1++SFMPz4Ob
qMVvV6euaHZN6K84C+B7jxPXbtw3nTfTaH5Gg13Y1KRsfQwjBjlobwWtjSfLZchtoB1HCF0LFKs4
cRk9qi4Wzakt/dxPijyfH/219KvDWs4Z2vvJvSgtd6PhwDJdgGTIh7APHITCfnEXliMSE+1N/acM
o77w0HMNCauveK161XzOrVJC4rSRgEWNO55JdoGUnM6/jpT1ImuWYzer4CaYS3UIvaJgdi3Rn6pw
8Y6VLM2HrWpG60hUPh6j1XIbLDZov6FSeUQvpK57T+TX7TSMR38Agob7kl9M0sSHIp6jj6EqNHV9
VX4vB50dmkLlCazy7uBnsb6KNqc9rVlHFbhTvsdXR1C9vaoLTzNfeRmRj73CETZneA/Zdx3Xzble
7GZL1rjyTwVimEflgc2j2LD0kAhX5k/zskVfG9HROgJ6+Cc0PuXRot/ElYdGqITtLtwbD5ju1KMQ
/jEgM/gIeFjCVxrd+LtNqYd8xlb2w+RURXlCyySO9tCOD8PkATjgCg7Dupgrd+jXOvEREaVZGGdF
9Bl2b7xewkAw3wbHq+yjNKgK0rxsizWZXD/6EY0+DTtEJvqrNoaOcPDssfq4TG5NntTKa38YbZ1m
USG/WtVAMxbaLl0Pgb1baObvNdR8mq8WwtlbK6ynS9BvcVXWbuEcIrzfd3ue0fdtW2QXpM1KfJmV
hssvxJI6cLO/DkMlHRgFCvrgroRK1qJRTQJjqjcHtc00uAhMrvPEslV5h+QGR0xKRWMQt3Gv6EjX
qCuasPQnRxnn2m9otQLS++zP6zfLZNmdZ7N8EJ8grwi1VSb5QtuOg79KF7XD2N2pwuu/rGohJrMo
b+e0eqjhQNRpWOa+SoRxva9UpmXiOk13lgAFKI/a8eNid/XHoVhHulyNY/6ki1V/7hfV0mtnMUua
2b2qkor7o+Iagbmx8JZd671E833sDEUDyXyqvlat2hKKPO1zJ5F3KjXZH+m6E10qp49S01vZlVd2
3tchCpabCrx/ouyAzh/QZ0wyI5CE5Ca/CSIhUQnZdfy1FwQ1h4j4rEr8atD3wRzUJxx9EKRxuYUX
oy2Le3g6cDvmon9yaD5xnsxinys1BV97N3uayZOfNt1u0VkrBFiVbvMfKwNyLsbQmCNh4Po49rFP
jwFPU7Gt0QpYxTRdBnGtzpo41E7ycIif4m6MX106LnyqYLy/opnffhgMHCWRdFBjVy79DZBr6UWP
j8SXIvHnbroR/VC/bJbszm5jZzCzgJPvitXy2MsWPJJVlRF4kF8HFxzxmaVq6Kpz7Zv+CW6Xy/1P
zpVtdfTmCNzhC7icvo+7Aub+2sSPbdtv1/lQ6eMS4nJJg2mj1HnWeNUbb77v0L1/6qPI++bWE87B
0et0560tiwdM64PtjuZ66cP5sqQdgAS3ibpzFrTegfQYhiWwR3y5iT67ybKi/7g5UfEUEUN+0Vs0
fmLDzy9YbOEtWvsRDlNQnpo482+ocNtuOrZxc4g2Gvtg73132nIhEXxExX2+0GQNvVNjnfq50l/U
aDwaR/jbdtPHnrmGqFSDDrTyU+5uiAiKnHY6blhHFzY1v3RSm/chmnIXZL4X30WGzt66WX1vK+N0
bRdi3UNogLSjm9p3p3BExNLXzZg0scpu6OSV34OyNHfCW7vnZuy/8jdQ2cfSfh5aIpjKhNUdIjjo
l76yyyv0G86LEZmZU2Q71i1UH/NUOtOkz4XTuF4aF3Z47WWyj06x1Xa0JysidaCO623JRL2bJid0
oEqqbYynpHWz7k4K6v3Xq9AhYx1Y89jf6Hii0GMvvU1XDE+3H9B5iY9hF6MaCBaacx2LWPUPVV5O
7ZGS71pct2Uty4PoOx8SYpbZ4hxOw7A9rFHXm+K8hx7WIdYLYvOaUZNzXl/V5OR9k9ohkUvqtyab
bkFLqgHRpp1/msNNrqmkW8ANdL3MPsw2IeL1SCI+Pvsl2V+PH+nV6AcETjlKl+xiGgM0WrQY6KpP
m7tmzoQwUFuxuXJwdtZl5FEROOu9F9ChmFAMPMYirysYOHmDMqqn7U1Tp8KLl8eSZg1B4hRe81Gu
ttjOM4lmtXfPcKybOa6WLnV6cPzbENXYfIAgtx0kyNZV5YxliqKovhrFuiA7alYRxJvL8HfW0h7A
adp6Z2kpx28/jKNXRSNdDaqgoamKGSTrIaK8mRp7ddqjZyNguKkLqrNJ2wHzptu4aHqNtCuFn9BU
9UVXer485hQKb+sSmPRQLeVy4eaeHR1oY1iEQGJVb1/WOSqIRBkfbaIzU/0ORmdExxsvISKRzBvo
6FG7QHFgds+2Ev33KSY0oYXZ6pylROB3zGnpYZyUEK4QMqU2DxVtptlN8LAKT4YEZiai1VKKJx35
gLREyblQOCEdBUcaVKjEpy/GEh/rlo5z9BJyFun7tzbKd/NEMbfNkN5E3td8ml62rcif8kK95LHy
K/osze3jDLdjV/31Z4vNw8JJBD3lr3C7blanuevd0pymoo9TpdWmEtoYoARtW7997LsmOPQ9iiCD
uA7/Oo3ttzHPtlMo934a+ZLdUmGMrNRehlkfNjYb7z4eCvcxhEDUH8oJrAd7wGAS+HDzd1uq+qPS
3RAdhzDMbwbZyUejhzE/miWfsktQ4xxNW7vEl62s9IF2Gc2p1pn/iEDNPsZjIa/rzBe3Tr14146i
aCnzgeI1yhN5cJyMU+lMaM7b4jhNYoVswgcrnvRwVHYg7+APzuOl2jV08TBbS6rrvEq9YJhUEtt0
ckklhEhzSYePfDmugNyPW9aX3zPq3hrJczEdehYlvWHWur9jl2fzL4O6OZQV8QW3kD2w65QnE8ZB
ajpVPFdlbr+AvNHRprbjs7Ti9hSqsLoXldWjRAqKzxY97+jsRCZF4nYKnaz6ImdnRCnlSvnFtbL+
yjhutiRZv1RRWgKOXmXK4aFzC4S7XKaUZNf9UJGWXE2zXX6rCzd8qbPc/lzb7nwzUbk9+ErLSxfI
+Bnw3UGbGG+LStzK0rdBhk67prI/70boffPqPRlGXbXv2oszvMopEuWxCUoKoYDJMrjs/K6UKQpE
tKGUVSRgYThXduo2+BF062Xl3zZqcF7pRDfWidNwD0nV0F0yrfneFPgLmyhW5V+2gXHCw1hA5OyJ
tWjx0io5/o8iayvSWrmu9cLGO6PBFNE8XYixDg6jqsRFqX3naecNnGxEsSYpV6E++P5SvZopUmwP
ZJ4naTLYUDLz3RtKd/21WiGVJH1OSHOzDEa91g6NpNIBmJGucVOzfBvHlbXCoiRPMwoU8/tE1WpK
qMhNx66a3CtAaoSjc7lsBPPQRn9wLCvi6DYsxmtvJX9LBOHIeGgyLfyj0C2cX2ub/OdxaJovoZqW
tB7c4dBYQlt3Zg7tR6prUQwriBguCca5aM4zQdUV3q+bj4suiopQLib0hMUh5J1bzLZIDUpThGmt
5atjryYUBjBSMKLUK9qi8urplE8BpZSWxoo1QRptZkhjp5ReO6VDTO0ihvzcoU6vPzjSnocDWUWG
ABzjlZtKe9vkzXqmLVXVeR8C49L0s7Z16X5toI2KLp1EtFTZiYJZvVi3dSEDGadk24iAE0N3t4Gm
AWy4/nooqF9FDZ3L2OXXQzetWVtfrxEdnKx0MCRg6r6ZQIfcZIHmjbqzN0qXn/O89mR+mFkqlFFQ
47hdn0yLpqnHKSdW6y5NYei+NOhhmfxjAf+p7Y6+ptb2SGccai9nBVFq7A796gmruq+MqpkHT0CX
MhVMZmoA9LbqefwfrYhDi3Ecqm49xKpY/M8+cFvx+AbWCrUXHGhbuUOjjp0t6pr+KXvpHr7AXgdh
HW7h99zLrAWxekuDAXmp7SEuvxg1F6Kg+xdAlyCzzao5YIvAHY/PpgBQiG5GAsrlzkLJunqpyQej
a3ozWA6zxZZXyerVjUw3tQe/Gc3aXbuGx6MZkIRlMaSQXmh69UgHKFUGxwCiKu0iLGP0KuEh0cqR
73S9XJ+Uiir8sRjloYaFdOtA5iJ0VzEec42RdI6Rdy7HsF1XBQo7gaSWKZQq08zeMe8Wr2yOaoZx
Q/uDvpPRzUboFx0z0QQZVbApi5VBwa5j7xium+udqfu1zyoyzZOAXTMmjkR8lniGtXOEbdJ+t7qa
KAv2O80qjjKgL+xh6uGp0B7Q0RQft8CsP1n29BbMp3vA0ukCHLi8kVbmprUTmNvKXld6J7ktZK0p
phCsBL2q6EkQXmpCuDBxO7V6ydLNdXfuR6T64xKpuUOcM9Xf1WZlNa7Vo5NTwD5qDqO7od7f+1kQ
IIjmSARKhphVyvfPfeCN7SFro+WVNpjLqhI7n7X9ENVl7R9mTkz+1lsUsBHHTqQG3SZoA2L1lV0c
CSf64cLQqWz6notlR1yIqJ0u3eoiP6HTmjJxoq9cBDnH0TS7yyyP/gzeag0X9iDDL2j9PXugwaOD
KhhAsfTJUMN1uGujwKI/sOWb8TPUB2gTSa9g2aVwOvREgGQ78IoAt+5yMm/aBmji8NuFgtuSzG4d
HunY11wJ2ghAZTc+4gq4daqFuuGsaPqjzo8pSdG754xugYkJl1wkLty6C60aXaUGwOx1g7CAbWTx
RyPokGaKTZ0CWy33K5N92PsAxccKbsUPAXkJ8LBS+Y3ADQ8vJJdz8TGsWtTsAzym/8PemS3HbWRb
9FfuD8ABJObXAmrkXKQ46AVBihJmIIHE/PV3gZZvS3JfK/q9XxQO26SqgEQizzl7r50eOME4p9Zy
7fSNLdKc9+ZgZed6NKMrZJLxe9waXHlvXCbkaisBAG5lOm1kqo+fvMnub8cWH/i1xMbGdNgta3bT
lV055bZ/NmgfuqGf1ePRoGmRhiPamKfRtPAR2rmyDpWVZcgTW/u+ieJ614lKf3ZaZUBiQYeYtMWC
Ql8t8wbL0XyNp1KkoejVgKmrqBDI++ngD8cY7i3bfLUgB42jceLj+sUqjaAaDiR+XbFjQsScVTcx
FobxYA5svRp+Byyz0kVeaMarTzeG03Zl9rK/jCHOeqFux9LdIYSQD+PkdqiOu4pviRrA/Wy1CQDM
kgM4vNb1xKtIBcO5q82Qmp088pGj5E2ahLzQM5RXtEtul5IOALZnKZ1tPiCwC03M3dulmfiZ2EZO
h2yklOFgym+jSqqtiNQUjJ09v7jsFsPF1FWtDCFtemdlt13PX2dDh9DQ9JzMUtRXZhGJCy8pcheZ
UATbtTUi/wIQh3iDe5mfJk2qW7R6WYAGTLziiukr5gyuPweprbI2cEcrncN+nDO1KVqIVNs+Sb2C
/bcFfZIZYrZ3nTPajxoM1umazlUOd8aqy3lTwCd8gRwZz/AmjfYaZI7Sty70NooCX+BqaCLdXvmI
WfIAZaMdA96bnOo4n4eJ2Tbeet0g1pgjbWjs69G1V5Tmc4PKIt4MffECgaB+bjsYx0Qh0HtEUYlQ
Coig5RftS6yNeszZatICjZPHVdtj71H0XT5Xca8d22wFeLRp7t50fVefOrvB69G6+SV9AfegRbr3
SMc4dVkGsfMmBRDeydLVeWhnqLZkzIsgG7xxPa3pJdKZihaPq5R3UGZSOeHiw93clCmUhsoWQ3HG
LZuGLc2tsGWpW0Fj2v2W44txAUgzQRs4Gs9JNE/PftQZG6l6HeuknW9Lr4i+ISvWQ8u2uk8ex/29
YUXGG7jE/FnnR0B8Tlw4JP/PeG68q4kh/14OHU+d178iUO5uZQ9OAThurRs8B8utHwP0YzVY5Z73
AfyR3lNmCOHpgi6adjk2on2C7GOE3kSh0sCEXzZTYtSPmldY91liggy26OofpawMRmEoLXPT/DL3
dP/bbS7pB7VvvKDycgiZgeNieqairUt5bi1VW/ZNlyUNu7wiVhptUtvgf0YkMM1ZCZNDMnCsb6wZ
Kc28HwVeDRGatT51yVHvkzJbIKVg//kUpdNof7Erq84PWe2VnRVEVqt3WugNNhBhNq8cNQszLfQR
mW+kjh4ivDMWjo2ePqdBmzutDjtpnuhibhwx2TvLqkbvs1NVHZtKI/NiKtjH7ES3Q8556BRCbXbi
GEGLhcYKOTLHeFRVM15oHhpk7Bag2yGR9Ve90WZXhQw0EeptlRznPGFimcYghyDHRKuInDUIN3Ef
g4fVm7vB9DpKmNScnLZ9rL0xGrKQQaxH3YdlKJ2y6yyrVV+HagTEb2x1afaqeevzZTDmDb9FpnMw
wsjmDbjIhJ3hEGGTzIBFaPP6TSwn1v1in0B+dpunXosXYW9SQHH8N7TwrjNdaJ2iYL7IZhUVTjDp
vucOu9+M5342iDD8w0AN2Y4zJlNpaHu/jHErnZojm6T/Rc9wkXyfegvwD4yfWrOMUXuO3gDqWi+t
VgBVBuaAUqVgjqKCzoQG+yn7GHT98+f6ebrMxwJV52BXJb6M4SGzop+Hoak9Y02Covue13IdtJR/
Cj/K3C9YiFrNuOw3g8qfZ/Lr34iNm6uxeocZ+a6IgR9lCTQNvU7HL/G1/PNvHP5U1Zh21TKaV25i
QXbqBn3SsHykGcPKP2/Ff4F4vwHiQZxfDZf/pwX4G8/h8Dq+pumPAIjvP/IXRtK2/vAQ1HCQQY1g
oI3/C+WA/E7/Q1gO7iADKxT/C8v/O8tBiD+EybnEZ9RvMQDyEOkwS17jOFacAyogT+epWFUj/1kc
xy/M+jUXwrNXBzTKWZrUnId+XlnoJwtUbrG4V0pSGUjyAJj1GHzOYClK/1JacXuH/bz9It1cYC3J
tbPwm3lfWdosgwJZJSaAyak2cKJHcA0GqnFNbhmjyxfc6/we+ggwwbUBN17GzCPfED1hHutkgsNq
Cea+RuYDGtOn28SvRho1+bzHKJyfV4j1AQW+2iTMZb5yVF9a1MajdaMxCb2ZIIgXm0R146sfy/mV
V8OchnHCZQsSxMGwVvOWTlihN6tiXL71Isleu3icb0EyGWjqs/llbhf0fDIGDGfOS/d1aGNjI2Rh
HWOhG3dx4tzBfU6ZuxVKfEKKueThD+vl39ikPkRM/5IgfNwC9GQud5Vdjud73QV/EFyVi2VlWqSc
e2S//tFGK7h2EFv4avWk4dyjynJBvpX+be1KcVmNgq8mHa+2gzTXh/2SZPMWYWN99Jd+uFoixqqi
t+p3I821J7wi6pzM2rS10yy76u2O2ZqXdMUjPFpvHyet3PWK96jntZ86mD4HW46XSArFg0jEHuT3
e9Y4zds/f2n/5x2NL43KbF3Aa8ow77pfBSUSJUYc6RKVWV1GL8Z692MMMs9k2Ey3zKTaY5+Z7ZHj
DmxCyGkCi1y37JSZLVc0MfU3mRtcBt8ep5u4svIT1nf7Ppr5p8YU4iv2GeMi1sR4k/SOcWnGzXTL
C/IRg67Y+5hKHvNqHAI6g/ohrcZqn2itts8HGs0zkTnbRS9Z02anDxf6Yr5XTn85tsI4dH1kH+AR
UCkzOg/Tac63kz1i6JB+srNTxkd+drKsevwCQsrcEAQwfpFtZKIiK9pD24EFi5KEpsHQ7+CATGce
yvzaHQBiFSpPD7n5zuk+azdO1DoqzLOFUbcVlwGv36kPU+bQm9rN/L2+tBjQ055RTFVN56niLm3Q
mWdXZWI2l7NXiCcqD/nVI1eCAfXYruMWCsXDtLgGQgClDv4k04ui6/SrD6g4qL7hCk732gYwe8DL
TbJkh7lNOBksVizOWtpNN8x4uaAipSRevOUw2uuzqeXLXTmM6gkzSvPmx3l8aVm0rPV4mn4jUPxl
z1pVgaCUDN008c1wLz+McD88MII2dBQPrnZOOn256/y+2mtwxR7nafTC1u39APMcawee4ZdReEuA
kgI0nTXOyXsm6+laOiI6NZ3ePLmNRWWUFPoeiOzz5Fv5ao0oP6Gf93H1tjYZDINZ7Qvu/WXNjG6j
d0D5lb02n8tanCe9zVFZz3zVudfmKyuJ0oDtat4Nli3WDbXOT60tO2OLB0lsQUc1/E4O4tdtXi93
H8tWZo0fpKkzX7WNbVyCv4y+1YWnP3taqZ78zFBPFd2q61SlbUaZRPMwpNOWvlV6vm/qFjIuLbo+
2Zh97+zRANMxYAzo3Xh6U8/bf350PxKG/rVfrZcfsbhH9hDeR4gd7vpo/3D5aabgM0RAfhatdLSw
M1xjM7eNdp8hJ75q4WLpCP6U9pDN6ZDQn5a+vJpaaI57hvy8XkyeQSCTRROdPIamr/ngIILxG/jr
ASVg9NJaM19GF4VxbNJe+82x8t99AbrtfCxnVX2JNTvwxy9QLTmuMwJhzoWzdNspM6brRsbxrnEi
GtyqYp+JqDpubQASoDITW9uCMJavOoXohTE60TeePZONea5fzck1EJ9M+QnHXh9hovaiB8guK2i/
igvvNwfBj/fxLxffci2oIEJA00Wi+/NnH0GZt4s12mcM7zZYNaWib6zmyDu0qi0eUWQtV9mkppsC
Mtm+KxkLbATMs6Mn0+FUl14ajFTVx8Ie2yOuXO2hA2mxx6PHfK9t+upm8VR66TJKux2ZL4sNCij1
jfETznY/tcBqjP1RR6IxBHmzTLcMwWnauYMLWjSzKf+YH2I97aMnkWBW1DzNO0HdFwy4XGdXKDPe
SQhOL0DywMGPTJTAp7aY0VwAkJ0Q01cjVuxXorQAyCspjO1iSn9n1jnWyPbA7Kpq8NhLeQSoFL2A
Dm2PnAmm249HL2KS9d5GzIHIKuFf0jqPTgv943MhFLypEnFZ4IsmedelWpBxJNELK48JQVGuO8h6
aVAcnHCnLVeWvtJULQqNM44tSnhR5g86NX5Mh85Jn0FZfjEpnI9whadjPtLobVsx0FkpxGWC+S/E
MDVdZ8bCu+Sfn0IOidzpn1aCj+VRR6jLnr0eB385NrBXl73Kh+acFEaH/1HnAaM9zN5cgAFgXA1n
A8YPXyBh5rjjKCZfHeCGgO/Yk4BgqWPCeDxMUNadmrRQeBNLPWWOTUO+3MRxtesw1fO4Gq7+No86
HWIIuW9itIavfepaWkjNVrohMPs63Vccx66GqrO3pavPrAOrQmtV0FoqdqgyalTjS9kf4GxM4bxg
PJ2s8tM01ugYXPyLMFngA/qNo93hKp/HkMZG/97YvFZYX0nY1k19mIwF+RtP7cEt0vXIud5XOabd
k5ryg63lwxxOIl22vjk/GfQcaAd4tFv0GVkY/d5q78cWizUTygognblfoDWVDAyH/FQbmX6A40L0
iGMuzX5pRFJfiYnCOJB9zpxwMNNHpWXMVRc5mh4iR0im9O/otIMIRbCacG6ZAugYUw6ySSbvzCuM
s0bGHQccZGAn3Zt4VamSmS3zsHgDprnbdlNS6nzdnC2vqBUXSo2IC3Af9jwGcyKWKPAcWkGwfI3q
IcanfKTxzFtnMTLzLTEjivnYcGROTd6txx9/vsPxWGvbBXXAW1lA7A26pvTCmZ1dD7RqMS5jqICg
Juvc2+AeqS+QakC8tA3TfCbeIUWFqPfLHY5u2pyGm03nlrPlgaQiHyGHWpZvlOHe0esXbVv0tDY3
qJbot+ntMm6tgbwoCGRpEjhQOOgkaazCFHtazZC5JRaL9BKUH5EeEqdQfAPHcQaGQMKOzbGVuR1G
86AY8/LapSd8K0p3DHgZ+FwZf17uPh6k/1a2v6lshemsqKH/v7K9XpMh/yd4besirV5/rHC//+j3
Cte1/+Ak46wGDJtO+ke9/J357llkJRt0rnRoMRbgKDolVI4fqZLOH9A/DKpPT+cMJxyq7O8Vrmn+
wf/KFAWIkq2T+GT+J8BCzBQ/b5TQ5Xjbm75LkYudhEL851emm0+cfwuVHaYOzujG8PPEDaHwEfMh
AJpN226QOlQY3KtEeIg5to6VAIkaOAuT10CMDlZ9E5cu4y8oMs1BK5jFtljgqxIeV2Kqd5Sv3uUc
JdaRwbhxjSnIOnYWUx1eGcivCumYxyFdRaxjBikK+9S02k9979KHrv6C2kK+SB0hw3bIFDLJsTK8
S2gD1utHCBFBUgxzaxrMzgYimyf3gkE9CWW5tv6IuSZl5Vk631Iq+o89rBXkuRKZCi9vbzrHk+0/
lqnBQ5wJmDV5yenElJPb3mA4z+tTbSPiPTm+q96VpxsPRVWyOxkJKCaDQ0waIOtjTFRMa4IDwADU
zL5FgSpE3B4wDhgPmBTsV5cW7G2Nxf9gDon5aRm96bYya97Zpo6o1ykVEZsC/hau6zh6RBvErwaO
ykTGRQymwDos6j37iCWjWSseUlXIFzNqdCbACHbUxpoMoDyIa17nmJ/b9DEfwDbWWKWx4G/TzVg8
ZACpOBCbmC83jj/xra2cv5OUC/mCioPv7hc2kTH9qKMlt9LyogKGd23m8M69IULmjHDgKovS4WjW
PoTV1OVnXG29ng4mS+Y3zLickHXNv/nzhhY67doQIrT/KPr1Dg8zuZXcUqWeHQKwpstRRvQcplwQ
/qSrgtglrRR8hXrO+C1ySPjTQ32wrHwWrgsgdD4j2BtIHiOzcTwXmhsDM+lKBqwyJ7TziQLRMndF
uWg1SaXLtyTquRL6QKjUXLCnLsrezVXiWEERpdHjIlR255K3Zm0Q1GuctUvxUCGre5lQK7BqSxY6
2gCOsTMdkXizRII/vx8i1kXU6SZdGmfks7rdwGoQreLO+maH8cSfaet4SLusq8J1yYACe87i0wSJ
S9Gwhnm6o+zeaXPCzNY7aVwn6DTGEBYxN7iWnHE2zGWoUhk9kqJUZQh10A0B2NoOLFEHw2PlX9YS
M87BzSipNZSbJgQfk8/9Z6ZQSXrB2UQ3B7ZtLFkxkdGr92la0w3oH3HvhnWdzBS+L3jSp1vP7Mxj
Cbb0xaPRjqYS2e/et4W/hbid7mdeZVtpGfIFgW70+LGEPzK+ZkY7F/X6sGfrIo2cAU+q2XNJUN3N
txNl7y2I3frCSjJS66Af+o+g1LhwHRwwM5CFx4LpXb2+KCAIswLWR6IvZLonT4CLNyc9N1tn4/hI
Llvctj00NpSW0KGh8WCBun9EoTRozIBwlG+yhh5B0bo8nE49w2QXHr6JxB4HdDAlX4fot2PKOYmB
GkMengcdxQuScx5yjpFcHybsxsOAzm8/6ws7iEX1dHST2r8c68K/XBpcf7iqZ35DTc+OUw9BkKiO
XY7kt1kzQPxHiTuzn8aLHyK1dg+O3eo7vaC/ZzeTFqIg1toNpCG+LwFO8bhbOJMnW0hEPGEIEfhA
REtNZ4aSBHDNapJXhDn42xQ9zN6ceZaRkVlHr8rJnCqNgt9jIaY9Qtb2QkzLAvtGZDygsui5gqU1
neU65UJQkTcvuR41B99QMcmriXhwGRhe0/+BmU5GTrvcK6KArMOEkuvIqcS/RNedorb2YXGHhdCM
h4iyR56wQBCFi6ukSE5llKX7TF/SPZ1MUtWGkbtUpBEKbOQC7RY1MmsqohmGZJNiE54HVppXnUFz
GkyVYTw0/Ww8ZPY8zmHewkjclOiY852hOn9bV6zS0R94IkqnwThX+8YD7Fo+D0LwFZztryvHNdCq
niw4HMgB4ki9x4hW92lis7oB9z3AlPQfW7yT2YUl+/bQc54HMrKueews/JDe8Z0D0azrv2cScd0z
H4fla7h8T33d9tCsIfWA7gYnlBKe/Y0GmEfjxFzXoz+TiCcbz3/UzIUb+eeWlikDXxIGG5aSDcSy
P2aegt/dDIzcaPpqxq3l8HQVRe6jUBi5vGjTdh9PXDl41uNYdRMIm8Zuk93HzlrD5XP2IwaaRyM1
q+pxjOM5f7JRSKRBYa2ljjGM6d5KOvvVB4KCnKEp74wEcacXV+8USP6xlYhPNl6D1ZekyZgdmA44
YXnL6jspOD/0gVd70mCOmVRGciPmZMYQYpvlGBpxzxFiQyR2bQQosPyLsgJfsRFuhL4Zn59f3GE3
IeQkxYEcFJ0WP/IqbQ+URSW3aMVObHLE89c1zyRiXbaYmuBF9EOB2bTOe01oXg1W40TwaY+IcfbG
iXOI2T4AwTvW/voigkNYPKRzLC94x3i3RuXqEc/uYO7axkwJVTC6a1s36wsF0SIYvDj5hPOHRtZc
RZ+xRW41UTeXihkDZiQ30N2MZ2DTl0apjQekdUeV9PKCDiPJabekXtQBYSu0kfudlKrZaXiLbiVq
u6x0zxEdCv0J2pREK+gSbhId8dmX7KoE1K5ZxOFi6r0IpU7MAobbpQrIogJr7jRWBnZElAcDRHoC
80V6lM25ucsrAcGEEMOd3k/jCVoG9grNHeeBPoZM5t3szIV78FmWWFNUT3qJoEl9gYRqufGmzj2p
zOc1l07NytaXHTE5xifLGOorTXeqm3TJvRMSTlavgTgYSjMqYy+T9JvkRDZk7vYMtwf9yjVj3dwo
zZ5eC5KDP81u+cnK3Ka4ZBZr3TU5SguGoNhnoCn4Ow95yDdFH/CNZKCCGs4XG+aQYtvYboq7b253
M0EVB31oiC+cOhQNnpySgOZ/vulNlV3B2shmkDK98551HnJ+2K+8x1N9izD3E2YyuctToobIj/0M
2ySgn+++0deez4k9Q8QoGrFDK4R8rLPbOwVhiONP5TCKKacvWS8eNBobG1SE6spDaH5XLrMd1G5f
7oAgWPvIH9xLSYtnGzfqofF7Ldu0DiejrcLPf9UtEVtUTvaqPSYSqZlFkwTE60mQzHEg+1kdcx9j
bW0ulJj2VG2HvLHvIUBR9KGU3mo+sWAZO9aGFZLfWmRDuJw6tSU3bngJEGpgDdUu9jTnWLQmJWxt
BiZxXwehqXbvrW8Ic5ZDOJECebCJzd4o9KSgH6YmxPvoXzHHuuvTEoZFVennHPTKJciH7pOYhHaJ
DahA9elh6NqMnF3fuqFAyRYRnHsC6YZ0OO3qZ7rDHce7HpAv61vkD6Kls+aOpnatk/0S8OZ1Qwin
yIdtMiTqvDyOKC1ftbx8nrQmL6iVizIY2lbtACyAnyAcl77R0vV7RGxJYOOuD9j845AAW15EcdId
h8p+l6CHt6IzxsCQerHuVsZxzlrzNWp10qSiWk3PnIi3nK5bToKpXoVzrufbrrGchxXhd83O35bb
tCZlWUuFe9DVROx7UsyhEvPMTUOhe4kWk2YtaoDM79lIwCo3YWfr52HMC2ML9qwlAMelrZed08iY
KP0z0OUHd1FD/M7mH+NZE8jIPUOGkTZUMogTvOmbOjajPdBwjY2pTZ2Dl/fjo5Yr4fHag8NLHIFB
D0d2VCBJs3VRXpE0xnORmt34yCyrOC4whTY+lrQdkT8L+iHk1tAc050jCv3TGE8eS9wsawvDmL0e
/NhIkc18wdsbX8ZNeZ0MnXrSCLa5KFvvyskrHBecBu7LXujP/qgcopCpXbpT3jRz+qQcxC5HOhd+
d9LQegh6UyY5eowcAKduM0Pj5BRTuEU3UeePnGaHmjLETmuysZuCTT0C80VTVBtn3SelxmgXk9ZS
Vi92IArErBt4G/oYQ5PTe/PFo8vT7ESfzU7gYWiId+4Y2SXBQi3/Pq85cqEcK4mJRV1J3qTdcwZN
2oTTVjUqDiLOYPFuAnRfzCfdWKbzLEbjgbzZIijXbjUafs5nP1T8/2Y2uSoZfugxrqWzTWEvKKCF
Sxn9i9KhBxGeyi7NDlHtF21Y1rU5PS3W0qtnpgwkYVqlz2mkrmzcovRtePn+8wcwxN8/AU2p9YOs
CXGm+EX5MCYO7SjRxQd7gtFLkqaK07DHDyquDU0lMYfNSO7TNd/+ooOTUG2lo6JrmArGA4Z8om9J
tB3+88viY723dY7tDq749UP/MAGpzD6qkW/HB6YyHNIn3v5woGrOpAPFMeE4gpNPXy4cjoiJlS+/
uSa0Rn69K/z14He9dYBh/IqCrWY3R2mMtN0mo9o6ZEYzY4JUhNVl3JBkRh2zmKNnPuRupB2N9fhd
EUCQXQxWI8UNQIYhJ+o97+Lk0K0VtGxWRLGKbGqYag3n/c0H/vtNBFJj2K7pg2vFAvPL9Rr8ONVM
JGGHKhroafrYT1WQODl+uZbmNmYDiSrcmVTzWlr5fG46ehVNQi2f1lN7Lqsm+M0nWns+Py9sHB2w
QhFaufQ8P5bdD3dQswkCwtSQHAjy5djoEKZ87mhJPSpaPGrj4Z+ipSCEercM1zzKgfqiIvmu2Btg
mXAjKLnWYFzZf/5g5r/7YI4FT8Lx0If8TfLkDrpsV6TgQToxJ9S4pvbqieAdWwTXbmqq6h7Blmcd
55pja4inUOWnwRLDubcGH6UEVohHPOxUy9bHudhgJLzXUoqo2Fo4vqex4swdQQHetGuvB7o5T/aq
auVo6q4hz+v8+/3PojQtGVBDKVg3IWyvZ4abcbYZMuY+6znuNa1y1taiPHJnbFdSAf3z5fiFo4sy
xXBcmNMg0JHJrFqwn580BqlNihtQ25uJzR4o6oUgcK9fS51q4tOz8fuXs/CQ/FcCvC7xUwkfa077
5X7yHa5WbBpUJ/YCITQrLP6Ri8WfRIjM8fajPWQKud5s8qinS+CicXqoidxi4O5KMp7joWkPCwrP
ZWOLnOaNk88DK4SC4P3jy/63E/2bTjR05BX9/P93oo/0AfEzqx970N9/6K/QUfcPxHFI8QxQ9Jhf
VkneX7mjxh9YDhx0Tj4dZdtd5TXfe9AWWToInHTW1tq+1i0m2X/1oEngcVwidgHvo7GizfKf9KDp
eP+y33iGYPdjdk70iG2CSfp5HadOCjbXUMlpaggSpTlb29itZ+dCNq6msHMaVrjq/+8lp5Ni02GW
jwJ98OwpjBWzkUOL9405UF04p2VxrWhbDPXKltP16Q7nSGntjYxA3Dtq6fapAQVmB4M0sc7R6nEA
OAhF2vhYEqNWwH4Q1Hv6QhgfVkNIio6LrwC975HRYGdtqqymfwRLht4yVLYkMGk2nZg0ywFFvYa8
I5vdLx4C/rCjYbdFlErjAiNkB07bs4VNoTxa4tIXXRIqv3SuRtRABKP2Z0UjZecqwwSjUAw6pjfH
SO9lls13U6J311BEy3OZaZQPhP1oSZB5q4O7svUYnXcmz4Uth/3q6NgyxZwP8ej4JyHb9MJIvP2U
ChIokzqtd3ZlOyA7E47k3Shydko74rjSueKp8KFXpPBT7w0xOVs/sT7Hw4wxjbZZSHKEeduLrD0O
5CNjixL0OxFj25UDj3JOnc1E/+DWdDX4eNV4tvURl29RwEqkoZ584bQr95ZL7dK6VX5hlCXWQ2dq
0IMjRSD/II2vFJCJ6zFZ56Ndv/SX+rhtRA0shq3/WzY4/m7IrXmnbMZwceuqs3D8L3YU1aERGRF6
OpK8HMUfib08+ZZGx9otK1qKNuZCWt8ucvr7rFXm2Zz86cKkB3ObKr25kzlUDWEmr3btELwYTxfF
6v3CCZ+hao4s6j2p3Q31VN4XbV4GVV6oaxJHk6DjipBZn9/BI8FdO+WcRHliP+XTEm0sJabrGQxe
KCdbbA2bT6qRgxDqQxQ/LCRBE9XqNWBHsqr2+bVZ1qKXksaFmTT6iUnje8H/fxODZaY/XdEvnqfI
P7uoXO84nNIUbKMs2sh4Wa4tzexIHxkQa4Hc3C9aX51hMQhssX13KXLLWiNxN7I1rZ3Bsr+qJ3N5
GVqsKpTrXUKjLDFCScwuKgJcKyGZaeO+z6J4pzX9hQNo86QnztUwwFHCdVFho629LPCySTuYFZA3
CKNrGYrqn3xQCOr09R418CcJxnAvnfVdhFd98BnGN9XzPPbZbWK2NxqKO4P2QOgX1tlo9GJbefKL
kq6LyK1+BGpIsDVemxIRM3W+6OagTGFUwHgPqvVOze94wZkXGJ3cLL3+ZPU+LghSLA9yHLSrkSTz
bdTLOMx064XNUN0IWU47iuc6KPLYJmleWY+WQyT3lCE4Lyktaf8KHivt5EaJvSGK6mVwo2bbu2W7
R8Qijpk6EZxy2ZV0uZoObkkF/CBSa9vVx6bO8LycMtBBJFXu8jGb8GZk6uxFZnEnPTs+DsD6KH9z
8wh2bborp2LZV11OR0jKds95xLmy2uEEznA84gAkkXM01HiHGuURp7h20MhzuB4tRlE8YMCfR/2+
ypBX+GFjtCK7hZRjlvSn7WuKvjc0AnBCncV/yGgV7CyGW5vES6Pb2fTSG/iBrzCvrSMWjgaBvfHq
yMFe4wz17rPi1LVfQ9WpUgtxsR4AdjpWdlpXcYEL2Cq2BbCR25ltl6nMmkJet3Dx3Gr+vPQY89Ck
RcHQswbTeZo/c8ZN6SSkenPftNN9RftgE2MFv6nLxPI3g1/08ja2I+No4j1k9AVJX24Ke2DIvWT1
ERdkVG9S0HBhDV3n3GXuNwmMPIjFZOzogXIqtD140xvN6TzkoFUJ4IhhFi7tAG0QECachuRtLsmy
80QHpyahUGFzl6Qj9I80BpRhHWYUG6uHNVm7nlrzhRkYLPTEynrItskonJu8Bcu0yQC1H/Ley5bL
ie7J3cQL+95sIx6RfGTpHdtusJ/p+LanZClpInSLab91rP40MNbY7cDQItfajACizg2DAwFhSW9P
tdC9UzPjq+v8rAJ20XRHLLDxDdjZ4p7wIOxXoO7cfZJHLFx/GZMX6VlqOwiL3mEaJ68eElPQXF6L
JyyeOwvad0sTxLXkGnk79tFxkB7PhzkMOFSnRbujkp+/4WqkwWpaYrzqYDrcIv1p9NB15qlFWFFR
mmQ2cl9Gjkv/hJOxeW1aPX3hnRwjuyr7K0Wv+yYabP+bPgGwRkcTmYg98uFJy4vlutTdIwq04mtZ
ms67DRofCQTCzB4r5VBsY99KjzbOkJLdNlCcH+YQgahXQrfhKm6yLPEe+2G2LwtHFe9MerLoRCsD
Jxj06PEuovHzyHuE6RQm510/zwJrvOvKKDByxG1HjN/TlzxNfYvNiNGSn1fD7QTVhlU5J9ptmjlK
boRZti/ZHOXXZoEEjlXckWUq/HI5+jhc3xkP5ChsqvtCFcTjpksVHXMjh/eQJzystMuam6UxmyhA
JUaEivgI253JDLpC5TW+QNYZv8IDaj4jPh92FR1QLOSxH/s0BUnwRS043BKmTVUIj0j7Yq1Zv3NL
KuiGghEzpruGAbuAWT/7HxHB8E37ozRQ1YZZmhEiTE88e2o+ooW92uzO2UfgsDaZzbWzphDzzBFI
TA8IBei85hTzyf2t6bb6S+SvMcbVR6SxsaYb92vOMQ5Z1KAm2cfVRwwyjtNsz/ZMOLJtkNpp5sK9
nEeykw2ooLiQLD2cB1yYBTDczcrNCLCOWoT9Utg6mQAslVSMXA0l7xhGdqFC0HVZfMQ3u2uS87Rm
OquPeOdyTXqmc7kKvuOeAGiSiurnnASyattZPhHRSEWXrw4HqKtIJ0HaFM6bFSf+JxeN9CughZqs
09WxxhZP/DSFfq0h+COVOvsIqE7JE7ryF8v9PNhtcZCJJMpaxPZCHok5m2//y955NcdtpVv0F0GF
g4xbt27VNICOTM0kUi8okhKR80H89XeBkmdkucaeefeLa+xhaHYDB1/Ye217bOOTBIpBfOkagO18
hGE3LR1PWWlAa2Hpdpg5e1AxKXp7bLVhM0AEi8ULnkoN36QJ28II5dl0JRbZlEyi535Zg7kjdey5
llTiup01udttNEK8w49Ab2fN9k7WlG9mpUS06OxqTn3Xz7uBBj32lxZ2SGGTEp5G2Y269MkTiapX
EaG9VUyaOPiDYHR6DLWw4c6GdHHt2xDbIhjxiW+6jD2sNZ3cASC6Q7oHrMlsB+PVtRemk8aaaV5+
xJsDTyDqXHzEnosuUXduHkVXndSWYESJddDwA+4Ww5T+Uuv5tldVUtyVOLD6tvjGcBQfDqR0+5uV
Ji0s2DWCPbNk+xCZdvhqoW7aDtUa1s6nSXA7Brj+kvjuDLeBjrk0DE3QHkkbpQYxIkb6tQaNUW7a
9R+1EuccLfp4WSHt+5yHE2sgXNk7lXko/UHYX7T1miwvIMudWCa6XkQqblyMEaCyNYe+RN+5dz7S
6cs1qB6MqsBQEY6odOPExLVZ1xop1WvKfaaI+jhiXrngL8yBGybJW7gkEsiblPuibkAXuHp5aHKi
NVh9fq5RX/ee0ET7EumNfaM3jfJNwMc//N0llzKR8191yarKrOjfN8n/yF9eX4rf6bTEx7f81iLj
Q8J1wRRFYDGhQ2Wq+JtMy/mEoljTcWNoLDDwZPyzRdbNT0zsTNtFpcW67qNx/a1Fxr2kYTzFPGSt
w7T/zoi0znF/N5BbW/T1VeBrYqj5q6cuFRRAnW4oe1dRjHSTpPOy712ju//pPbn5/gP/fSbRh9MJ
pw0NOL8NG8GvA+1FdO0MVkzZg84V92S4YKbuVee6oIQu/mLs+YcxrUlKGoJJhucwo/8g1eazIC8A
cdZ+FpV7rVrtcInHEQzdgtmltorkryCtuviD1G2dsVoC1RxGQbLhmHX8PJiess5kvtCGe9YwIdPy
ppIXoPEiwGPAvkxsz+t00LF0je0qhnZgFWSA7ixoNuWuMaPeMwfW85t+YmhYc4TtVw9SAq6wVV9L
ELBAtDp3h+ve3Y1Lm+wKa9Y88gNKSnhRnPOM2L5caeWDkFZ5JCyv3pLhmVyFs0yujIhoSF+Pyng3
N5ihGUUSSSS74qxBpP8GanJ5jDOjfbTr6FLt5yQY7bz0ejBm+4Xz8dIwNMvx4lTvz1rXF++LvlTX
jLrTB40k+02JBW1rNnGJTZ1nQl+V416taEabpdF2zoDIryUULBDxRKkt9e5kC1ldAVNgkIIx+UXN
I2WfWysoqWUZ3rBoRuk9uSErG7bmb51DiLC1FBPQvSXuN2ozspNo2QeqndY+Y7dyx8yfYnp2cAzz
SG7BM1oic+4u4rJOt3Zp80gcQ65zT42JUd2oelG+9q1dP6fkvXxG8aTdunhvY4/nJM4rhwAjFIvM
EoAGzBXeuTSZtu3gUMbh04hfM4bB+MCY71+rOVAdD05pdWEzxzzNsFMenXkhni5MWh/cEtdeugAt
NID/XBM5cBtPieqFU8oKGZ5/0FGSPxPWNWyrSZWstC3FRK5jFV/booh3cRm/zW1a+xGyzlPkOj1q
ysWMi6DjzYnLML9sEKN9JnQVFTchnxdIGp1u000igxs1qIqfJWlI11lBoOchfAgNIH3DWHaBPifZ
hZpG/VcEYPI1E3Oao1+m/6ZrT9wjb0Hnx6H11sjcG5FfXpW5yj7Ozr+iSRthABgnmvFpk2XRg9vh
bG/COt8pNXqNBVoVlv4RCaVmqB6BR9RptTylNLDwbGQEoFp10hekqiFfbH/Rw173geXMMP+s5jYc
kfNbcXdjTuMoNujGDS5t7h6mHQNJvQaQVzF8mwpb2ZqtIi+Jd1teJWHVDIFq87VGSXTNTAYA9iLl
bYMRyIO4ekvYQRL05vKk9K1+pS2xFmjz0l0p9kK14VrjXVm6Pdpud9giZjqjaPts62Gl7ZMM0JKx
kZDL5rfSShhohfSeFdow8LlIPZxaSzcLknc/i4qMpljr58yb88ZaLpwxn6cDcmoSkDFKNqq6CRUc
PY9Zh7R/TZHsuxHxn1I1fs+sO7032KVHiBoYBjrDeG/PEs2W6OzIN/FuIM8IAV1vTNRqGxflQrkb
h8Wy2YgbBEbZc6bBkHLGDrl3rszOtkPj2lDgFJL0kGxcotshM9doKSwq0ZXVrOr3CgjveBPhHUXA
X2Mnik8uG2ewlRhQzGethkwIYbvE6RGM7eRqjynxFOa2gSprf7VXQeMmlmQfHTO0jH17lxVQlEEi
uF32rJh1ducORbJr1ZJjuCpscz+oTGjscFbWvAYtnDdjb+lHfKwo8sdlGOm32S7vTKnDl9LC5kJM
k7nXCoXR5pTN8C8Q9ApMkxUrEoRO/Gc7tMK7ee7HN0srYTOV9JVbRC64X3McrJveAGSU0XUc6k4t
j2AK3EAWPSqZoglh3oDTqk6NYVD7YrARW2F1lZ+3CQSl2pVe2WEo2MCYhUgRhu6XqeV/NWj075aO
0LeNWSo9WJBhLM6TbtTf2GU6F7wQnHsZ0RineqbP80m/yeOgJSzxAH/Uvc7NxHrJCyAkZEgNRC92
dnFW0OTDLnUKXhuJkvx/piKLd7iQ+aOuyukmz1KLCLilqO6iIkZV1VFGIKKqMqvnvs39v6vA/6QK
dFiG/1Tx/MGO7n/LMaS3335elXz/nn+p9VUEvhQ/FFvUcxbO8h9lIEJ+2yFCkJ0HO2W8ff+qAt1P
EBZZnmA5MlejOpXob1UgtaMhqDioATU29BSp//e/b9P/RN+qH+VY98u//1yekdX8ax3IroYClaSN
dV+j/krSz9Ihxi6FSRWZV/wkUwystNg6d9/EtcXari3ktm7mm7zSlhUXOngUsC41iFpvU/K3Ofb0
RTyFSQ9OqCwzi3hgdfw2SayKDj/cYzgJIiKSN6WjrPFA+RdDIYJN75Oa8Ce3o9dXYbSzPZw3vInJ
PixM8y6VY3kxTXK5ylNTkhTcq7iQmi6EJQIX6YhfNfP7CgYguh/gxTEuOEq19gRtmOF6waxfmcx0
N/LitI3OoP1gL0l4QM8jbzHVGEfkg1+QlylPSV4oLDZL+lLAZrve1aKAZFSOQaqBa2hFDkPX7swg
6iuWJ/5IQFKI9bWzgWl+62Jv8FFiE8eACGKHLv2dWXgyEqEHU6xUcTzCIAMU0sh62yz89njQzhbh
0JvElpfsmvQNY6ZzIpx7nimXkIDY7Uzl3dhgG5pG6pGcUdJG4wnEPwo0VsWF4dRPYQHqZhFy4sSN
vrhIAa0GxUyu6+dszr405pAiEazuJoTtzxkRXH6tx3THTt3TRs8DBtjS4xK8n3T0jDZkULA+60tg
2WHyo8Gsoq9ZbPUapT7zQkYbd+yy88dq7o1HwUh2x3ie/Mko1OFacTLCZqH/VaHPLfUNAPcFyoly
lMQlvVSGaO85Q1HYJzDuPL3OmR9oQO5Gcx86i8OCl9EWhJb2ycice6tLKnjOVLyimwEohzhsF9sV
exxrDrBY5yFfaoWMHX18YPoRHQ3yPm3Pxsp41vBQvSkqKVQe4zf9LCnEroqkYQ0xavGEkSxuliCP
yztdEShu27KNfa3SWZZJd9s5ITWzHlsw2y2xSZMhYdSINXIopsbdofmsmR7UAoRyMiMDhyBPFN4A
SlNDwHWKSAgjjLNVzAebHKqTUVjqF4M/3O8oyVkxpLCxTN7LaiucFpC5Ps3qaZwpUg5VqvJUN1M5
v4MjX5Sdw8Q7fJ9de7zMtRYSz+q8D3JkCe1GIDati1Tc/X3Q/ycHvXANzt8/afcJMa9+b8v6/i0/
znmhup9UQzXxiNpIhD66zx/nvBCMApgDfE+d+dht/7YR123afb6LR4a9nr7rM+C3g17g5VpH6fb3
Lbvz35zzmPR/f84DuqBVFS4B0CqvByHO7zvVorE7vAjWSARkjRkF/+AomX5y21mVeqrqwSFTPW1s
ufS7TCvI5PlMRgEsowytUHePO1iiO1xhOVqQt2lbjyk1UtnUzh3O0JoewuvTMhG9V49YUbfcmEg6
qKfnfaqMI5tlcFtaMRx4ABQdM00kmqWsL8t8TktqpoS+xXXq8sKEQHSkex7UQ5rg0GdJFbJeampC
GawnpauG3VgN9hpNy27PTOuLtADVhJWG8sc0V2aKxdjcS2Lq041brF4lkqfdYGRCNlLNLXTnVo7+
aAF8+aLWGoVfKbvhMsGb3AZaLHn4tUOPAAWpo5rjtB3y3TRw6DDYrJKDVUSNfYVIe0i9bsa+Ai8f
0a1Vz3In22zoNwqOJC9GWrWvw3bcpktrLxiaSn4wKD2kxMUQDteaGZbPcpzF7WgRyLurePr6UCJo
CSJgybRQ0bxsugzhemo2w5PEpv8YLpVteW3U1NNhqojIAtRo8ocC2ey1pzBPG8JkRb7rNKsF+5xh
y47qRmw60bK2q9CR4nYfAwQYiBeTbDQPFgXnIwqD6UKTI4/jJDUayXK1JURj4FL3iQef1XNjZQhm
lbLY6TJnKV6ZEyzwj8l5l6YKgwzQ/bhSjbby1R7aFiTiYk8wWYyCeOidrTaOYzDKtPLwdw/Rdtak
yhsd1bXpQZMY3+0wUV8WIqe2mcnduF276ICUtfmlEK6rbRHIszKopvpOcGKfGPPmTxWhLJtQHRDy
IomX5EvHkeprrX1NNCB+Hy0OA0jj5KGi4hJcNGISQxBFeYPxAaZEbLfu9WQ2YPHDtvd66GHHGDOA
van0IiMFWV8n13FP15sq1YFsLO0gCzIZ8GaGX7gbIP6TgOu+hsXAEmzueEzuItlo9yg5+8PYFvYW
1K+NtpY17h10wDcVgIc/zM7iY9Jgp80dkEAGqPXCm6MJJ2+EVO2isHLjmMWm87xOj3ZDF1toXrtF
CJ4e4H06GiHd78LmnhyM9qpx1OU1l0Xos/ybH6mtin240IF5iqIyo64VOHlDrbDsqabyqjHR0uKM
SrENaAPSFxMOtC/wRj5YUSM3o+KWB0Dt0WfJhAFSowzz28yoNa9biBAYZLGTFUE92J8M+jQjU89m
3PTeLCfd3VYlWz5OFsQTpw++am/K+hp7A09XS82/lSKbDwy2KC/X2KZhml2KKvmGjcPwiSgdkW0n
6CxJ5QW/rL1M4/wZqbSJPiJyJ5+1h93CDdEJ/sFJUTdx3Vs3Ywd2nV9LLGQ/t99Hi39Lxf5iCG4z
iP6zpyIe2PLbm0zeevlzB/T9237rgARtDnFWlo2PmUfa2sz81gHpn8CBEHjB0w9d50dz9C+tmAql
SOPAYHrMY4vX8ePJaKifaFXom3TTZID9XxK5jA+Y28+jcMLrVqEsjh5hoxjTfgkTM7UZUVqVDHsM
v1CqgG8F8VK6ninl02xlr45KJV1XFPJlP0GpYZG7meAQHR2R1Zi5nHtncLKjQgA0qKT8Ai8Von7F
utKaFiCRqpQbO+W+pmzmTurLhYcjBIJmbTHwVrnbGpui51oQcECQnOtwUH0eRdDBIRUFokGICm4A
EmqkDl7KSIMOjNV5mnVPeCrueyTyEBErDehx+mopternBV+eiQUU/GC3qGnbJ4EV21vMQSe0Ab4K
AaOPgDhvU128Di2/3jLrp7xK3qtIMqIjosuzLQ0rF49lrVx9O/VE6kTbPFnQwzZyHZCOCn9eCUAX
ESjdBaqBQ9s6B7ogGYQdbw3i7CCShb5Z0uxdy5RpY1m8lZXTdr7a8ENzJHMbgwEifwJvg+ociqTr
fMxVnAoqr2GoDSWIQ5bwfcw2NDWYb1fkBvsWO0UP1daZJaQM1u9kD+1sEheGNRvGchPNvAU1CUYB
AK4Fc0t+dlHABXnHr8wheKL0ofMqR10L+oYXpNdW5qtL9EAEIWB5G86TW5XvcwkHo9FBP5nhjFqG
3XCEgy16C3N0YKSs3EMZk9gT6YQ6FUnEysFE9+bQZqjsZ9vU7e7JGsiY5FtEoSj5sgWwDMbJ4d3T
O37paNoHRyj3HxdJ0sxwI4ym82u0yb6YdTBPQGRgKBNNJAYPbd3gATg/DwkvKkoz46Ar+KFEykq8
IlfkaLuYzoZ6vYokX0uFCchIcGBWnRbYa0tuhdZKk+bCohirPfrtK67n98mFEssOx9nkY/LK9ojP
fuHfUoTqm0EopT9KB9zyUPE9xSq4ErXja3a9XJKm5Hpt1z59fN4FyhuMv1xW5JAu2wieFY5z+vKq
gd/bYz/BURG9c5NzVYP6gY/G1enYXCrVei/wCJof8ph/tRw434IXwp3nbIY6S65InjhQw9zPC5/8
2HCf2Dg7jiOzssvY5u7AVv9kk3XhWTafsNNzMWFyuvp4M8qam2JU+FIc3a+E5MLJIYzjiBLMDJBD
AQXLuvA4l664hb9bexqFLlpl2mVd1jUxuwD0AEmpfoHL3ccpz2uI4u7kdMq0iyyoVYgzcNnLRQsy
m5sStzTxMWkJdLriKmMa6DEZzy5pftUVLEwY0BDnAT18HqjcJ2wVkvMQo8Jaby/wawuO/14Dckv9
2VPxEVeRVhsVGA1B9G52BMBX7iZ23IhH19swcyrv47NVCv58JSwvLNxrHCFcAmUN+ApXcA2Hmc+P
mNllW+Hl2nURjSX57O6WwjD3R4XL+eMCWK9wbvFzYiz0+zPHmDtwfxuLu+w/PmbZE7okWy4jvPYS
noIIX+p1Q26uZK5F4XeB21b2ZMBzepnJK3GUfAQie48yXp/LNDNQFe7mQpeup5UiPKptX17guZqu
zMncOWP6qtBrM+hhJBRm2toBc0f0i6rsI5P7FAeQuJgxJW4xOrGWwtZ7oYCZ95aS4wuM9gupQQ6r
kxIkvbFz45zEMySvF6EAScca1PJsiTa2bc1u0+CvO4wWQx+7xIQwJYXKUsvUCd2NOBQjweEG68FX
7Mzdhb12jnXX2aFgmne15DDBqjl4LMVqLxx4CWMvuIvsutoXDidYYYMj/jibNHdCurnetORlgDCK
mEEJGd+YLZdEaxpnbV43haGCDEaSIpCl6IHmZqqpoQjQySrIw6g5GZJZxoT4Inunw+WtmbkDPt5r
C+qLnyEkvCEayN0aJQW8McnOV9DSb3LDZGWWK+GNJhbKWXAwOyds3hub/1z0acBNXzPi4DwxlDzZ
irZ9c1TCG0qFMrpq7EesYVWQKfGNMvZXNs3LBg9MdJyTiXm8gn5JsB2ZSYLLRib65aQwmMYx8AXM
PlHqFhUBWmAgAJhnljZ91ZC8+aJOsclC+b83IzJEOofx1+WM6/SYjCofIdEfKJWI8TD6IFWpHdEe
yxu8fBbbV4uRiL1tCT5AhZ2RQUdd2XbBYsQ17mHkEcc67F8g/Vdf2RO/GYmK0C7Sp+zdaXRloSVW
FjQi3Bj4csu22hITMbn1plUa+AEpyUNFagwKxEuNYBXhhJfuWC3KNkeX3F1lWuzY1MxGV+wlohrl
CbDJ4MWsffOLMHZ1uWnbXFheMwMcvzIHS5sDcCChclsSQ36Mbesvdu9USPUvdY1hYZtCRqCSr/tr
mG/ukstNdnu/t5N5Jm8zfk8yHi566dz3LahEU3LXGQlX+k8l4I8h889D5V/38NRTbDYE+AhygYBO
/lJPuTNzUVfW/V6MH4cd96CeZF/LEbgmONL3P/9tTEj++FfaFmw5Q4Dncn75bcsYwVVfyn6fz1wg
ayXgIl0MIvKo/t6BfPtPRmOU7asN8N/Pxr6Ti/yXrJK/08P8+MYffYALgQhY0eqx0k3b0MS/NiFC
NRiecY2i8HU+BmH/XIUYjNVUFdMI8zPyGlT7pz7A/OTqgt6Bb/vYhIj/ZkRm2L8fkYGXBjNNlpNm
a8xsDfHr/QJDlTHWZGsXC51JtOwS5i8y9JHMouDsLhUkZEHNAS43+ETShmUFQndoK5YACyr2He31
RUgPE8yNUmyjuUGtXC0I4qNyH7d6f3Sa0fbRUlunqi/JfC+7eoUMKSeZOLiEGRXfoSiYiLBCmAd4
KFV2goyiDYUIysYONBw/T7BJaJJyQ76OvoNjGXq87glrQrTPkvjSQmB61Ihr3cRNeB6X5hpFo89o
UN0Y8P73zVr/AoMlQhFrC8B6H4YN4ZtR87U3xej3ad0xnmpTr9XL+TJso4ihjepPg/oW85jeNHmn
BFhxiVkAz7EzKyJ4ykjbMbEuP7vzkIJUzxJOeiPIp/a6zWby6qNMvrSahJ1jF6ArTDSmemHx+wue
jrxTBh5yx93PXZ/c2lFc+YUQC9AdzQWbDiF/rOthH8n0uiUu22u6bAlYmAoWJ6SrGWqtB4DgdXhA
6CfQClOtgg8+4t6/jAVeYXzMt+TYjYEM7Z0LFa8GorgJc3KQZhdissGcz9dCFd8eiU1mPD+acpi9
Qa5/RJ0R6ETUj58Tk+y1pmIFudO/Fp3r69NUHCHtJyccMbOna1NQLfZWSfJ6ay4NaUkZ9vsEs+am
Ma29G7pHOVeq52Qaw7clVLAh0LyBIDCDDiAPPNFp2moGal1lKOaDhuuVtqBeDp1wBuJwR8LYJ2Fu
tU7BZz6pho/OGcqsE+2m3jI2DewRlALpl3qqjVOjOAcgFIWnmUT09l2L/hoTfKz3NvRPbO55rgRZ
2txXnfXoTMtFqo3kKgyWsVVQ6QZCXeKdXRcM5dIvaSONXVqFLaSksQwYKinHRnO/GVB+fEnGm881
cQ+aeoOeZx25Roh20mrbR9m8YlJQxUQS3aggZbPL1Y2Q5qHRUvFlNhbhZW13Ar78uiAZRgjv1AFq
43lvlkB2Fso4CgquBbaNjW9HtbGPFyoAI54nD9pN42eiZTQsCz+zp9C3yg6SJVl6O0EsQlDprrG1
WBpuQz19aDUrukSAX2x155X1o3qcIsaDJmjVe9Jkig7oQGz4AA+TW0DzDlt/SwVTEVPfJW57r5YT
kzLbBZdNCePD5rvsJBYSJ81GkkBia7tglPdNTbWDcgLRJ0Ft3yRWuwTqkhVEwzqx1zOn9mOp0xGx
eDsIsAdeEjnDHsLXQTLgO2Fl730FiNNDT+jZtmeL6pMRa3tW5I6+OeKoUM0KY6yZqg8zup6NBIDO
ndssWxnXtuf2Cz6lJSvvSGSfb8K6V48CfAYxt5YVU5iyygwspFg+bAyi2fIyQxTUZVtean/BsJra
3FIu8AnmO0QFhIdlr8lAAFlaQg8YGpRaPTZQ3154P2vIV3sbsiU+L/V9ItzWBzVpHuthAfFhyTvV
SQ54qC2UsdjxjNa8tUIiPiGCrSmQqMSXkWQ9g/p0ozUu46b8FlvHDTSpm5w9wRopKnZzonwrjGXe
MsQ/wVKhr+LrOxv9izWvPIuSsLgIPUnRdrU/hwP2XLYrxC8lLw1J1BhCoA5V2rS3Vxok8StkTzE/
8ITqzIGWVJrflg2XVGS1l2QObPtCe3FZ+G2cJNVZAHbmXajFEcJoN+gBV0ILTXeT0XwbmF9v7GUO
r8w2JTQ1F+IYOjnBrrk20NvVWA5lVvujWzj7WFevq1z7YlndRRoZ6aEzp0fkOuhXEtYo+axbh15N
ynvXHZAdtyPmHQTOMXPRIUykN0b5vSb6k21IEvcc7ZhUbbExqyqHA0Y8s9re5IyPfJKmiRpumve2
JbQEYwID5KWvdgZhU35ozmnQjDK/gFzW7oyppc/QQ3ef06p2eoyhxnHvZ2PeV3kpTouVkomozc1W
OjlmLIffWC7LPXCh5KbLrAsEpdNmUmg0s9HlfhZRvm1B5tKompgsV2yRbJITnqhD1DYYJAc25pHE
R5ZDlfbjorGe82x6GsOegnW2v1Y9sZsxUpltz15iN9FAbMGMAeMoBvda5sONGjFWR62zvvDxskYb
4ElTYzQR3lbpUgUj6a1TwyaeAy0/iFj53Lts08kB+qonNaKAvO8PzrC0nDVsGsgbtfacv8kxRpK5
I6emZEUNB65fXSLQvfVdgslmG9mjzky/1j1S3cQustPPI/kQh0Vx7mfZnbqsgVWoRO+6QmxyXubh
iiZZNkZtia1Z2U5AvIt6dGrwaxXpwUzHUKm3IDr8EfWgXr7iQCnlg5FIpmhcswrRV/sJBpxBjy0b
pxofJb5+m1uxsTrUZw1XX+Fch2brjkDfYuTh3GRVWpidvsfpmAzCs2sMhw96D2/AIjV0bjsnCsyO
/gUcTgNglSDDUgvNW7ytdNHP1TCVS3ls9aFD7UGKCyE0bDryBFU8nqZ2advLj5rx7xn7X8zYAW7+
qcToH23GfOKl+3nA/v17fhTWjvsJtbNFkewa383T/xywu8YnOiMOdNxsoMNNlzr+JyAo34LZn/IZ
MoP90+pZ/8SSmK+mafwxe/9FU/RnGiPT+QVHIeA9UKav629hmrxSXsTPKukGGjWrox4jYO7ArzOV
4aotJbaOMJ6OedSYe7SPKSm94zh/BQdhX5iZsdYQQoy3VdWrm76rlZecZInLDM35Fa4o/d5ieUXT
jxMPy7ZhX2HD6W5nJEn3nNPkvvdDcigiS3yp6tAJgEynR+T4gZy75hWRJXhSxWnxiKUjDrSur5c3
tc4UsP9M8dDoZtodCqHsSIBUeQptPd/1Oo0s2V6Xlakxr89DMofSIj6KoSPgOCmAgoKp5DGtRPax
aJBRU2JO19R1+Q78INyELmIWaVuTdp6U3r2yiZO4FHNCALM+KwNFqw6xBrzcTlRa9CTcxAW6kt2I
yeovQ03cEzaHJ9kKWSM3ZHmih671d32eQSwVK+ZGDCUT56KVN+4scEClUCJRmE3dpmUbuTNztf46
sgff6i2arCYBr8FUMnsADoZdcgJZssPCmu7dTkp/NEbImfZMwIjQ+s8Vvs5r2cfjWVbJ8uZC0Hsi
BlE/R5kz7wk1bq8suJBnqLCJp2pasiWjtj+pE1kWBXWtTxqnva0H7Dy2yPgzIDYy+y/z/UDCxqbJ
jP6r4uqYcUwqabc+aWV0gDE3BX1CuZiB6cPJFV4WWV0coJwfeHxnPuFV6J+Httk1zWC+R4TYAZ6W
CQHPnOEWoKCDVsTFjVgwHm1dDrtjTIKSEuhL2p9qY04fozlxn+3GKngMWDU5suiA62Fs7t3QSC4X
JHOXSGkn+KXIuj7j1+Op3as5QRpGvSPXS3M3Y1OpAHNyO4U0i/5qme3kMoL/sZ1tG341qmj7tkxq
sihKDnA/6fQBiH2i3rgt1wo7F1YD6WLkbzx/6qvQsvI9zBb9tDrqdkVtkZjp2Fiw6lhclVFtngsn
X/YT9e+Vqgz6SRvNat/2VXQtjaq7TxfdZSnT5YdC6Q91GY4wWEvTYSNVa8/Mtq3LhoEvpMu83qdg
OgrS8rp8OxqxeZ3X40mLR4PLsWn3CuPZPo7kS9w76gw4IROBVof2S6OP38xmKg4RkDAa5MI8VE1o
bG2HncBsl9qjbmRvTL+BYSuRoT3bTnlfDfry2HX1vFvUUj1XscWqZgKafjSZ17AkJ/8LsJQwBfWp
1bwQ9p7e2AyKichiifdGJke8o4xkv7Mk+YOTqMC/WH8E6pAVpzTiQxx1HYlGTzXpgJi/s/VOvsKq
GNqNzCBVViXWr9E6VsS1lSUrbITTBXPhPM3OcHzzWzPM99Y8yqMF3OhAUhqpXvDIKXZd/ZlBbHKw
zQJga0JLBZOFVVEJvQs9sfFtIYcVu2Iae0s8w16rzezJZtD8wFYCF6yGnpIP1FY3UKY0vyEL8gZM
+ZbKtzlh+cP07rpbU6bFLuxG9ZIMtpyU8TNO5+FJCUcSSi1dnFM10vfwitXOy0d1uCrVoX3T5cwr
wRk5qpO9A5c8BUMuepZnFMBP0p4puaDj5qAw7LkCzTpH10tXZTsFiSW6hdm0vXaYrDWRbKyIZ5wD
FpUdMp2qXzdh7vAQ0ZutWkSXAA/0JxxzHXFAwMiXU0W04iWdJi2jUJ5SAJ4OPHsUB0nuItZeSW5u
W1oeG6HPKOnVQ66SOYh2o9loaVZR8MTLCcSTezZJ7jx0FMTFZkFJd06kktH3IlREY/RipfYE/tN0
btTOKiT6N129Gpy1ow6LJUcemVtBAUT40eWpccXkN/6MWyS5AHT6xcXouOeJuHhz2g1XbDyA6A9j
etGlVunJWXEvit5ob2QaNpepOjaPSpjkBGQXdVBBMd0Kl+TdhZaMuqnRP2djoe0tfNcBzLpqG0+p
9m2xo/5yxP74YsCX5OHSL8ZTXOTJg9TEACk2ySCepW60Iw0YvPUcjZ4iwvhGCCTehCqbmwHC4J3a
89YThLH48yzroJs05wT4nhz1Ka/ia91ORy40RC+uss7xa9jxuznS+12ZTPKQuUv9kPfhLmGeTvcR
LjcE7RgBVCUsMDMhLvA/ldIgRn3arqLRKzFE2tEVUfaFiEE2kkx2WfjxuE24xU8djI09Nrap2lDb
us+ZZSV+UY7qE91JuOdkig+h1PxZs8ybpU+Vt9qw1WMtHeJbI7u7FkmZH0xDCbe4ZbpzPo/OQzQ6
4VawyL6Lh4QEXEAICqHxioWh1m6v2rl5LbtlflOXnuMfAtHCvngyGHToowBziU2BKcjJLFWNQNkS
+3XDyGw0C9ykJe0TJ1qinleFDs/+NI3Yk1OIbFLiYGav1F15bqIm31fwdhPG0jZEpYUJCdvE0Gne
XULuD0MeQ+Wl8r5ItCKYcTbfDEOZ7aXZP5stVE3OWvaZDuaf10xaz2YSk1nSv1PtPzvVdFuyWfGU
ZWQDpjfFoSXiNGib5F5j9X+sY9u+Z6GpPbLZKd/QLk+f25BvHMATc6kDJW6zI1hoEmyONDfNIHeo
1prFAlnJXASvvZapZpBolTRIOE7iiwmtBaGgU+/cNLKZraeO6JSefZuDLmrkg8O6oP0/e2fSHEXS
bdu/8tmbBxaNRzd4k+wbKdUhQEzChATRtx79r3/Lk+IrSdSFxx2XWRlVZSAiMxoPP+fsvTYGMQx5
SwIitgCZqxlmYVVexlWtlQ8VCyh7L79fGWOQbmqGkvnB0yDOySExV2zyIKyEU3Homth9sCe7/qy7
QZhcB2OUHd0IJt97Ym6jYJvNePKL5SgHQo6p8+zk2YtGqd3bdTDaOMJ65ralFqdkeSBnXRWazoiC
gfumd+RHnC7DohmZ8+vo67DdiI8k7Q07Bl8Eb+Rtd+JPjhtfQV87sMBxIy6QbeMN0zVAP2nIW4ao
a23HXuS+mBmvRo7pHniDaHdwv8MLbEzGMiyM6YRerD41XE24Gyiionh4FKk/HRoFzpRC67ZGMdJb
6NR2y5rJ0fFtqznG8T4NNin4glVfBu3Oy0iUTrHFbyXeTSBAAtxnJFdJrYX7WYTtvoNXcWhAkB9a
HUGzkWWgYI3qAo9Vu5poQX3uLAcS5WhP27juYwJtAYeh+UDAFmdUs4Ggwi6jlBdZQI/W5jLvOuSL
WOnMfGsTlvMNkjjb6Cqt4pGoLqwNzwzXHe+j1LvClU+dcOvUvgdlwI4DsmEW538FJ/5bxP2miGPI
5v1yRvIxlk9lIePiZRn310/9qOMckguRABs4FH9MQf4SSvnmO8IbHJMKz8IDcc58+CGUQkLM9EP5
Tz1husze/hZKmVC6cKXSAoYdrtzIfzIgeT3WYzzi26C0kEnRQyZk4q2C2DT0KO3syDn6IREDTW6M
1zZCTFhtExy6tpE2w6H/DpF+O0f8fkDXZI8usLt4jvGmbEz51hVIHfto4YRZGYo0Pfsg5B3YRrsQ
nMrvcs5eTRL/Op5gWEpKPYZo880kESzXLFW9fHTZlz6i2zFOluppS7v/HWbz9Wj2fCguNdfapm53
f8oXbaIhCrvUEMc0H8DnuQmpCuzDKqhQoXFq59n/4KaJcWpQ3tz++qy+npd+P7SBeA5NnW74eJJe
F+NDnfaTjhHzKM2E4A2vwh6j2QUelz5ELvrrgxl0Ml5MZ89H4w40AME5BlMl9Yy8LP1HxjC5O8bi
OJQOB3KrBhPpkOggHfvWJR6gsEBBH/IRl81yaqJefhJGCZBqpNNEGUn+wK8/0c9f39G5mfCXGq7j
/kRYJXaedPQwEEdvEHxdnzHSVtdSfvnfHctAU4juXhjcOG9uqDCx9CyaJnG0JOj7Tmjy2W3z8bZL
zN8xStV5/HvWr86zozzoAkUk21/dVi2YF3zNuK0azSk7ceyD6Js0eXN0CIR/czX/6dyxCCG25mCs
Um8uJjJI4WKmEUcC3cpjgm6JzjgEs6Uxq4SBX18oQ52dt19JUXBNmKGcwreEAgYeRj9rhnXEMQMA
h0ZkeTQCDTh/Rnv/weNV9iiciYeUMO/biWnKnqBCa/+bj/HzHezo2PeYPfOoCtRvr88sbRfS3pTb
efRa82ClhQFSPyBJptIkd2jt5/k6Tc3GAbtFtsDq/PDaFZYEVpBm9+tP809XAPOGj6OQK41w9vWH
we3vEIvDaE8i6bplcD4QXdMReoGGa/3nh3KQj5A6wKvFfHtHjRXmowYB3TG2Ob2+r2JptGxkqScc
qzz++mCv3y0s30KQxur6AAU43E+3bxW1ZVbXlXYIJoXs17SmeiggJD3MA+khfaECD359ROP1EqwO
CeAYb6VDe5QLbL9ZB2GnAjdgjnfQA1xmwisAtErEQ7ekrYy3sQy4rpYNeDXyEri4iuKaj215ZDJW
DSsvduodE16ADWoFaUWqRjwzWWikjWqAYmODkK9ff2T7/Ir9+5GwefErlgY3oq9biDKcN5e/8MZE
jLklDgxQwaUp1FipoGOhIdMOvWk+ASODMNGAJiuTanLWNGSdm6bRiHTB4M9nDHKMCVjbwvZ5tvL2
eaRYx0UezTxXJlFB0UpvMNcv0AIwIjPAZj3WkTcS3UgzCF5A+9zgHSFcVaV0yITsjkElLrW9Wx69
UFiHJuEELqY0ma5D7OfNGsUFQTZzpKGN9YPa2BnS5q8mRJvJVu6DJSZGJQ6QxXWx5WyzouYYHmca
5OJ0XeNsQLrQCxPhKB20k4wY7iCWMKqHqcSutNWC2XcOQ2WRwNCGmGUgYwCtTZkrPafg8B7cqjCr
Q27E0y2klvFaw8YC4hAIbfzZmHwumTszFEmZBRIAUBPf9gAyz3kECsjdLohCf5ywsT+jdlVv6B7X
UI7H/qkirmfHILS+bRwMEfbAGNmNEX1RmPo9QgTf5g1jTESCaFbNQzp63gUaU21pjSSlnCOC0ErF
28Ai0qqRBHxoJV1epKOcH38I3FspwQSYvS2fvwdA5Q48EWNs5HOKiQaUIJrJ9SzhRy09WIcfumri
amrBBP8vwC2xyBPiTuaW8yY6HVv7+S1H28vboHVBijjlUZPsQuauQAygmQ1oSh0xLfJiml00aWxM
SDEYr8/cX1LhCYQpJ2dco2onkckuMuNEVc1dk1KUPrqOSnCZkqRi0l96U7Hs9cB10N2xXmo99t2t
FD1KQ3M0+TDIhBiINy3vRaeMeP5KEAnhOgd3f4q0HEzydAa0ByXKmZU7IeSjiReQpWMUFvcyqCr/
A857/lqvpUs1aqQlVYaK4GxbYsg2EwN96iOcZwj4rHC+nCnNQ0UrsR/pbtqPTkTZSAJp42crezIa
6MWzuZsRlbkrM3TE54KC/703x9NlVkP5quVY4gnVMsPbGDE8PSqzfh9mE4eR2Tguh4KG2UqXOGmJ
llIuYCqwdOHCnj1B5dWPuYjKit4E1paY8dxytDWxnOjHvU99qvmujKrqkOpTzM7IwWw867K4aSuJ
SDoJuvwruUztN0/M5d42XepgxyYybRqVqazDqjeoFHGaoFCtOQkkhn9yQOdL2KaT86RyiFeStIaL
UuoNEZWW5w4Lv6vilZGUxbYvu/LkJ8pMRe8v+hxayGlQdlaXkxM527qYgqMxtW699eTgPFQx1nDk
pvNnh0jDA4PDcFqMg5g/F1mdrm3bJAmYrlez8gKb9NJ0KD4nVeK2q6KnNE71xiUAetKR6I5k4SC/
zbV1zR5w0bN52aCXbdXCRLJUqQe3XSq1fZHW1T5pIrmZ7G76GoDrXlPQazfIePJPcdqTvDUhF6gK
xplJDTfTTZtHtxU8H/GsET+RR8uub4xNXpX8RZ52EnBwWf7BfNDdwmOLahWNbtlSzWPNtBcNStUQ
pA3ZSMR047DcmZYx2asi7gdcdwEHQtIVrEQXRnuvpDIHywtAjYyPNR3f7r5KnRovRCE3qD5oPUX6
U+ZCmSOVAiyub4wbnEvWij4G8LOgzW94K5HcgUcgunBEjcEp1LmibmgmFyU8m2u97fBNg0izQEOw
I3ucAmKxNBPlFhQIKoZ1WcGPPX7PTjMZWdVLVtv2OYS+kS+J0THef0+c0tHtfGjcDpy+1422vkZB
Nhb4wtC1L3KirWakQ/SFAkNAnFARZudQbRoTvI+9zg5iEKqALeC08wDoxljJbRq3LEGsxmzMyH6+
1kbqKCkTtnBOPxu0vBReo4vseidGkYw7GxfNQ1Vx28JT7OkW4VXPHsjMCdnPYeJEvQUJj2c+klX+
mXwar/rGyEEsZO+CUMvcVq6LRAxfQZ7U4ZKoS/sjVgt/30S+3BHVRC5LMYZxt8iMJPoi+/aRzry1
tkUchsuA3Fb5KQNrq93Fc1VaOw8h7wkBHJ6YLE7XyC5qLKwOsxwyie9nP8xRT+Htvu+Rat/irvxm
ZvOnEXnqVdqa7Y511c1AOjYIlLrKfA7bKHye43i4CzuXK8cTj/ICAYq/EGgJMFFG6HKVrs49OHaM
Wm8csgpGpcM6TvyfDJEjE9l2FGRLX9aytW6deYxBKeQplleHq5As2ez4H7SCof16NNrscmwacUU2
cXZVo5W+zWOPKCy62E8ImLN1Sdf6S+k7PWOyCoWOHZggeqRnxcs0AqM3ABAE8Vkj4ZZ+gLIr98Rh
GvovQaUNd0MbppAVO/2yiUP7czo4Kbq4LCIGPEELt6gnKzz5Yoovm9G2DjCaEOlFfSgfzXiojlAF
fSCQzAYB8mvQjAFSNVuDJW+D5KJDXGKYZkBCUeCOmygrmPQSPsyU0JrvAKEEF/rUkUIeQZfy+3B4
6LK27ta6lCI+jEA4oW6VGAoWXjAQ9O6M+lAh+e/kjipXu0jcubyHkoeaTEOnVSxMQmTTXcfNcxp4
w38z+lpedugNtwjrp2ORSIjSFbGRclEalBcRi9s2FYFBSiM7C20Z9m5/g6MVG0RxFs1LlryHdGyt
BdEF9gWQbJZRS0cTvazJsCQFM2+6YJkBeLxkMjPbiBBrw1t7mStYEI3ha2k6ZAL6GlqusCJ/TQjy
nC2Vwys7N76VuVHfg+uVH7wMdWU/zulyTmj50Y8UyCGjCBDMnLh4mgZMVEYwk76ct7yHWsV9AOsT
ZyvBqbruZ+qUIiPsbmmXQXyFaG2815tBu7TjFmY4Qy5r42lW46L5KKD9SNcelqUZ4xPuuHe/BURL
f6wI9Xsa7MB9Hhw05Ru9csibwABgkwFQZm6zCDyr/EbMTB2vmmieUPi01Tc7GsNrmeRwDeZYtgdr
GMnVK8uiXsHJAjUq3KbBqFIAc86GZG3qTtCu/JA9O7MopscgvVAA2R1uq2PaMZ3UhNt/ish/7DBq
zMkVzWmmbUFVZFcFsYaMCcxRu4nIxljyzpbwePPvdF58qIrVe96v/9sL/U0v1DcsCpP/dvp+ZuZw
MZv4qf1P+e0/S9I08i8xncHvUvT98//9P99//od71HmHqt+hd6l8zp5hUhL/cI+67+iuINtWxdAZ
ofO3uMV7R6vUVwIWGgfUTVR3P7gKHl1Wn5rD9/Bomya/9QfilnNwycuSDHefTfmouiHUa5b65i8b
L5NRQP+dRn2XjsrY/g2i3dU4BWTvqQCTYgeR+sAWdQ2T5JNBCnNiydWLk/cPbVLlyH3RKEHvwkeg
jIV8yHc2CSh//RFKeJGV54X6rmwm/RSIT5NfXcg+XYPUDpXSWGeBXPkVHGWRBZdVFSZb1xSo28wH
gUVxjvCFaRAAZ7TKpbdp/ZR0TDb2ynIu7H7BFFHl6qjEtifqT/4QtVgRLbT0c4KlUP3nJFh44ule
zuU2ztmHaOvJ9ncCXjHUEvSB7CiKiU1NW4JHaKRlrXSY9pNVfJi8FOCqYe1Gho45i44wrWPYoUSO
kxm0rKTJlGHthCkNGwWNNCDBtUwvmM3cAHHp1mMRsooz0HP8B8PS1jJ0HxldY3JNDDSs1pKeL4Av
n/UiYoOdrXoI0E2X3iJXfJ/UhCOmksTTtvpMMaBv46y7DqV7xGn7ZYbQ2CbpsnaGbOvMfIyhpVIi
C/EpH4W+TRMYzJM+PBWKfcuqd1EohS06m2XlSA42b+LUugrzJPzev/h3cfnN4sLmWhkz/ufV5fR1
+M/l1zF+Kl+uKX/92F+LCoNKxV1xbMLFaMMD3/rvonLmuPA46VSGNhhR1Rf6oZhTsBZLKeJoUqlB
C/3PH4uKgrUgm2GkxnJk0on9k0XFft3NtRlAcHjkejT5UO/ZbxvHdSIyStAiuWhMxrePKI0wJhZs
9cVaJ3as8LHaNQP6+Jg4olzbl4gS7GbJAKfYlciKtkyQp+fGCjvmzzp8DYiT/XwcydT4WjeZS0KG
iyC9JiczdFI6PyRSTuKOfK/Z64CSd6ZZyefMVSEA+hQi/Vyn85xE/pUea61LYkXXG9a6ArRcTXdW
0QSkMgx9qz9k1pBh1ZyFRvoE4A0KjgNPLhEIpFIszD63CSdAvGOnI9XNd35MZLInAyfDmAu4jPGd
NJOcsTNsSUHQeImwMv1j/J1OU1RnVo3UMZ0fyepNu/Ws108RwQsbt66ma9vMCnc5T0PCjzqTNn+u
Cszk/8pV///cYAzjfvkAEiQo1T9VFb96Ar//3I9Zp/cO05fBQ2bZFhNPx/rvE+gbyFlVx1+96n88
evznj0dNf0dXlkLbN4VvOq79R4/aT+9OtgBA9nieEUx5rss3e/n67qA3RC0agD3kN1zseTNtrQSp
tarpaeaT6dk8jV1fP1VGExxerEv/8OJ2PNVjfrV5gDzvo7RVGwcfDNSbo8duTMJvJVOVSDJfonOb
N5opeXLmHBGdTY2za2sbD4lptJhqDayjSpZn0sAR5XQPmr+uyYKUIAmwaPCw+gZhYuBnzfG6ifGn
k1BED71KG4o8maBGOgaxO3VrnGcUFEY7X/ouGwc+JannUyTGFEFE0X91E4/swzqGwtPgb5agKCzn
ttaA9De0mvBkD+P12T0OU27auj3hpKWtyMVOga+aj2kXi2AoqkfLh3fBhgzveadZ+6mbeCljsKGL
jmPzTAqlPum0g3dGiE4aV+m5D63Q2Qy+q5kfVKZNvM67cMTanUaa/RDp/gSXlLKyjY5lazEoRv9a
V8N1TUssWrihN4SnmXhGb1OmkxHeDqHubPQszaGgxmGuAyOiDYCHO9Ite28I9SdDI/JBqDZpVWwR
rDmLkKmgvYCKCHA1OMNXjcFDd0Teg2PQ2iYjGnSAs6iL8AvRruFVr5R15EoispNnwZ0R1t6nuRtb
bV0oRd5Q1O62A9vZ8n8KD9E84SPsT66X6HKZKl1fphR+M5qe1aBUfw3UCqUCzDGFX+IcwqMNJ+Ms
FeyVarDJh01NyOB1rRSFUHYod9ouLpcaOTU3PeEa96lSIepKjwjbmWgpuyuXbZzaXzWlW/SUgrHG
gIORTPM3JDDH+1YpHROIQIshwopHBG6xh6bbHgTSSFNpJDH6pDc9UmjUUoidlwViSs1AVSmRV47+
9J43B4JLzfflF5uq+TZPI3c1KmVmqjSa+tDmR1fP2MfhelxGSstZKlVnrRnRNhxL/8k5iz4B5CXX
vVKChmdR6Fixw8WZMkN8JDH0UJwFpJPSkjITnLZDXc8fLDN7n2gIXR2aM6QtIEONGfV8cJQylZA+
sQmyQOzDVNnQlYK1QcoaBNJ7nJW61Sf2ZaIpg+a1meU6maFyG0oPmyKM7c8KWaWVtXrmJwsnDBDe
Ki0tWeHOZVC6xsNodt7JcAtEt+bQ7n3ynvdQrPxlp7S5Uql0rQG9bmrl1nFQGt5MqXlzpeutlMK3
66vkU11EyQNXFPSYUgKzlcx2XVFUJwZX2VN1lgzjznQRP1nzNfjA/iJX2uL8LDMOlOJ4SkC8MUyz
WFasMb5kRGDd+CiaIVrwSOzwZwbE2XtxfCic0LrqPDawvVI5j2fBMygmYkXSPr5syXN/3xEyexcr
jbSVhmCiR3TTpVJQN73THlsbdMd67JDZ62extaF01+x1gn01j8O2nXUCqhLf2zRKqW0rzTaF2/QR
3SQ6bl81d1F2t0i8M6X1DkikVSOUcW0gBDcRhE+2Pim0waJSWnFg21h4lH5cV0pyYjDQlBuy34Lr
hbkV6eNqVtrz6qxCr4d4k9GSWjqFGG6S0q5PkdKtY4+3bgKlZe+Uqh1kVX/DCQmuxrLqPs5K/Y4Z
KF/xnLSrUmnjh7NK/iyYz5V2vlIqei47T4uGPdN30+rZ0px2O3tQQxdjoFvr0RnxZipdvnuW6OPt
dJaJSQyEJ23zG5pSpS5Tuv5JKfx9hkAwrPvLKMivq771T6byAwBmybaz7deb8WwXoGOmX6Io1S/9
NvVPWpmbN9PYQ8CBmelfAHvLSNMYr7KzFcFQroSuC8VqFsysl8HQjvsYn9ahKiHwhR4wAE5GcdnB
/6LzzVKjnA8aUKGDWQvjzply2wR3pJE9UzvTU3Q2TgxnE0Wn/BRSOStSYttGOCYH3iXkY9Wl+TlR
ToxMeTJqUi3eGw2JVaHbuidTiZa1rka5Cy27vpeo7E6j7c6XvfJ7VMr5wetzuM1i5TLm6XEvCuUR
mc52kVQ5R4rCHg5amPdopo3+1LeNdTAx9m68uK4/DLYtabhOAUidft5a8RghCe2qB8fvyi9eW7jf
4KBT0TmtZOTmh88DPO81QAF/EcBrHUoPrvso7ZVr6O1SKxXV22fwD7AH2eZCl1n/WOWeQWSVOVgZ
2WRacsgiUX8IsC2uwbpBebZzRVhzgLsUwsDB6/f1R1KNHGeNEC//YoWht8V3GFx2RuAde0bRKF3n
Zh8xbPC71GQ0Z/J+g9nRZqeWSfpV4uXyEmY72nxPloe6BIIetEzkEpHapyFzewzERfcRwQhj3crv
accJDfSptIbupgqldzFr/vRVtzqVdtrFvK59zvExG1rtfRTZzkMdlyw9qVYKcsC0BMfv0FaITucg
WLe6V165aWGdYj0oWJZ6sNr0IhmNBba3dduS6RNQ89hamnQxl7kRwXorXe8x1edqo8fWo+gkAfFh
Yd95IYR8Qx+ti6H16ciFk3k91bO+DIMCLbUtD3VmGVt4kcueOLSVn9TmZee1CUJ+KBZNVEBGDk3r
3vXaHoA8yXA1uWRbzaGGUPU/RQAvxyyNQZ+UVrWfmKnduHYonqAG0xQ02goq99D7dwY4yU3BLGqj
R43xHhRlJPD0VOKa1J0gon4Z/ZssLNztEPGSxb164eHP5LLnQr+sdeOyFc54gL+EyS/W6q9RFzPE
0qbB3wVt7e5cDaSQzCRjoGCS19WcVde4QxkwRKa5Gy27gNGF8GkY4OtsA6NxP7IXMN9D1UumBU5g
95uHpeMhLz17A63ok11nxCQm/o1lNpIuTam3ZAQMntyZLHlkarVJxGy80cgDICtqSfRrE/DSruen
uGowEZMfNRxM7Dl2yettSr2QW1PITZ6kNqZh/MBGzMu6QwGTbGBWucnKqmesCiOL8IkKs17JuvmA
6TS/6ocei2Iw62LL+w4pr+jSVcYUEke84e4Y4nhXpBWjG6Qce2CD5silRuAkE4Ng11VJQLp5yjzW
NRoCDMhrN5bc2dn1AJ40WjZiTBhH6gAWip4gi1RLh1unUeMKIin2jj4VV21a44DMLKfh5vDdZza+
0VqI1CS8kGXFA/0Ab5+dKkMuUx/uehIo7nVYOvfoC7wN4vRZAPqq6ytc/z46J4fdCqlxe92tunwR
6ki6FmnJG2zh9cE+ZpQ4g7e0kkPS+n69wGnJnCkOfUg/tRnKr1aeuJJ+WtpOhlctrNq7CHq4PGPr
NQc7i+obSnXrUohmOvl1Y6z8NA6XLR6AQ1QM8zpk4/9pJl8oEc770IkBNJgkAsa2wbcUhzx1jc+x
K0w1asiWdeAAj3Zz5xPsN3M/aVDa+iGyVnWnyXVlzY9NNH2JXe3GqwR406h3VqQaRwtZx/qybIth
q1vMo0H0IN2uzGOcGTnyeaBovmltuskTS1/63crK2NyABbrC/mtdSls8GBJ78di3EHVSyD1p6jXY
MzJOTM4oKcsnungWTurSFQXIKsYKUG82UVhMBy/ur6JJYBhqiixFAU2kpu4UzYZga7qT2jgvg5SA
CEaqLY7ZfOt6BFDMWLIfJs3EEMLcbpkDYWJU5V6NTpTSfIOwVXD7PWrSXZuuHbzPW+nsKkZqB9uU
+qUyZawYH4nl7DW85mQU71GXe5tJtvOyYoy6nATDRxLXwhPaIN7sSFqubJ0vl3jZOp6RfDDYbeh8
VPDJfl0a/lyWog0lyQaEiItq8q3WNgoEodcdnnnYtpR12uiiHZ89VmkbpMSd0AsqUvZSBa9sOOi/
Pji19Zuq1EFaZJqM/2mEGb6qWl9oCee4aJxpruK9MZbN05w0xUUVZ9GVl/rp7a8P9abRhWOFeobG
PgJJZIvuWxFWXJOKN0Y5h6rMuljzjEy4i6ew/Prr4/zcpudAAqsrDQeUn4i1X38nRCuTaFI33HdV
MG0irxF4xABwZUXcXtdNSqx270d6zEXPHytm7QRUz2F0pQWRKq6DiE93/kj/NnB/08ClN6oMwv9z
A3dfPMePb0jb33/mR+9IvHN96J8Ian8Yl/+aCHkeWnjU27RTzhShFx0kYbxz6eeSTeDasLh5sv7u
KLnvlJRS/RjFNB6ZP+ooCZVi/er5QS5JmAIzK5s0wJ8zrzpSkOM5GrV9YM0jb8sse7STAEBZB9gM
Lg9Lcw8peEId02n9ABcFaqATNfnl7ARiXBrMlKASxv2z2xn51Uza02dfT4DNhz6aNbzKWr4acZ1s
ciz6n3ObqbSOuvqqiZm/LhIquMvZyLwZZlweEhbkZ842drw7qLnZLYnz/ZXeP+ZlQxYdgc0f2l7H
75/Gvbac+6yYeVdW4yMw/HxcxFKDQa1ZoRmsRr8gn9Nq6VPR+q3TLxHpeCHZCjm9qQmEybo0QRmn
Y03dE2R+dxkSK8xrQw9msbIbJJnrrIQetmzYzrBX9EBl1Ch8ImUBjS6sxO09GCRu7C60gk7Ikld8
+VTJqnooMa2dOmjby87KJFlIcnjy8r54EG3My4pshukYD2l9M1VJ+Giym2J6ZIJOqsFWdMAJnc7U
l2PMlH+2x/LatqYS365HWgQauMHdkg+TnjyLqCmRUS/D8l5NstyD3KEhXjOqYjvdLFAEbAczdq+N
GqsAw7z8aWTOjS08964JG6vwwSXtHYWzxOQr5VoMkwWIuTJY1rS0ONgtyjKy1roj7zDiKGZp1Id+
zqJ0oYe2z8Tdrt0LT89NlnZtIuwlr7q7TqQklHYGYpEOgcCn2E2DT61WjftqsOs1lHXtYpjNBKkb
Oo4So+ZyGIP5Yg6N7mOmNphL28+biyFo6mPkeT3+Nn9OIC8pe6XMRMSLvMjWFaSJhLGlXxcLRq/9
JTHRjZqh8SKtVUBUKMfa3kIFLHOcm4P8jHmYfcfAjqnCG2iF12CcCgNmyBTfRlVqfTTDPKbnYHM0
S3ebOxb6ZNPVkTgaZtLriwjF246IaWqAqaxWZtvXO5Do/W3IG5p9dTI+aEXYHCBl+l8ZerjNxtHz
EHO7NXgEltW1f6ucG8MS8WeJ+TS0nOsIrEa66L0A9K4PsfpJIOzxFUM2JRUT3KEPFHZZ50bxnuuY
3g+GjK7dMZGX0piig9uY8OINLMK4swoA6A4+ON76Sfnes2r9KmxaUJ5aze8bZSgugaB0YGzKvDol
hUtMN+1InvJPY2EkyjIbMrfl9GDi1CuCrGKdf5WFEbbtYvT7KXFuZemPenZR6PqIeg1fY0s/aGD7
EfQz2jekN9Z0iOwo2dWDc23AGlphsZyXdNQIdheNfzcCOOgxinbZA9FEE/EQAXpFtxM+ncXKLJcF
VIS7rrM7HKCx0S5VLMcyAvN0Enj+L1rbibaiZoctSwmrCesfM2uGyJTL3Io8L7cBwCmGsn2f3Y/n
GGina3Xs2bGcyYcW1dzpd2KWQ86OxXUKm0CMWtsNXfNBZGADtNSjCzzSbNtbRFDjNnEuS5VKnat8
6kwlVbPHnm5I/zb3HcJdQMEkWnuTzG6Gxmpu0YCc865jOE5+tgY7iyuAWOxc5WMbdXSCvLvoVHK2
3sYXfXIAasLfZGk1WhVStv2YlqDK3bYT7ZAkhMNj218gCQbLek7prqX4EAlL7AOV4W1wWjYMA+VV
rIsHXyV9U2j463Ig/TuZjWCHjWSE6qx/LCghoVKSFp4ydpPIqmbOYdDqx4T6b1oafqpvdBndj+fU
ceLHPRA3ZHRVT9j4sjUSoVsd/e4qIBIrtJorZ0iS65Y4cxGA3jWnIwhHfZPr5V0f03XMRxcMkApE
14e0X5nnlPQOyT4MJoPYMRWi3vVS5alHWP1jQwJykUeczWD3fa/fmlYvVoak6cK03SWGmRCbA81E
EfP1qvkBq6a89NFybpzBAF+KscThal/oYYPO7xwBj9d9qxRVWwHsEvt0OZ/IQCQ1XpbIxz0SX2/q
afJvrbkhICeM2+wGAvRw5fjNMwYrHTpbCFco9+u1JoH3Lit7JD2CkSDBkB6333sXjeqK2RHiS4Lf
1miEcmbs4XSiOcK0ojea+zllQK/ZQp5MP74hCw5RsZVSK/a9POVNypyfKIu7PguCG9tE4SM6pgg2
Dd6VxWXyyfRdpaYVPWZj8BhJvb4xK3e4Nkd/PMaoFG4dGt933UBF0lq0t0EFLEfsO0iA9Y+2jOqF
rfFLlIxg+Bw+qZm6T8PYy1tP85lBduO0sabZ3yBnyL45MihO87CW3dzR7GCouWg6KU6sMQjT2tgF
gwEI6Za6EKmxW6RHyy0t6lETBdsooyeRZWrIU0ogzGl3y02Y4YTVs+vEDhhVMN5dx84s6YPq166Q
UPXMpNnns2VdZ57lr7Ruqq7swfhM95XcWdgid7lPlp3duubHthT0pgb40twZUZot2Bc4S0O4BbAD
kyxfioWtga74qPWOf7DlMO0KLx73TssrEmOIs0cX7Rjfq5F/98m/2ycjUvjlPnlD4H38/Eo5pTA7
/MyPfbL+jv+Ft4nfTahtLdamHxtl9x1qKkdNH/FtKk/J36NWA5UD9dgZramb7gs/qSneoZRHi4V3
Efo7G9w/UTn8VOM6ls1iigPFYuetn0u2F2VmOIz67NHjhXnXYUcGLEFXmjaMfyE6NXJ0bQpP0uzi
YkWjwvuzIpcZNmQWZWxingiS5q2tq67D2e/nsd0OcMbW7pTjlYnNDHJJnO9elC//MOd9U09/PxT5
O9QewMgQ/L+uPRsLRb2R2+1WGDiNMtMAwyihSJD7U/8vvhWn0rcc5tkOM9nXh5qNMa2QYkEKgGMG
KWGuV03bpst2dLvfGONe01Lt87ey+E6CESlD/Lf2PNXqSTObE+jHgb/oJ/MGGpDzbaSlBKaNcKAS
wJtKVVxWuih/496iWHtZYv11cCp6dRcDw3rzPVvqhcCq2nZLe9pZEJMZMWEV9R95RdVXtE3uSxcF
oWPihXhzFEkUpuzroANMQNuUe7OQ7cIeazZaSZX/1iz7pm48Hw61IkUtoRbEo6kv/eKBIOKHN5HR
dlv44O0Co/9X1zK/YT7I2c3lR4CJ1eLXd+bPp9E2TZOSF/e4MH4K/wsiZhgoczvFVCFdJfAzLpZf
fu90vAod/AUP+vy9TISJvoe1GmGHej5efC+gBBS0lFCMX/ppYWnaBXDmKywzBEfouf2b7/RPZ/Hl
0d5cNMReYR3aWUf+MFuXAKFA2Oc4QpKU5iOhTQuaPV9+fRrN1x7R7zeK56IntTyIapTar7/hFJEA
Pww8dgbmqSvkWuzi9I5AvnKG0VCGJBXWty6ZP8s6E5idmJ8cKtvadWFTbvvO79f0oiBeDG71NI6W
tp8c4S9MRgZ3czMtMhfmpJHW828WprOD/oX+RF0ZSwfFovzgOO3f3nGeBHVWtjxG8UCJufh/7J3Z
dpxKtrWfiBr0ELfZZ6pJS7Il2TcMuRE9BE0EzdOfD7lOHVvysf6q//bcuPao7Z0kJAQr1przm+6S
Okq0iae3DI3JJ2RzupbwBjcOV29rg1/5wmx3/KDoZV/jvXPWDNjFGYHLP+WN/+s981oC9/OrsT4v
Tzi9u9de44yeRT57Rb8fyb4Fq+pt0jYZ103o99uuibtPY+ogGRt8nFs1qJHTWGXtJa5NnW/waeIh
MqtV7nbwHqfKXDmWhHRchYDobVoFsbLba5th3XGGTr+BrQLvLPAIMyTv4F4NqUFXJKSmc1J8E64R
7BzHTonDakNEneOpx1PFvLdAHRp5AnKad5G4+SfF4OU6dyd8dc6c72A+p0Qp9OdaBPOhSQkBm+gu
MBMucDEkk/lgMEnYZxWWQHicz/nk3PZhnzN+jaHM+El/5pOr3d/v1rcPSMgd69g89a7w30iexo7M
BA8ZK3zr5BoPRLJOQ/NopeNHNUdyq1Rp/duPJEdc3KseDMBlvfn98RDtqEMx5/2+jaIjg4ItSVzf
ROVegphm2CD8x7+f4dsXLmF3rDaWWKzqoC9+P14XC03HXvX7bCokQzt3OGIUYw5ot9M7L9y3K2gI
79C34Ua9eHJfrdmx8nQ26Jq3YKg9OFiNdawHFbxzAf94FPjolCmOgyvy1QUszcgo+4ELaPit2a6a
QBgHcr7CD3+/btbbdYyzgaoYUi0yXHmtR8tTnMu+xNsxjla9wS6U7fCbxxt4pDVety6gpODGNwMn
PrXhQ2vH+9rN0/eWJbR/r97usCeZPHihhQzQeiN/bWp3TnXQQaVlujk0othFQ9bv3AFQ+tpxZ/cI
lEdsW7P+UdRDcJv3GcBWz9RX5TyTIZ3X0Tu/gP3H74ToF26GIxbX9O/3VOwaBrMAp9tXsaqOZutt
hUl/Zobndx11Uq0TvF2fC9xn6wKd3BlTJSnnqWlvmNIAYK+KH4U16us8RJcyD1+gZNkI7Hp5N1Uq
XUnamAcvToZTNRXXQPfeI3H8+QRQS9Aah6dgLrHGv76FmSWLcoIyvIeafRu3gWRP6safElaxtWwY
66KfMCEb+z1vrLY8Tcn8FKbBx671xTI1iZDwthrOei1ugJzTCnPnHzMRhicnJHllkPG0GfLM4F3R
g/5N8Ty+c3cuj+3vbytui1/O4NVTAKuYL1xP3X4ysvgUzaI69UxyN+zFN33assgrIoSzzDw6NTan
RVr2zl3g/PEuIGOC0ORFBP6aZBpOrCU4T7t9ZiS0fFQRel8pq5bNdrUi4f17XejxgSlz8q1r173S
MQYoe3FHJ0xi425nm/j7WlybqyG1hnIV2EquEw64H4nkw0AXWz+myrJYKgPYhbhozYyUeUNgssKL
bWnPvDQ8qzjMdf0UaBNVDgeK3ZfcTdF571zz5a5+dcnBpVgkTi/JDS/K+19vGigKdJrhWOybrHio
IoSeWbExZkiNZO4479SJf1i2GTt67DzdgA82X+2TuiJn6Muis8ep8izSMOKtDS/VHef32BbLJ705
LYLjyEFYeD+vC/smipUMIo87qY0/5pYTP2TFjK28nNhNeFMOstP0jfAU+czG/34X/+Hti7cA3bLj
8GKi8P79MexjYLgRck9aktPnqA8/jEFza7rRMz7Wr2x5/XdeUK8nnxRSIZkbNkk6gFQI4Hj11Aht
dGOacsuyDa9ulUPdM2E3niqSvNEw/jCj8iOM93ETT5LixiVZSXdxC/l1fufU/3gzeT5ia/tldvfq
tZyqXnuJ5vkdwrrfmBLtrMvcZ2WkNbbdJHv++5X+w0vTB0Wx5AOy934zW/bRXcalGvmRp5ZoLmlF
9OPC5J094h+vr0UngzuJy/syV/z1Eck6K64tF+Mze+R2HeoxgXSbCTLWYNQOncPTyXhgY0xNAcON
OAO6AXR8tXExz/57a+TbTXmIO5xq2eQZYnr/6sceJuVBncv5Msibt0kcxLuuna8mPcXruLQMhA1l
tU+g+CAYV+Y7D7D1pyeYaoiLvcgW3Nf3Wg9/x3aQAu0ny02+yqDF+Dq0cX/uUssrV4Nf+/66VnwA
miiC3lbabwoPVSgYREZ1AcqNAbHUlU4cYp7svlekccTQL/5+Z/zhaxIthwiAR5865zUCKzHCdPIq
v9njkG93yp31Fk+6IB3ES9+5JH84FNGXLhE1CARDuBq/P+5pZnWyAaOD/DUqn12GmzdzlZRoo33z
PzgtalDcQv7SUnuzqklIDL0M3WYPnrq9gTru7+opiC6ydont+ddA/sPPlfLXHf0fFjGORFuEEjGg
qbU8er/s6O0Z5iOwqWafOoh6o76Sd2Qi2zh0u3lljiV99jqZ3lk+/ngp2V+7EM0t13stS4ljs+oF
2ID9BEp1XXpogNKsBBth2u/Jb5jUv31DUGmgCcBqgqnrdcUd5m6t4tniFnFbs9kRL9G3REq7w7yB
/lsxmWwhVvjU5KiuHD0YO3aOatzOY+CU0Jk9Hq4U4ohglsQU14Z7nRAukYdqI4uCGJ0+apIncKXG
VY4MpyMjsWCK3qG/h1bAKTnrwAe6T9gt/frd4JjOdMGsQezTiTDpbe22CfPbPLE+MtmGN1S4zEh2
mVWO/tYRMrEfxQDn5Ief0SyJV5IdTHIxJi05Nm2at8mnrqit6Ui2g/D2SYrraotTzDqV8zga+44x
c3ftlWi0rtxeTdGN31lFtWi2jGFXDm2Xkx3pirzaVLl2Y5R11cIeJaqE6S6ixDttwGA4tZVRH6w2
r5jXMDpqkZyl92WHVmc1oobPjoA+Y5IfVV3nuylPF/qLnKr2MtNsJ1FrC/zZ+64blsmh9qZxU+sp
gqJidJFJ36GU9kaW3lJcpchOngKA0aQkRf2IrIvsszuJmhIect+BIwKoo++q1G377USmQnBr1iUh
CIogaHWkiB13TTiKdOcCV5UrV8YzCo0uE/uKgNR6W0RL+880bOR8TeeFn7KkQSZXlIxoOhdoNcBn
6R3KUN3Q590p7cmHSNrFY2GE5m1f+UxzGWcfjGWQ7jTirIppEZvuRlIrb6OAJqqbxBjtqnSPZ4HB
lMgx8Cp9cvQ0EETZPWU5/n5PocVQ2ejsSsf57jrGsF0AWXwHeCo+4OitcFN/74q5JscTmV9Wifii
gx76Nejh6LhYcFZVoJ/mxvcO2llivCGcemlxTxDX1sdt8WFRCxD/U6UfcmeY1+B0rYuwLJIrZ+D3
YLeACiWN7kfyMPaeYd2kKWgenAzRMRJujt0wVxQVXbAueEuQkRPMN3kxHpve7ck9mjz+yM853SVG
jO0pH0d7M5t5sx1J0lllSQQtBjTQxeAkm5Rf9kMUurelkeAFGMJkN88tEGejV/BcJhtJvG/eRnEh
vxD3aF5WSQCAvG/8zWj27bNvNNXa6LXchDSs90Fde8e2EECfqmg8OiYj4m4Kwi1NipMNjIXBpUUA
+fRYmqp5rNLoEHjuXaqmR2+M8Eybgkadih5L34hbnsAyPGrFjEwbTbQhWheOTxidushJN35ch2R6
usi5h4YAkEzMm4R9w23aGvpDE7fhbafwUw9Od9lPUbCovmFxG9WPDhnrAapCemDoWR6qEsmG2yGu
nNJhpsOFJ6Ofp7Wqm2p22JrbjEqR36Si/5jXYTKvbG6ehxKJ37gJGvYRvExZJDJs1WB75vy6GbjL
sgkIb5hbR1PF09ao+3rnW3OIp6qutyMPxDYCVTp1l+E0xEP3GStU0DVIfSJ3yDdzZ7ef4fPtoIJB
3jUQHMs9jq362wi/Rh6cvLDVpkQyjNqpxsh/CTKqx8MVhC3hO5P2wL3VKfifqG7SQ9typcA7VcUG
54T+mNDV/2AXsNeissrT45ARaO+JtLm2BhtjF/idecUQGqFs2plf/QU0hYIfWnYwm8WF5CX7rSfk
hLQu9ITrbPBS5xLMJOpJnUfPgua+girul2y+l8TleQrHT8yZyudWtliRprKzvlRj0G7YonlnUdny
M8PgYdMl3bTvqVg+hgDRP+uOz5kg40FVsZvTjGB5nY6VewSk2j3QhWMMkmGs3fUaAuQKN13zmMRh
862Rbr7LR6N5DBo7PWSYaIsjsB4SmCazeyBYjfl+QCbGxo+8st+oeZGCFjaJNLmJty/2fW+dUXAd
FS5CpB7IGdmVinaXs28qDxCO+Pt9Guv7JhrieRt6qRWuRLykMtamSxJsyWiQeICkWO5BYzgRn5Dc
mSUJL3XQKhunQi+NezItOcVA5iK5iO2Zr+rn+l7boxquYnRtZ+AyhLCaxADX/YI4Q0NxlI5M966Z
EmnX2968ohJpTr5MkjOyIfmF1p29pXHmLWKaxt9WdTnvZjXmWC7GReIbBPG5KKQO0AUQSsBD1PBQ
8evShG9OeSncc0Bo8NdWx+2NO6PW71Kud5rlZAtMhLGGCRcVzul0YXBr3uCPll+9ZYe5rvxZ6k3e
ZCnxql56ADbPxxqQZa3WbU6SgOvLGQfK136S7aNOuK5zEDTfaituCapSmAYw/ZXRKaYbsVei776L
ofPO7twYhA3VIj6PqQcqbvDLcvo+Z+h8R97Ag+OCDhisaLq0eC0vaVBgAfAeNs0qxu1VsUIpMDOo
UqyPEsbUOQXK8kn6SXwN5qsGs0VaNBEcCOZsY44sFE4UkZ4idTbuw+Y0tWa0iQ2l8QVy8q4A5hLi
OPhSxVF6cJaAa2ka8VmJxp9XSehRgVdmyMQCkeKxzWEDrnpBE2eT5iQqJ2XPXyDFdoH5D0W/yeAj
qdXMc04bq+oeSA2YnsNAgzWNXW8dRRMxS22/3OUqkYqZi+3dpWWi7+FAqIAoP75kgYT6NuxbrKFZ
4t8ZYibcQVZDcp78srJgblftY9EAXgz9Tt2bGKFu0+XnRmAYXnrEC982ruZAOb4CgbDTRlkHE9/t
uGphBjLQjI3p2ZzrlHCDxYdK0z66tcluPTZmQhqyM/CJ9ZzfUrKPn7Did9/nQbvGaW5piW+NMpme
A5yp1RoPWlSv6Ld07Qoq+1CtfaNGU+9mM3DV1PCjWzdhy7WSqmumY6nJR+PcuZNmo2lZen2XO401
KzkXeVZbGGHm+oPhZDRx9VTwW5ukwemj79RIuUXXP9ehwZ5Jm2WGPG1onjE6WfduDJdPD531g/h0
hUbGHpsbVov5uQb61a59u8KW1Gae+mGHCp5QpAPufSm5LD5v8m6PTMhCvUjJ+3G2C+NW9CarWeDr
H4iGmps+qmj8N7a8JvZQfoYm19xYfRifI3+BWwrYeilW/CPrmCAoK+T5roy4f8AgvDgvjbBjja/z
JQJkqrl4aHev2BNHO6kigsLQEgT0TXtHMRB2wi9zF/bXUSnjvS4KfXBxzxwbXpuXDpnaauUFcfrB
dzu5k5XbfWqljgiyS57R9/F/oQaVm0hL5ytySW/nSiBl0sU1B+iMmAi9iFS4Xismmu4mB0QDM9Ap
p1urbMcPFCEDIIUsureLGFacUd/hOboie4BUbtMkFq1v282gRHZNeOLJVInGwCBbDpv7Z3MoARMG
JeuGMzNeB4ZwNfqGPFeTF935kV0fxZgihunTcoZRyLCxwRV/hKV00tNUbFKezSszHtpLsnAWGwRI
FEp9SkDB+I8W6pPwkuaYB9XCWdTOd124J6wZuJ+mkD+cDrGnby0xYPBogYE+UG+bmAbH+qsYljlT
3e8SOsvHBicq0zKwEAed1dMDatP41qySYReM8uBDW90IbO7oTYm3D4f5if5f+Tkvg5kUupqLZBtu
zELPDgfmG+TFdZbn3TE3TGelI8M856VLEjV6wosywj3kFnZ5wz8ENOUj46NqAHA5g4hvVcdBIMUF
H5SJN4XGNMCUIHKfRCr8e7/ri0OaBvdjZpZ72qWA84h4phOXIneu0yG5IhoVmKllL2pq62tiRsNO
h4a578mtBsOKL2TQPIwdDNnVkNMqjKfJv6C4cB8y19tXqH13PE4swHXG7jT2G4ErUohnnSv7gZhM
61qUYka1ULofZTLibKKG3XmsXZxaV9xbXhDcTJpfydPIX3cBdeGq7dt4GxPW82Nm1GSv8eOm16gn
ozuiLtBoky5O/JOURDO5ZdatR/Kj1wwQVqSQ2GsV+BT0bpw9ZQTqnGI4QTiXSE/0EILVEylKs4kg
KyVGlkdxlxJWRKHm4YWNYD6Wrhd9KvKaMsPVZBAEZoaJt09vQxM3Ul464UU3paxeZrJNvALzkdN6
51KSELhOBmExtCjm4zTV+sqHRVdRoxk5D5xfETcxZucic+BwNdkME6BtK7alhZHxGDFD01cQCrPH
0nb9vWfRgKe1BrGP/DhaGio1xg8icprLiWY2u7pAp+TmtJhBBVCSW0KBocMG4yHSSxBol1+BCgHa
WoH66VwIfxMDnhVZ2v0lfd9p5XfZwRoNASnRWbHPeWrrSq1LUlHgqBGZngVVQm6I7q3HEQ0sFJTg
qzX7P6K2br5QsRZfgI9DeQQF9CkoPAPLtoq3faDKm8mnYikAxTL0Fvh9YiIr8RCZ40HbpU5PhlMP
7kYHZodnL7eAG1auX5+NIYapWk1BfaZ9g3jUDrO4ZgwA65N7lJTUssyqG7sJoTim9JFX6cQCmiVD
/73obJNEkyz53kSYINc2vO5zgwrg5LVZfYf/KRweWyoefreUTU6Z+AVvCQLFjoUEgjyLUX7mbUnv
bIa2qGj686+AttkfqY/ZmZKx6J7ifOy+l3ndf+9URxOhm1T5nLsVXYVu7qMvZpdZX2H88aavXQI2
O2ynX0D5sgl3o9QQa6C23XfDk4gw7VmLYDvnXnVXNLBDV11CqCcJm72ud64Y6GioMeH2SDC8wzOo
ivouQSpOwmhcR19QbvLfCDkCAA0ykXsbtzK5jSqHKMyN7viW28xDLrWpUGkFbGJGDpqlbtVdpLPX
s280K20l6wEdb7yjeOWTZwN72NEdaD9uEldMxh4mBSVAz4Q0WrGZEpdZYrrVxm8JHVsXkc+vZMy8
6tbFqKIvutUJQCoFMhzBrlc+2wo3BUpgB9rH4Driy8+L6WkjVivYJWD+5s5EmRZYM/k37CfqvSO8
eO00fpeTNbk0BRzLre489GPVvkgz2j0oC0CPVvmYH6RFF+hsN6hbd703excT6vE7b0BRwU/IvHVR
z3N+eeDRD2mlmWcXHSoGvS8nhB9XQvf6Wfv0RlfK9mRy5cNI+JhP2ia7raoeSksEN3kgmmgtZWh+
HBLZTbC0XCs6u4qTPtja5DtSlfOt0yrix4MLURnM/2qsE/wmPLv0/pNpQ1+Gq6iNnr8/4xf9nrJ7
SVd8WUF4ne5+pBl5k3uhWpC7SpRptjehJI/rwuT5gevvmfOhov93GjCOmDgleyo6L3FlhkOlpYmC
A6Ugoq1JwdjyTLHh5iXM+2td4hIhgTJUyKrseQRcmWiHqOelhAREhIu2QBv4ycpABIFoNk/MpNsD
Wc/OTRmH4yVapvR+npPh02C7+ucY7P80qO9oUJcBFZ3Rf7WG36D8rp667ulboroffd/9Rvv5+V/+
U4nqi3+QvuNjGaEzTVW9xFD+N8TP+QfPuAMMOGR6smB//qVEdZfQE4bVJDWA2KN9R/P8nxAg3FwI
8pBcUEr+E/33b0D8XnWW+WgLZRowX2sRwplv9CnO5Bu5NOi4pMVzUsdib4QoCJDFDP9eD/vlSDaa
SawuTKbezFMLIordebQ4kj0Pq9KUoKnqcTVEifp5y/7vAqrfG9gvR+IY8M0YpiI7Xc75lxZ9DKZh
JsNKHtCNKDYy5rnTZQbvZL7/5Qf/wyzgDxcvdEImTh6HMznW7wfSJCkRoT7LA9nRz3mRP0dG+pzx
v//JYbyQ6SG/+JvfCDHU3CUetWtkDGIrlj1zxxtynVNw//uXjntVuCEuQ0TTr8dDsTRLxheckY7w
TI0m4X9RbYeXbfXeiPLVRHT5kUK0x3inUVu/nR0GmsqLDbc8ABnOV76abqd4vLeM6V7qdxXPr4be
Pw8GJxJeNdLtN5pZAyMFz2YtD6Lpwk0AdPeQhQ11gJE+mSGDSTrjzsoCJv2fXE8SFhx2466PQPL3
O4RgY2UDapQHCVPijneHs/KEkd8bGf/097tkudl+Gez/PEf0UawKODp5qn8/1KwyNaX4sA5QRdpD
qeS0zWwzuvv7Uf50yy/s0P8+yispDbmMUJQV0ZmGGL0Lux3vdTlUpxcM3v/fkV5duoGartYVR0oK
xet5zJ5e+ov/D4+X+fakFsYq8zVGXsScvNZE1FHphWUty4PU0KekqQ1iomVP4emWE1YwE7yOAJze
CM87mJT9m6zADeU0+Pl1A4OU9k4wbsMRRw6F+vAtSFKqpgxzKrZca6eC/Pmlc8BYTV9JJjWrVs6w
B23AI6ta8lcmeDdbMx/YIPHGOECFp1Jvhf2QB2ytoXFQv5WgRoZy9A7RAkmvp0rsh4z7OQ9GP17K
Xaq5vBrDjSbh9Nj3SbWl7V9tezuo7nojc0+mmIdvSEDE3urZ8mjf4igZFHPEm5qMiiBM6i06TfNr
Bm5snXZ8H4Y+7lMZcdI5nNAdLT55phVab/ol75gI0iiCuqMKqsrG6QV9xVbuGjMat1lD84Q4E4Pd
BWc3lyxcMCH6ddCT1ct2LifkPK22PlEE6ypYikTy+NgfQUQ9uexF9lk7E3wDOHUTLlEjoWC3SxKy
/RAnSA7H2Mq+xGFd3LNVT/dN58jPZNnaBNXyQatgsICrly75kH6kkbgkgYRD7TigoFYUiVR3htsW
9ziwvIvQ6Mobw0j7LxGX5iLJGnn2VfZsWvymKvPthzJMn8duiO56nwSCYVkak440mKmwGeC1hcn2
aIHJJR/I0h1vYVIDr7Y4W/LK072O2chRBrAZYTRQndLYAd3mqji9jh0J1cZH+IPWybq2asZuhLh6
FTGjQxgSQ0pbvehi90R/ILxMfC4ZyYicpkqyNUGf0xpCTkxUg80pxSQrk/dJG6NskPdGiEtKQCS6
Zpc2t36xTyvblFeW0lJsfMZNjwlkc7FlsAzYvsILPa98kzGkARTqITQq7+NY5WwWgqQ+cY7TFtlf
tDJNgsjczBL3ALutj05Vc/94relBUnI9jY43Sai2X3Yl7SgdxhM2P0FPuLS3Gm3J1tGIEQyamS/u
u4YAeOkC4V0jMiPVA6PevnekpiFWDDK572m56b0Kq+xJDLaxw2fLBj6gK02KgGZKukQCDa3Qj4zH
8r0nFTq8wWhJYs4kSTbbOQtzOhfw5NXKh3T2dRZQPu2ZZ4toTvY/xeB1n4Dqy88xrZOLF9Z/OdZ8
2RZ23wldUzoBUINPY+X8El5CXmgT22ivI3hg7djZ67zNnm30gJcRCXI0VGdrZ8XlhPyFkdYmKf3k
Os7FuFVxIRDR8Qsp2rH8wc8LlQHoIRkxd1jYIcckckx+VFIAecp9ZkhkUMyXKN0e2eDovYMHmXky
9qDtPITVaXDT5y4i4bMxepPcCbYpbfyjV22wSbrxrmrsQ1/rryqZ0lNZ+WCLSXq+4FUY3CQLRpF2
3bg1rUJfwZCii5TznLthjwyFbNCH0JLzhSnGXUmEyDqeRxJOyiGHkZenDEOdvuCmZlUkLqiQE6zD
TJwdispdY/DU54x6N1pLFG0Mordzy+pWDiSgW8t7V7qcN/3pJ/ZM4TlkF4UdsQtv0PBY13U8WB8z
N3JO+PY5GgvqFyUiwiMLep664vS9buYxKkNGyn2lhm+d0dI5iEForRGlhzeWz9jCNaEQeCyUS8rG
2k8MhCjpyFywRRMdBQ0Tes9R4U1U5+2lRQeU/fFSaSkBp420IYVrPWMRsxVyxIFDtzUpgHSF+7Vt
WcO3xKuYJBUEM4vO5A5mm0Zs5dmRDBWTwWG33pXy3DVLXU2cw0VBmA4reQMhaVVaqMADrg5OIiKB
fGVtX1ZdIEuf+zy0fpj4fxHfc4+wwbSu84hmW+aN8U5PqCCCgUoCzF3vXWd0hDu686TPtPbaW7q0
TV+Paz379ScSYsV5DqKKwTDAe+LYhjUcKVbuwmzbA0S96qOWcUTAVVWhL6VP1CnWHiNm9RgED32u
SYPWolY7J/OWoY1Or52Ivo6wVH+hDbbTea0ApXQFMRAm0n7SZfeliI0rGtFnJ3UIcs4yzC9jArAr
mx9S0xkecLuGmxCm5Z5+gHeYiSTaVklTnqXRRh+K/HPQtOUmdZLnOo7iNciDTzzPYPfM+GCHNSHP
cdmse9ORZ3fqbKZ3EzG5vvvV8JjX2AEvvVzwNjTSpLhv6Bqgy2DFMeGWfaS5LGtCsIdJ/lxkXxrv
M7/Bjr3XsMr9kcjV0CXKZ1qaCSUCznZfJdhTrIQ2e98JepPAh1jMMjZ5wL7sTBB7FJv5ES6kKVah
DJgz5e0SzaSbuV0V0knLlRM3vUn0xNCUK1nan7rSLk9D45SnOmA8sQa91pyAPaiNssoJa17UgBDz
L6bBHsuZl0/Rsv6VwcBAyB4gI9E5SbAjp7oEeZUJR+OcLiMdnlytanCkvkIavaYWx6e2mkUbPHcT
aSKQnPLyh/R84q7SODhCKpbEj0+i7ahuCEUh+oV1fUIKCz+wb/v+A0bbeNVmrhJqzYg52/YyaQHr
OYrBK2tP9yXMzbxf12NxN2TOSCfY8mmUUVy7jJuDSZ8qEJqbVJpf3VAdZJZlKOJwdrtofHY2CQYb
Fg59A/DcuLKcysg2fQCOw3DtCSGnsp0V3WyIYEXYQ/pS/XZsoqc88fJtgIMXIVbNRDZorMeyt0fA
GR2xRWPcmht6LspY01Gdr3lc429xEVhqlVsdIoVgFOusMIxjOhLISaOvZH1jOsOiH1OdsFtymVK4
AskenMr2AA+Sxlg4eXr/97L3xRL2Wx2PaM6zsBXiTwFd8noLJse0NkLwTYekpJmElb18rp2GKzj0
A924VexSWtF15bIlmdVf6yXLysoTeZYWZVXalk+8uKpTSCuWWGr2GV0q6SwVCCQvXOIrLqsWu1Du
k+rW64auZK8iD0M/z6Azsk3ZukEZ3Tmu6T4RhzrrleCPfWhYjAIi/E6raBrRy6Rp9uVlDawqU4Tr
Yc6JKfv7tXgtMCXbkToCqSIxrg7WQPfVbqOb5xhYnlkcGoqJjW/ThO9jRcM0bKmZesrs68kx6Gra
MzVWLtolj4fhBVMvBhGWeG/T+kr89/P70C2xAro1bPxfbfgXNhLrAd+HCNh7ZU4Xbc77haCRp6pQ
t9HEK//vV+DNLpmbgVxcjkQrk57PKw1l52qvjAdZkLVGQVpFKuJlXbSgH5P6wmD0946z9bWMdTlD
Cw3r4nMW+G3CV7vIqqXYc/0c2C25Y5hYSVhk/lkhIcq4sXqjFiQGcK/hqhs+vLyCh5pG7j6xkeol
VoGbC2vsUz1j7ho7apy/X49XyZj0qPh+HhUlciws3G+st4h4IvQQ3WIRI0HVM7p61Y9ICRAYPOIy
M+CpSBAMMAV3Xiu8NRKLd9DVb/bZAs82LiG+CIZwbEm/77P7yR98CXsdPOWUogCL6wvpDu8tA286
FhyFRgW6dQh2KHWXG+OXHpYCrxf5VZ0eGKM7oHZZuCqY8+sGCV688nPoj1PG5gFooH78+zW2X5lN
uMYLXWrp/yyOE/f1dniycle3xZAc3G6Io0Ph1uLSgKzypVSUxh3KzeksDE/cQzq8JzCcUb30hm2P
rAl+X10lhMrHLU3uplChgz5DUk6C8TlQfzOjICqaOZAV9Ucj6ti4vnz7/+tXv9Ovtpbe6i8/9Jt+
9f5H3ca/p83887/5H2YCaxfNv58pDqRt/6tTHXr/WLKoGUXR6Fz89fyrP+LpuWtc2AhYai28gf8W
IsF8JehHogNHjA/jJeiitvZftXGFXVch8YfFwQnjz0OejBRczM3ofj1Whn/XknFfLTrFsLQep4Hl
RwXTjnrl1C+aRlQo9tEZyunYLYpHIOTeEaBssScoRm6ggFbrXov2eYpw7dd0Pjb1oqA0Fi0lFijz
1njRVy5KS4iP6CxARe+AKi37t+A2W5SZw5xu8hBCaEUJxqepReLUNNvOsO3NtKg7EWGuG12eqUw9
fG4oQDOkoO2iCfXALFKmDMHamgb1kfdyvl6YYcdk0ZO6CEsh7nh7yE4PvlumK3tRnwaLDrVfFKnZ
ok01F5Wq5XeIAxflKtKTrYuUFfIKu0q0rdOici2Ru9bKythE6GHTLlrYdFHF5os+1lmUsrJoGGkv
6tl20dEOi6J2cFH1FYhs+0Vt6y6623RR4NK1ebI1mlxkpScmm2QVpuxus0W5O/cV4CTEvMOi6i2R
9/bIfGlfnKNF96uMZjxIBw3pyM79Viz64F6jFMZHuivFcDNbfXmbs+ZfpkXYKiBpQQ5/XhVXLQmW
w9YONVOxqskfFQqnG4xl7tHpjKWlU/GmkbFu7xrHiO7Io6PUyYnxXBml97K9aZiSyfS6rYvhMRKM
92gSi3sCZfOK2C2F0LBGpZloATNuyNHkUF7eBEtruipAftO00d6hd0L5OUgzJqoQp4r7Kq+8C4g1
Ym/apIG61cuE2iroB8WmbC8RN4YbmToWF0/YykIftfTubckupFvaZjMhIafGmFFVNGEVAFEtct66
Vl2m13S9aC4h0N/ZQ5B9CWzm4ZuXbgMeh+g+sxk5E91YbseS1rKVL6GD/kjU6jKxRJ6RfZGSeQQU
aYJZieKhNinpOmzZK40fqFvTa9XDMl+BxR63pFrw+4GvOjj9QJ/GA1ewaZuQBFzTKe4nZJlfWxU4
R8NxVLaOSbk6YODn7yR6/MAFpHMzTrSOKOjIOaw9GiM9H4nHbyITtIqnDza5Afeeiqb84NGvWczp
8XRLN4/vWNYmqh+fNOeOSKd87Uz8DjIs+EAL4EWzJSUXRKamHB/7Un5OeP7A+jEjw7JPkzEaU7qp
5DwW9xTBFIUNwra0oWy1lCN/eCP6p0jV8vzyzTJoEiFoPIuPL2gH38Qk9BJJ2tLOdKIkvPmZVmv0
5XOxCAsqr1IfO2IW17U/0exNlxOnxGRkobz+UzCW/MXiv9g7s+XGsSuL/lCj4mIGXgnOpCiJmlJ6
QSg1YB4uLuav74XscnR22WG33/3ginBEqSiRBHDuPnuvHabGwab5Va3BSkwb4SvOwIOVvv36pqV2
y6vNxLM7jkKMqMmIwuBZfnU70LCHdS5K8eRiCHzGXmC8DOXiu28Ly71vwDUfqgyFS8eDgIiBi8aI
OtdCruZD7TpUaK1YMnxGONTbfKDa+NdoXIrKuYUIOp143BrXUKTedQAxtYn5RtKy6dvhm28sA6xd
8MzGE85/qEcUatypzLZ5FGsPvwa52cGlISPcQ1VO6e6vT6sYiuohiSZEQ5WFZRvoUANoXubqnZie
z7pcqLiOl8c9ZnD+891AEMvNR771M/8gs/DqYVENDFklgUrniyrjSy+nu05TjyjY1aq3q7cywYFZ
OFPgezdG2+FDi+7iXmSrvI33Rdp824N/8s0KaREHR2m411GZuF3iHTLtc9QomnrF6J3pQ+BGF1Lm
w2nPqKcq8IyyurY8x5AJFg6InujOlW39k9JT/eL03MMzNKq149ZmQKWBFSTFdElGfz2M6VqFtL6W
bnint9p4q4+Q/bwqIl0weMDknCpLV57fW5upzjABkoPaw46rgxYZMkYT1z/LCGlGGl+y7KuTjJP6
lM4dbZ5GoR/AQnw0egtiyr7nMYmy0ncmPooofNUi4wdS2cfUgUaZS1Vs8x6OdzGVgCsKc1pj9ML2
ZDRGH9SOw86JLqegj9P5s+ht7AXkRZac3Jb1xkOZdkD53IzelzYObHvmA04cfTtKzhnpMGWcEvUn
Z8JkgskCuuVUHIRnmHvaPLK18Lp6w3EBMdjvsE9BN9eq6lWKjoQLvbVUoQj32PDFx23viLXdh69C
R63RYG93+vRtTvW1Tjz3KzHwbFoIJm8uJtO1nmWPLQH892nSzA3XulrKGL1AdCWGeYzZR8sPLbnq
55n7gdnn+yidTcwWngBpjBsSGVUW6jOe6EgVpTddCP8MQIciogNB2Rp0XJQzHaXQSKmT0Z1Lzj3/
nq9Vs6GJQL8zoUhuBmR6au06Ld1nZVavLUVzttKN+kvZyAxzAWS6qLKVWdfvXV4Za+kpf53q/Q+Y
n30gKp72Pt4XwAXdByihVxmbOzHJ8Im9BCwYM6NpHAE4qBA+bhDNn0JoHZQ0hCNOoDL64aU8h0tl
rlvideeBdqoNQ4L3abl2f3XxBD1lk1xmCIrTScA403FowwEHrRF6I8nL9CldViyw0IovFbrpF/7O
/Og3dLiWkQrXVa9hoXOsYZspfjYqzA04O3Fxw7S6Ny3iE7CqmayWJuShbrxL3dfDWymm/G1gv39x
WthGNhPWqnGSeZ1zFXEnbxPcznFpSw6CheejtqfRmb6UTD8qI9RHliazA7IOOKkXyUJwSUTPrTNq
t47eeEFmYvDlQ6xEQMOHtumztDuTDbb4xpRwZCtp18bKmge035HK5gp/w9Eil0bfgl1sQiXDZx+2
wBU/ZJJuZiUpamn9Uru0kWcfmBSynS4quUnGnB7Swa6sTdyM32VhGLd6EbVPAyjZfR278sVBP0UZ
mmiImH28WC5kU82qk4B88CErmMJwPWtHUXEDq3VD7ity1QFY7JRswhSS06DZNJR0prJS++kqKvRU
Ew63maOJmyaE8k3ZcrOTBnHkbsjCgJnhZiRFBnBhh9SAb8ubX9OmAQ6alj2Bq0E2waxn+iqJqWEB
vI/O1mTWbqZCaUziadewK1oZHeRZO1f93Zwx42UUC/Pk6r3baSCdJlM1kK/JtFe2dRe9rNUXAgYD
iDO1W792om2XQ3PU0JywQCbJumtADgogMIvn/soTtLplWYfFnQPwSonBfjbrcTcOY7RW9NROHGkv
UB31Vet56Y5E/87BEhXkerOp+ir6kiNFUy2PvF5W+aZPUmoMxTgek15XrNpUeBhkeE4ieYUASftE
6KX0FjjjKUzZrmDF12KqarAhX/2Mu6t+cjvNSRYuVYyyvsuKIY3uTSeVay5hTrBEUAarp+JC02iU
jyIpcGf5IppY0Q75NB5G5t/5bDOqZEEaFZm9mVRKF68Hr5XIGa0YgAf7DiWkoHKENim6mekAyTyc
8yuH9myDjUbxgvfrXhN+D5oYbRThanhgUTtv9GlWlyi1q23a29YNRrgfcjaTzVw718SvtCCd2/Ya
k7JZ576d3kq3tn+qsZqoSSnnn7rS25uhcLVtovdfDRURm8E2+huv782162EstUZOP1jN1B3GROOM
QVBeI0aVjRFiEYaE/waaLVzJokvfKTCecO83Fo29YXgsNKC5USoEld8KnbtPxoD+nJhH5dK+01rJ
Dur0o69RlWRn1mk2GbTRHj9dtLiVJYvm4kDdzCvrI84NhYc88Y9TNDvlJtWXoT/C8vdTYG79dDM7
PQ9DqZjjlbU3nYQwWuo/CCBQYiWZZbRlw5wdqNnwFEOCNZ0t0mL31GPPL3kj8hsVFx8cQOE6Vwi/
mO7axVNYhkhUZfwhi4KnviaLT7d3lnsWa+BtR1f5ttFF88r44mwMnPLXNvTngBnoaiapfWum81LC
YeTmUVi+XNNKzJVGxc6z0w3dSdZmeZ7z3gOQNLX5bUaRlU3C0ox/EmAU0SpME1ZjtHyAMUZY/xXH
rJgDct/7pJmUG0cf2foVb7z30sIeeaU7iXbNmNAQdnLTYiNVUm0edGIoH8slfmYvQbRwiaQpbowb
T58PyRJXq5fgGlvZ7JKgg71SYUZhu1wSbjaaCyGIdKiw5VZ8hSKGkvRXGq5cgnGYTJeQHOXmvzJz
TM9LhG78n0CduYTrcDX23+ypir27RO8agi77kTRetsTy1BLQwwV+zhqaIOqI8J5TiP4uign0mUu0
L1tCfvMS97Mjgn/NEgGE0R/SUpU8cfALwazG1VajTfuQ/0oP/kf1Kduknf6V6mO5uvnPVJ/D53v8
f9pACeQvP/Gn5qPrIC8hUcKixJhHHSgK+5/uRByLGA1NfIEGeudvlEzLh5IpOMgZDr570EyIQf/r
TUS09J1FPkSdpZ3435KA/oqTx1cnzEXpBTyE+P93anSmh7Kz3dC54KPVDpTijPJUkskg7ecREmMT
NRpFZnLYpEc5f5iT2vZ/QjX8imG0PFhuZtqBXpmPNAiPOGm05IRHc8RPa3gY/OvS8QpSCcqv1hSF
Te2VOEME0jYaBvlEz0SorVhz5mZxyvxE7Zjg0/TigunkyCRzb0tkqjwU4URgPe3Y/tG3ty6LHLww
WI4tyXLD2KR+d5/hOwFiLobwnDMunlVntLvJ6eXR8JvhE5Ttm1W0THbsj19zvEQ7USf1GyX3ImC2
cQhJqXezSZcCF7zKrH2NJj7NUzzuRV1ZLM087VKmWkjsyu23MTUQTRjgHkIRIbzIDrHf2kDtOekk
Q3rLwsR46adxgY3Wa+hn9PIksbhOoK6ubSfLNQSNl9xO/KfRHqfbsRzNXW34L+PoOZt+aSIz++Le
SjUsIF1jXJqiaA5IvUwwaZKci74aDjC1kxtfy9/9VnLEgtCwsUnhnWSR+bu80vqfKnPDwxTa5jYr
9fyLUpJm8WnoXwsjUgYeIOq9byRfHcC6DSmK8YetewNb9gTlX9ZeFMgi994MowMV5KaQ9L3qpUiK
F6nx0qWs4THEQw9pRrM3DH4strLEDewakjGLc4p0VjlnIgj2iV88uPMIAIfcSH1YvpFPslfOlvwN
3gYUqGyPkiETLEQugNGqd9elxvN3J8hcTWANxsVXQqHY1cr07G6a1HwbDrGg3g8yZ2waGkcYMdq8
ilkhkbnWzkpz4vqFZiYPg6Pys034/xwzPN3gmYQ9FofD3dDIZlsqNX60noW/AARuG3SZVn/7hPOp
mxksfVe46XBmREv2o12qcxt6SHqjM0SfMXG3IK/JQYHWpCh66mr3pKM2VKukdcUFoU+sHGj4sJgx
BZWBdHp/FXlED81xgvBFMsAgUZtJnhXCTdYGtqttHxukcLVCS1e0rvmnvqAabtXWFqFBJrpm6w/j
OZH8Uq6kL0/Nk3qKeC4Wq54N4XeFdrehzc3fY1Ryzo2tfTqzDcAqjpdFcBgRnmo0+u3GGX+ISZZ2
66bCf0GQAmvfuKc6RPQsPGIiOdizn3jY8q3B2f0jk+F8nMeCviSnj53d0DAEcIwefviVZd5pWehC
9vHCbddiYgvKbJhO1aBZbeChMx9pyhrqdRFq8WYCK3FH9L3azLQCBI4DaasdTdLyxEWuOfG6nZcP
3TPp3Ir8fwnvIw0pOHf9CEJ0TczLppOH9bDPn+RUTF8rI/cVhLGBEG3TTxs6ilLGq3DaJBRrPvX0
Rqz6QbJCY/u8jn2qYAiThjexVzZ3jiPXtKM1j0mmOVff7PZNac63AxMDa3b3aHdc1ijLBqV2YcFw
PzjVHXgQDWSArkZMCN70gC+jvilUbzwahmRzKwDwag6H945mAUjzSRweWOS6DyMdYwGc7cAca3HD
3MkRuhruI0s25ymt04Cbp7iojo8bmS8Grp+Y3BSkv47MQRxmqX+itTuX2pLlAVeZcSgUpoNEV0VA
MszIlg9518C1XIdJ/ai59QQhwzDbBw5Z0xfG8JriI3faTykDtTtJxO9GR0XiBBIHemJnOxfe+zoJ
uZELY25PSdyNT2UurK2syyhwvN65oUxAQ9jlRuRDlluHRCxfzUrE+wmqRqCNOQg9q5009BLbeeUh
OJMZ9rUvPZXaaqQ3CpK81X2noVZdLDuprko6OnalYsUQJd6juYiAiOf52qh6luM9xqOghmvyasxR
e4a8Tq9B1R1j3ykDs2nqE6HL9m4uOQUMozffCT3xbxX9qnLF+n3eWJFDG4DFSZIJ1VurzOvXnRtb
X9Gi7Azu+NGhpNFN4KLzhdkA550A2znW0EGq2h5eavAdgYVV6wqP1UeerJxXkE9cG6ZTA2fwiA0n
2XhTxp3GDSvCzWAn1luW98TrXJlc9LAsd7Oo9PeBjgl01vmJ40MYGMNk7O3eqSHuayGh5kQf8cjO
3qHw8+ss9APTA2WFDTbvTSYmPuCS7enaTfr7oc6iF220IT91BS0XTok7kgq4cqXJaHgWkSOPvind
Y+TFtccdNKQsbkCMVa04K1czr/Pc3WGSXHaJkA3In2eBzXfvMZ1wzCyEWy6JZFf6OuFmSosOvqdd
M9RjzspN5aGyLKahMvL2yeh028hr8w3QAkq2vPBMDCnbVY7qDos0iiRECHbAMHrggoq3XYEhImqp
lDQ4IMKECItzZDfcvodweI8TUe80KPEn4vLuh+7m+c8G29nFVs29Mgv7AQjLk5jA82d+KDn4mO6h
abV553Vut5G22+P6ibuj7RTv6Zy2hziFWCWzZKHiopF3cw7UYdQidUw4x7HYiayriij8mxfkgceT
qwf4d0/g13glnj2ciR/Sqom027/oSaLt87m3z0Wd0GGZ2NvKTGUgDNKrjvU8anS6Cqgmm6Q06cSL
+vzR96J615GlvyVQqS8daOAtZPjlsSQIUHDjHfoWZy6Uh70CO3uOLWs40bAb/eh9WihchUWDVj+5
thx7/gaE8xgXZRkYWeo+ZCG/QqvjC+L3I96Ymjc9d9UNla9voeLYUFQUsaR1dc6hYJEsHs94Tayn
XFIcI6EIbCyt6XdwcP0t1r3wremmEUZm0rxxSuEI63e0U1AudHCHtNvmjnobcByxjij0bcRRNVtO
jXkXv2udzdZiAvFL9fB89OkLcbMoP43tya0Aqq6squgvVg6XDTYhqVHh5k+p5pQPDFXZqZQej3pb
50CUDJmX3lZVq++A1tYXUtXbwjHrnTeK5gZDAoCg0dZ2cWoVlCoa0dkFR7NpjLTDbZMmKHWAPaiv
pcsmtnJkV6/DJpamNtu34U3p3GthUdj1juP9fFuzBQoyu9GP+HjLLf6L8b3zQi+nwQ4qQpgpx6bM
PqK/xmH/QanhPH6U+ILeHIiQOL/VexH54Zpf5LvoCrlN0SmqYCq15jAp4QXUHmr7iMoKJ3BlRmBG
t7Lyph4N9jF4QkBWFDIOyEZ/khQ3SDTOA480hz0/XgnWN1l6y9wbtInAe0sMcCvCmifoEOpHargj
dE6mTRp4xD40NfHtAXFbtVPer7qWtUbltNEGalOzYvRoNhAR72lDzXAviQnpJ8RZKUuDLB0f9Ruk
ROx/I3WcbtnVasUaImOl1ilaFDW1lkOOBi3d0P0hY9H4W71zF+6OuMfe1hsrNhEpKJVW/xhrN78F
+8QNoTdytj+ZsQ3LGTTUgzeGXQo4uccT/5F0Rc/2syhzv3h0xzjLrCN1n0l2akfPrx6HqeddI3o6
atq08ksm5VXaQJShJCrX3Z6a6NReg3DJ3PVE899aw3vZgsWcxq8aNMgnhd/2ihnBpr7QrN40SCXb
yegpVZrCsVnpPexUobwEQ5gnb2TNv10pp3o1ufLMbGq2vCI8LYoY1x0S0S5xKQVeRfVYfjYh5ZxV
MnoHh9w4VzCHuYvbOY8zEJGVZOv1aeW0/q2oLq5PMJ2HDZuA5toUeMdSp2jYLtXFvRjimJQk/spV
FQ/d3spbb7kb4O6VqN+VxQhjDAqDWpRkexrZrQ3JY+MkSkX2WTSMACTgNyyEKNykUNekipPXE1ld
AbTurRdFyHVczGoI1ErXKAShtjwQvHNXTLR2kOTt9DrY4W2UAt1eCRIHDyzRonWPESYM2m4WN7Sq
G0HaKrVuzHxk12p7TkfatcZczFOYJTi7DWLRsChWClfccSzS9DHy8va1ZfTkzKT6y1TO0UNhz2rr
LW92WMTpTvNbTl+2UcCNDvuhIfI79hunq8VhSpV8CMNCtOuk4l/tWKwdMtWU1zbyMSNLXT43caP/
0OFN/Cir6DksXHG2DLK9rHCEtjeNGmRI6aMIdb04uX5RP8BeUTRBh3Xp3hA1tu5xxb67c8Nyh07p
CHRkLObAg8mUBAk2OagPJH5vs3zKX1LBGstLh3DnGb4e0dOjGzuOQu0TAs7w2UMuCmoy+IRto3rN
b1Ru0wbxiIaickbNb200fXy3q1aC7FxDIB9+zkx9TPyarVZNNU530vXotin9PLk2EbQHIWc2iTA6
jI3CK7gxXABwbNKTQzzP6Rn6ZXIoiEldSKNzgKWqcu0I7WfuVfNTjKeRDhfd4Y9jKVRthJ1NLxm3
CoNv/iCCOXXnW42enXUOjhf+QZ9fKWTz1jTsOAAyWLXoUgDGNTKkeCbfIEFZ3ZdpqANvgFLJ+XMZ
ZHW7OdsmwzXsjiWTPeNXmOTgkhCHpyd/VO3gFbfUGysTdJLDYUzqPAUA26jYC7rYQe4GVODMnxq7
muFO99kOObRf8R/stemlLcd6fJwxZfN81VoOvO1dJ5TpYrnvXMOlk9dsxuHEW9J4gJwiGbNyVnrF
nua/CqtXscU68TJH4y7UXPmY58X4/Jv88w8yizrqzO85MeEJmitsKOFMZag79l+cZbUcB9JL+nCh
icBeaz6uTZ1SPrbYBw3oXhi9GYW561ODqnN7S0Jma8f6xnPDm7qbN6pqqaDVdlSogRFK/oX59S9B
rP/53RyKJ0DTksb6a6Cy0HtZitAYLnXdXNyaWTHcJ/3ln78D/+hFcBRZLutAHAJ/fQPstB059PbD
JTHg/PM/h9pkusu2v17mP0a0fylJgp//7RP5OyMaFPj33/PSuvXrB/5UJH3xhw5VRIcm+6ua5081
0nf+YPjiFmCAtqevYfnU/nSgWb9i1DqbDmLRDj+HDe5veqT4A7saNlFQCh5GRn7q38hKW+ZfLGmL
JZZUuGOYfHGoB/rFyP7NlTkVbduXbgIdRxbjSUsVIKvMyK60V2efRdljzQ9by8XmYEfRKpvC7GKa
RfOapo6iJc1V2p0euSwN4nrq7yyzDZ+zGaTcSSbj+BG3KFuHSprwDMKyM7UA9ATrOD2kTR4c/PNk
t8N9hxmKe/BU5GCqqOP97PvJPvey855jlocNiIwGWbMFikwYp2K0aamdiwEjHjgy5Js0NiViVenb
WD4K0/nEIZJ/lcI9RKA8Lqk/9uBXpHXNQq2jHJzozndrzsVtpPU3GSM0kYcySV/n0JTvVhj1LyN7
3MCYVPyNO6hm0RbZ2Jya0b0DVeLT1zmZipquaLyZ3YYGIB/bx7dbaNp9VabM5m5fRJdeMygNsWoO
PZHy9GQ1VKZ1NuI0o+qCti+aJgbG9xlA9j53QrXBThC/6pOJj8L0Cm+nFjLvyi/QgScd1hp1fwcy
IFW0T4Y82rHC9Y42fISdqMijreeicB6KOCImA5U2d1fTFBuQPMCLwAdDkUTKxfj6OekCfXQC5Yea
l/fdiRI3cj9hJo9dmKUbZgmAYkZVsa2Vo39qYBTSssdRl3VQ7V3waMPVhErVXXu3kPtoiqs9LCFF
hWhIgshPirwKLHjIDzIf2iOwQC2o4IHcV36Os0MjqnCrM8oKABxzepsQkGC7yPnxR44DfeV0Vuud
WD/xEIvnaVzYHq5/ROwPW7g+Q7rJoUXccuwH4jomEueBU3NGG0ZkQJGo9timhRmvnHiM7ry2/obX
N3V70c4yWWtYmb4Bv+QWzsY5hzprze1H2ZiOtg85ejyDPUoPvVnKzexP6QLUc/r3WvdpBB2afl3V
pb31NbNx6Qul91qvfCa3Efz77dyqKH2WAl9Tfw/aJGEXrM8a3Ryu3ifXYXLjO+TFSc8/+XQNyqqh
Gia8t6NVMuOfBe0wFS45h7DCJVLIT4VeMS5Ybc+QODhIWrrxFHm8BqYAArvzg6XGaDOUPBSDVtf7
ch+W+uJZCYtVyRVK7tRwj1MLmhBAS8HlDcB6qtB1omxYuSUUMUqWq40SdRHIVg+3aZxNK81tDdwE
Pju0yCRqmekno/WZuIWOO62yrjyF9vkg7PNcW2EwiUaw7y6nvTNK3vcOkBLSqDWF69Jr+AZapRQX
0kuTs1aqM1GPQs687IiPRtEUmySlPdEc/eHcEfEiRVZkOwT2jnrwYpYnR8nuyAmzuE46xAUCZ469
c9KS3Yav7ueYCzOr0m/2l0+6xm0g97JPr6msNbwryPZATh41IuuXfCD7pEoZrwjE6A+NlXHX8jj/
UCpKP49w6KPksBRjE4q8oDeYwPouu+PQ++wTqiUmyIWtVeY+baOrg+6Da0xPgxA7RpAmoicEih9i
38wOUk3mLO92NTziMojXop/8g0sPBq07DtqakRpXB8rcmttTRjq5sQ9oswU0RJ/zQmSp7samZHIj
xxTVgLn9xcwt64db2OmaJql8NYJePLpd6z66rt2d6sHJR25SinuKW3Hv4GASah8Cxg0g1yyabwWs
RCa6KL2bSdd8ZRwf9tVsWftO89lh62TfqYONxm1ozNTglKIIgCCCGU8yeSk6vIluU3inrDHeKU/B
jBuxhB5DwGi2L9sNKiwGNpM35R6QEH3Hs7lQlaOcd9swUy5UGhT9jwQkMO+52WPOSEawvjH243PC
nv+W1DdjvLDxx5TZvCPoJDbCq+mDsNxu2yiv+CEhKN/FbVRPQcTH/yNlI2XYHQJVNpa3ek89z5RH
4pFtQ04YzGpfXT2yHlw5lvdSAuOdmKi3ObL+TT+33iEVFomonFriDc7vnJtunHQPiWWinMfKfDcV
X2nTlMN5NGR5Q2hUsUC29VulbKi4LX4fVQzTQ6QXjsfeQ08A7vnUatK0elY2g56I7TToU5VxlvS4
ZebRre7DwUpwsaLed66HlcVzcUmb0dK0YRirsI3no8jreFvQ98xAl4dPMbpEvAL5pd7oboTCNWt9
cjb6TO0xIEmcBfr4s6DBLZjNen40exOEWZi6ZPPypI1WrlRPiJPGeWYFc56HCutI7oiU75uMrzbp
wAf2aga+5rTG5S3pOMU5E7/UslY4xxxisKrCqcSNSe55oo/vMXyzRzO2XLXqWERu0AI51xrWjIu4
a2Fgtfdth+UEHqipt+0PIZ2lmZKgiZ6JHxOW9HKPzt8kL2DnF6tlWzkdT6JMoD/NVYyiUaJpbjqd
RcFk9iPeWTHOn17bO5swm+iwbRJuwTFb4B5PzxCuonjqdoMoHodxBGWeDbCgOUQf+CjzNWil/N5c
aqDt0j12kVavJQSj/wQ1vv4/K3sDns8/nY9v3pspfy8/f5+R//yhP2dk12Zpv6QDiZ0LAe+eYfhv
TCH/D2ZTeCM2vQ+MeBx+/hbU8P+ggMpbCB1wYnF84AL4c0w23V+0IUpdbNdyxb+5tl8OkL8HGHEG
OLS2ECCDIW/8XbMamQyiYnE2790IDBpATqvEjx5NTwUlQEEUUbf32/HhHxxp/5rI4gVdSu+FTV2v
SV/hcuL9bSpvcz9GWHemPab35l6wmGVlN/yrs+lfZn/eVZxO1HcAasImYfxKTf3+KrYSsD5YuU+o
IjuCuPI+q5o+SFyr3ghtyFe6akCMy1S7KhY2T//8j7T9Jez4f99XHWMFVgjaO/lt/sqS6brJYwnq
tjSM8wDbsqSat1DSxL63bI+7btwceQJCPMWtQ49ZHZpAVps60bBXC9N+oFIaCasKvelGES8HaqgD
5fXmAfy8kfHv5tVEptXMNTKfQBt5BtoQ/BmWvGn65j6X4fXxgF+zv9pDVIPWh9PsWHBf/AF8YNoB
usDLX0c68OblFCNXnObmvZAjpH40rksDivXRGEkMtGYXHtl71+9eUSQwC2DbYz/iLwL50j/nHRRj
lY4lLAWS700ICRPGCm7dGBjLW5xAaiVlzQ8OI4FWSH7GRndA0vrM2C2AvVpUB94qYq8R5lk9AKJu
mTvu2/yZwlUGoGzggVNF+NwdQcXacsYJbPlMC3lEipzYdnNPoRHTau8OLZIiTx8FiOkGB1yyD0VB
MWCYwG/vACyrog2Pc+eOO4edIKj3mV/HbPvnVBQQqNPZeeDTAaWsQAOwHMuBvIzyYwIqGUSMu0HC
Kv4pbsPqtROYWHA3lGLvDD7X0NCER7Mt/bOja8meJ/P0PcD2eRINP8IwqV4cnvTncCQkIKNWf+zy
Wb2k7VCex6ryz0Xh8Y74qaSN3SoGEDEOQimLgrzeqBqYAkYIY1NJTrHQln1stsigqVE1H1bI/40g
QFJ1mLLW3GsjvrzS6uQHRXoTeOV22jlJlx9oLa8vkwupl4Jo0IjKLJsSK7XKD7WCIoBND0i3pY07
jeDBNeK5tnW8WF4s5Jkg96P+i8Uh/YT0tW6LHH9m2OvVG9CC/jn08bb6EupxbWJwrYvQW+kjfzEM
1/oSZsvFrkn7VotEH1g+f4sDbH5FXUYR9FS5M1vHZf+lU7CwYx6wbiOLT+IX2dkqwVXgwLCY2uuO
95VB793Fg8nyMEyJnY8aBbwVfatXEOvygzXHfAOteXoyBuLGZcXFkDcy22pZ2X5CMgEpYBHGj6N8
3uoa7y37OrFPwSXR28hXNEcz/lrIm9s5m2imkDOfBHDNaceDefpusp4atcgNj7nKXgdNsT8mzn0b
ed8Cj2S/AorKkE7Ro3GIlf0mjEn+MMKwe44Mvptwa6HgGEv83bJwFFH58IUYUV/q1OZLOZIIGGM+
KMfV2m0oLQLjhWnd+u1g31JzoT+WiapfO9th/dBaC/g7m7fs6as3s7AnEmea/TB6k4c3OPX8wCuH
6j3yXGyjiTlpnOopqvj1x3nkgA+qUtp1nOqyXY+cXm4GyuxfaqVl14mNGezSiPdH5xR1HPO0CJxB
JEBKUH9g0NLfa7Pa+6iZuzy+tcx+wQQr/AcbbAKkYnLNDSKNvLSOEXkGEAlfz5zXHvRS+5E0nfWa
6GWRRTQ8zKW1x+yolRuMZkN3g9ob2pjdzc66sjeZVtIapyfdm3BSO4u2oRMWWks5O1u+h/hSGDNh
91asw0kMlZeu8iFu8g07WoBjW6E4p4v8qtndxWJLsvVi176fG9DbtjuaF7I7D6EdXgpNmkutVLQH
nRQfCiN7Uralb7Bad5vOmn4mXsGOt+8+s9hAiC0jEh5WjHYOmqHUu/rMVnLY5HY/BiqM2k89gYcc
JYq9pQzJ/LAWHOfMX+tTQ/OEa0frqCYeTF/gdKP5dT8FWISOTuodIbPIdZLjBF3VbKYPliFwMYAL
D1DQbejD+MVXRZ5/R3TqsEFnBtx1iqCOb5XXCfVrYxSaf0rjqL5RTjpgVeKClSlGbFyqxCNZJB/m
iQ/S0HtxEBilyCDiZq6Jz20w3DBuL4euvtTTHdvVBQdbiBNuBJ9SWP3BLDjvOgzLZ7A0Zr4xeO8/
VD0MTmBLX5tXHHOXCRam0d6oE5feBlIJVdicob7C9DREd4hA/a6ZCxykGDje6ylUH2BtqRcmS0VU
SCbkv2Iec0g+7SalD+kKj0Ff6W1GHU3fkTWNM9YUvje+ecQTV0zs43+zdybLcSPZtv2VZ3eONEfr
wOBNAtGTwWBQJCVyAiMpCX3f+9ffBVbmexKzrnRzXhOVVanEYKBxP37O3mtfFVOItTxL0ydPgzHt
O5MzEwE9YP6UTkVeje1Gvhwskw6qWV+ozlyck3SlDhXrq1jPLCLRqk4rQnsq3quTlbXV1aiQf5SG
MA7GVLVrdFC8Ve0mDJGGFCVP4Nzp9rFymulBjeS+Nkk+II4r9mO2NgetPOqNo14qVEkHY87VfcUU
ncjc1ttPyvYOOY672zg11XoIgIqkeWX5jpHlPO4YUDKaO5sWeehFtqTglqCQkJU1pPMJLHK1NuQb
zcsUWhGsRaTXJV+kA1nBFfO4tYKZ2S0ha9s6yiABh/kl0zX28liMhzg2J/hWwwCUP/QeMzfU4cPy
xDNBjA7uMAWLjsI6lWizEHGM2l3OJPVGr9V8pNk2ZCvL9iJrw8Ej/2aF9U0UKHntTZ3h+NZIsNaK
2aK9zq0oPVWt0g+EXsiamCKnuSLPznzqEzlbK2kzNWcsmbVX0Rymrp9AUf1W5XmerS1ZOAxVEzEg
WiIRosq1Ztfrmf3E+BjfgwJvdG11YfuWm4kjTjo0BgUohdag/eQNQuzHKGX8KjC0o1zDCbWVkT28
gq0vfQIbl7qgqi/T1GXItAf0hy4ksCu0R4y5glkmnMiYJx4ac2iuAROWlg9Hqs3ofJLMMGF+bmmV
EBNB6Ei8x7hVvRoVnDK/qeZ0uTdi9V4iJYnJPpTpap/YbXENZ8tmca66r26MH9DnKIsfVaTtEoXE
Kvy9yDJcqbMW3FWpXN6BlDJBBoKU4NDGTAlVg/4W+PSzQkZyp5VVxdcFwbPt0zh116FgGJtT5EUo
PabqdWIuVEHb5ibpSPeRGVIV/qv4qrGB3GMEaL9WiUwgPdG8oE7OCQFmzI+MlzLU+TSh3AOkTcFY
bIyBeA/oDcSBSKe4zhqFMEu0oJHKkcW4SQChkHyEoDyyWzZ3Ly+1uwJNwGNsmOE5zKk0CtupbvAg
LL8FiSOm5lCWBnW9LMoqn793mBRXsYch5+DVtX7LMlh8NSunHNZaCFwbfwdLJc28YJXT+FrPbTXv
Itplj6h+uHc6fPzCF3kz7xZr4pUYEr5/j7v6PRWjpNh6qlrUi4TrUP56jOllN2UHA4s16B+LrIZ8
Ij1iJiZkUkG5KZLYA8AzQrWZ7YChZ1mZ2SHFJHX5zSHiY8wt5wYi8lwOjRxmGI18BIrQADKrbB6b
Pc1HwD4yrpJNnXvztpwZp1YxIS9eZMrvgzEP+5g5+1bTjRc3qT6PRWhuYpttSrPHcN1XeXkaGsN6
GqqqOMXKTK+EyM1nw8Kqf6rCqiCLI4rcQ4BDZA0/TaHc4ULm3MJ96MX2WUBR2jRTTp2QAa9m41Zb
pMbzlRVRRTU1rmyAtP2jYfXaHVknzifNlvN3gquEvTIKC9mQ2fJsg2+n3hjL7NDTujyQW0GtxCGF
ejBM+T8pHHMF3dmcN+C9RpoKVV+KrF7upbeUSxjpvng5o+331BbLXBK/p4CoD1N3r5F2s/frHPXw
/QyPodKYvoPuyJ4JuU6dI2EUcrhecma4SDHIf21qu2ljk1Am/L4yg4wJP209usm20WmtteYLFcZj
GVhEftRmlR6ko7LwkLKVrGkG8j8EFFLBIviAkR1gyXTxClLpXL0ndsgMaSarILVUI5bslCCI+MYh
ch78mAivCVOihAKoCP8bFSWMxlDsOfXwaLtW+5nQIsc3Ctrgra3R38494mumhoLZBVf9Oic9PMMY
2yazHxe01Kj2Ad7+bh0VTv/YxdmzbBYPzARf0R0zrB7NzJT2/dp56YhIRSkuPi+7dtckhPTovLDY
9emLBiloAN+1ifvpbLd8mWatfLFo8lNnYcVeFSD3tmbnNrecAHASIwFBoMphy8kIXSlyakjymc2D
mLryuVtqanBc4PPybhgZomQTrDyUuVsd8TCcBZzwSSEXfkosL7nZ9I9CR6BgFEb5glAPc5NFZVvp
nFpIqFO8eR3Sos9GwkG+rjMyQWTMXCWwpvKFoBD0Bm5HRRpYVidRvyrekRZXKnwpnb/shCIpBwnA
k5ujqW6pyjHSoywtItaiuqrphkDrYpLlLUtXlCdqa890BbPcqL8w8XChz3G8Jc8BB79eNcd4luga
sa3uGhauXUGELGywYnjEOM6xagRA4y4nbwas1U2eci6XuAAfUMmr7y5vqdrErqqe6K/fDpMk1afv
OOYIm84q8SKrfER+oMPe8Avsfpf333qyPJoHjGN4MMpsuQfmiHR0eVUnTrJsJMSzVRxSn+166rdT
kyfOYm1A4TDEnEiXQ0NMPEixjiarvkCS5M6UWFm/vq+BCHTB7XHGnq9SE6v0UmxwnjYdLtVyGCzx
W16p0EEDONDVeH8MjYmjL493LfZTjzrwPRPGbOf68n7SZqBDaMaITZrIWg+bG6cPBFwx4Bo2soxg
yus+IC/q/Vim0c187ayaEwWNHi790kBRsTtvU6RhPhqn742r5pPidSv8aQ7ZBMaJHoQb0jUQSyIP
4VUTtDLIO9SHbIU97Nfbuh9oihSY+1Dli+wwKb4RzX9yCJjaUW0RSXhvBA6KqzAVtl/1GkrShEew
oGEyboqcNyaccvtspI79iY1GNDQchvZzh46sYA1L6y/KZLSyYghcv4UJJ91WdPNDofGaB0aTHbQl
rogBNssaJ6mA5AlOyJrLwZqQmiX8ScX8pNzgkF0rljiTrL7d+7lZwg08TSk9s6IEqqEJ7ZsQi488
kBq3L8vZpDC7MRh7fzRRPm6rJYioKIkkAhxZXFelka5r+E3XbtcipNHpXSDSo5dBXF9xPTJiPA8W
Fa4fio7FXQPBUWZe+TzhJluTM+nhW2SdLUcyLlaRXTdvojC5IWkKErGlbN2gb+SImPBOL89z3SzL
MDb89iprMzpBXiypNdKGf47lZL6K6XbfR0u3cayTZRegMH7WXR4JS/Xt156YmJdIJ8JL9hXH9WZ5
fpAr7SkxaQI5fJ1g6Tq8lxWuR2cqxAZ+l48Dp3eLbdKRunH/vjfoHa233g2js2TJ57xP8wogIild
oWazVYzE+9QeV7ieU+N+bJBjeoh9fKekArE4hviRk+j3FS6fVdxzIz0ac4c5ExgPzb7AmUrxkC/3
IKJeeiISEsIuZFyKopEoMYRcw+M8Up5USKauRZkZ91qOVTBgHftSti68DAexAOdGx39vxQwdzSLX
qIjxIhZnnUw0MlpWE3JLQGuhkiaLjHQ5te87isz3gVZnmnSfyoyXYhZD+fyexdaN9OrMOKBE6yhY
TAcSjEFTD7HyO4RgWWYnydXgxA4rrbTCz5ym5gq5f77Uce3E6b8BR9JwWH6oJNWSxsBl9od24GIK
lrdo4D1KPeLNhDNU1NYmz5omgrsJk8Mzc6g8PhSWXR+BpNG8WZZKE3AXYQtmelYuYnQSR1HaInba
mDXahlXEUZV3sqErWHRyPklP1+/RoPffllTEHZiObAXegBc3Js8RqXxZvQIMp+SoQSsckPBSPFZx
dDZk8TwMNldNoVQ/gH7lVRlSrkEHDHhd4Of4QlVCsl8/zcTfZMTHU7f0dnwzauiS8ZBRTpRlYPoe
KcXroeeGz26qTqlBK/P9v76/mDPBKvpK0/vmzUYcf0ewp3UoVDfdTgZBYMgTsYWOJS90bNXHUNos
MoPNk42agkQsZcfqVDmKSniEkDTBqu8tVTobxnZ8v6VBJ4mlswxOBONSBcxTTSlcMdvccYDjG48H
mSXjvnetJ9UsOUVLB7zjILvpbcmHAf50j12AW/7X5epHrRrVqu4gizNRAukmHINl1PBDz70vTYDm
Sd3tLQzv2HpUb5+lw7w9hFJznC2Wtsij+O5CMd3KsMyRY9jmXlEcYBbk7FIQmNeawwyiqaq/9L1l
nQdCOx5YEtT2N78s85O/9eddcg1MbJFwqz7+suiZUzloZrvXYtTlQ1s4n2aII77Qk+iM7JxrjSqX
DtPAoSjt4NEKWhlHiN3lS1LRWn2/2b/+pf7GciOr2JaGBa4dxR853R9mI2HPk+zFYbvPcwQYvucR
gttCF2WwqQ27pumjNad3tZkZ3VLo9DTZElj1OxktJzniIu+QMi4sUofVILDLr1WcyYvrhNWGVZbC
UGtK2AGdra1//Zv/m5MKWcfvd19CW6VZ8vO9bwDdlWGodfuQDMMjuVQE00v2MXJR6uaSLc1XBRVk
PbAmPrczu0gBloR42M7+c/byHynf76R8jm4whfqfM1CuXor2pf1xUMk9W/7JX2I+6w+boRkZJi4p
8Z6hM1T7y14sjD8E3mJmhQSPUGvxOv0l6ANI+Ndk0vljoV7qKH15gsmJ0P+JgA8Z6c/vKAI+z2Qu
ihVp4XcyP/35oaqDzs2ScHKuclopdCjZxNnJ9ZE5vt+3WtXVeGtVgPeRLLEyuCmLmWNSYwut8Vj2
KCk+Zfi/tPzYkuTcTBtNTY0V7N2A4bvfmwMlpawzxdEx4mWU27wZcmu86cgKoqk4GxIhEyQZzA7b
rs1y53qw6vYtDccLrAUZ+LqhUZlGjtxm+NHg2dXhshLPnzRXKf1adTztfo3dSdSrxSiqdobewK0r
JhpXftKKBhtiA85rn9W85reYgtNPTR14T22mTFxj6IN09AC0LK4IBI1Izp29Lxqg15KPmB21mbzM
iHdsxoL4yLnIN2Bd3HNaF85TLeWIYrgcn9HrI46xO7kteyaE+HKwgVCSYskrTULmKUA1UBwqZ8PE
uPbstAwJjdY0SuBmsfdWeu5bNs03xLaBEAdCPB/4IzgNpB8Q/RmLPVkN+qZLTM+fTIEFcCA89tIn
1Cu+mGex7kb2+hU7nMewsS9Rb1iBM69G3R72haby217v28cpyoOD0czjTik5X7zWmI9oeGpSn9gG
tFWAtoSAiST+yvNgXxLGSZgZS0M7411yd5PtNJidJv0aXWdxHymJWpDE7lvUQNIfkOEj3XM748Q0
1PislVkLEKQ2zDOlTr/2qB3wfEp5GGJdXWXI6od13Fv9RjcK2iiLcGPEtL01R1NxWkkm7DhBrZ61
Oa+2BPJoO/T3ihLRUG8iNyRTH736pMQc3MBUKK9LgrpywNnafJ565Qw6HqLBokWKSu7P/+xSJI/R
SbMXi4Efi/wd9TLQy2+OCU0qsjtI+huzci2JZU+8rdFod+j3MRZgT4KLpDYiCnTx9r5M/GdF/e2K
itn3lysqGpL+LZ1/XlPf/9Gfa6qr/wFDEWWHt+iZF4HHnyuq6/1ho5tmmZUe3in9B4m06f3BMd7T
4TaYDi6fhbX5/1dYegWsizaEBQcHxD+SSOsftRgu4n2HPCuU0h5bwUeVhOmYEefnIDwOAF4jH76E
vIzEwPGMF90urpGmDqSLaON0qGoMhCsoJR5QoaHbNzIfdiZumZ3AQyb8Hy7j7b90Ev+n6PPbMi66
9v/+l218FHC4Bl+OnQhuBQBI8RHcO7X2bKdEdR0k0Mny7KEZPLvQ3vkd8LXSCuwB2umWZm3ihjDg
0PQQ3w5Y3NB2Bl/dotAvLdTTutlUs8zlZ1Vp4c0c1cgDLF7MpzyKOqfZZAPHSXSDGimLNgk85xwT
UqvRK+80dw/mSa0twcA4WutE1KcTajeZNg/RPISovLQ8GaGNZ/Ud7X+SE5iDgUZnwOwdQWLqDIrm
ZDM13j2rewTCzBtd8xYAc//glaRuQgzIAXZnuI3pmyX1az7nAo4SWaloTDFAMSEpUQ27WK307RAY
UXbEKpwRvA3jnvx5cHEXuDYAXcJxS6rPI8RJbdfEqjnCINd3fW+2b7GImjP90mntJO0V9ppjhY32
XhYxOdIeeCfZkglAV3I4TtqgrWOpWHEzL3FuasucSYCNthpx1cgte7280yzvSZhJu9JiTNPMXbJo
GWtXciV6ezxBWNYuqic6w5fR3G7GeJiuQ6k+CZI0zs1MisKkvALT2Ojo4dZNNeu1afEvelXUriYQ
JoqdmTjuO+Gm1d2A5dVHRZDf2oOSeKpNBvInFJit+ZCEDRgJuk1npeoNmlxjW3vZeD8LMa2KyCwO
k1PZO2w5xbaSXZT6DN/g4KO23qhC6vvJDJYQdo/OtBKYhkVFwIjqRl+vQ+fCVa+v4Aw02wTu5THU
Te/o6Y57jHSRheugENmXCvLdfSnR6NajTkMs7bXqU93G6sYsjOnaHIT8GsrIYfzW1Zu85ts3BqGi
hMo3GyMuOyAW0WBtGZLifyMFLXpJeexXptFMfseTtlKs+ndCYoDBgDNc2WPbb2iVeTuLk8AGJVWx
dClNvlBn3kVd3mwRpRg06uKIRxp8XLClCdLOvqot54vND1n89OylrtdvbPpcL0aYRNhJ5/nbwiw8
1UA01+40NXuLrhGkXMTWT+zEqkFBFOkHY3CSZl2O5hz5qlv6BezAoLek3bbuyqhzSZ6FVzNjRAs3
r7MwC8moacnatacWBKilZR3pw41+5RH0atMDpwE34JWjw6ln0XWInPdqisBSmBZee98aFtn+AEAC
EGdC8GJgveWjNeJQZJCOfatiikZMLpdP1emJIIJga5YeVni6R7xdKBEs5s9WMOwW+D7T8w56rSRN
0t7JtHQOadc8eNGoXuWgyK0dW+vggdBcod3HDlHpMAVYCccnMGJus6pch3NsHqpCX6dxk3qM7Ipx
xt/ZyOcikF6/ph0GY6PEXjvcmExwD5NOn2QFZILppj50UX49kxxhrGgkDIcydEoSRFlE8N0HbnYm
/dYhTzUOjXObWePFaUCtYT2MiImYizY7W7wYSNrciEk3jDYNCbFOeneFPPvGYTm4yumyg/AMsvyR
QqiGZmV2DBtg/p2CeqyvNVB57VqatTjHblLeS0qobK33sbUWJX/v8Ixifdbn6DgoG3e0EUW3sTGm
D1WuF/cMBHR0vX2+zqsRgXFVsvjabZq+JWGnocW24gJuhNk4t208Z9oXeMBq9CfGtneGycRhIwXQ
AvyujdNsLZF73xoOh8c518cn2AKZP8z6cKd3Q71H5b1WjARxZvZltBdGQo+rqyPrKvIAEcsRirBt
lipZBboTXaDRG59LBrd3cp5yfd82bXiLu6yix0KYa+YTjNQ+l7MAcGJB07MBTMM9CwiDfYlqrwbM
huzx1GHYx48LGSNazaZLPG6KaPisTZ2Wru2h5eMARAzfWd+9O08jrLqWmNhJhOIjQoRH1xZr8zaZ
TYJSU2Pa1KNdb1gbpkMi0+ALoak6f/DQsc7zkqfwJVczo2nmJwvdFiO8gfLeruU142sPmfNsEKsq
Wh0CwzQi/R2QaF91ruO837a95kZXOacJHAomX3LQ5YbQwbfEFON6dK0KYNxkPsZ6Vx0SDgu3nhnp
fGr+ZtQtEhnPTs3zpFXXhDiz5NjZNckJAcIxcsJJIV45tgajUs+1tStAA1WVldzMNuQji4MD/0BN
xrngRbdWY+yONxAZhA/px1iTUG8QrMwfZFRqz8mY1pcGZsYVTUALxVUVFU9IB4a3gfwUZgy2XDd5
Oe2WuuQ109LyjafUNn2L2SdLRyIHd0P4WnSNBHGIVmynzZXp1hPzCDMiM0VvlbQ2/azN1ho+smdu
5wY073pSvXh0kq4r0CjU6SsTIaQUs4ctFU9CCC87abVZrbqsy0GwRHLkLO1malcx5tN8fL7NE/yo
9JFDMbcLMIGVDGdNWAikhPMpnQJ7lyQ51AKa/lIBAo3MUxuPDlZXCq9zkBbWgRKrfJ7LoNt2vZav
y05wv4BZECCumUnxbNp1zs+Mh6+GXqQo8phksYk2+cmtW/26ZTnjLWpnUqBhoQ6EtwujWhGsgn5d
SiN9wYv31Go6EN2ZpAAftHR1TFy8qfiBXA1XEMTyyEfFBI9TK+v8DuhRd1MmyXyxHD3+NGWDMNdO
qyOkbOgZb/u2vQu9kc0ai+oJfk60nkpesesY85+99hBALPDx2GRWn1vYcxd+cJDM8m1MpvrV9eoK
CbvSvKO0ULFSYNrQofKEXIpZV521asZGHdyEcLCVV/bOdZcLZa3oWvUghTQlOeAnCeNaXdlY4VlH
UNQQcL3IEJOGyZ+ctcuAJNDa9Wz6F95a0koFzwCCFYS3xyFp2AksqD/1Ht2CNa0RC0bYz5EBkz6U
me4nJpTWuqwl0CcLI9iVi7APQZG3oCFKJ0tOTTSnk8/Snt8khTs90uuq73S6s881sEuQJKRWEK6V
am+WHmhHlzSbYle3jMp9LcyFuYp0xZZRy6jfxXml3xpxGOVHt4IpE/YSPFTBvJ1k4lAcKjfJBLlu
g7ZqzR4M79QDou2uHHc28Kz951j3v9H0657h0r/6nxtl12UPQf2lePnpXPevf/XXuc79gwaX4XnY
WK3laMcP/PNk51mL3h+Bu3QdGsw0mf9fr8w0/+AkYyAicRFTe4aHteDPk53BDyTJFWYTEkUOft4/
6p2ZH052OjpfC/U75lxOihKn5M+ts3huxh6ibXOweXDddZJo+p2IagWINCYWsk5cQCCVFK+tJoN7
GXlgRfIiOGpNzOyJ/R9XrNSvS+EUu5REoWVPyfKVS71+71Y51QOSo3hTis7z9SgBql1o/bekMfRr
ktazR8vAOlWRwgjjg05RKSxAEgC/B5QiSCuQgzfjrss1tWcdcj71RT/9xjj+oXnIFaCBblg2l2Ex
Aizn6x+nEcmiSytRuxwoNadbPKjejprF842uW74Xv/cPj8i/O7L+3Kx8/zzalTgOaJJKdOo/f57B
YHcK07Q6kGRIYmWYvS6uOj8OuAa//iQekh9HF8snIQvSMYxwcl9ibX7+JIUtiYhhVDTksbdrg+Wb
ShJ0DUi/+BNgFGtH2Fxw9+sP/eDDf/9Q6OX0C3iYkCQtf//DcCcR6KFyqs9D77AerrS+SVYI5KW9
7icbNt4//zQUtXSbdSwicoFW/vhpoeeOcZEnSBnEaKenosnVFg4ATlSiS+9//VkfU4qWr+ZJ3lZX
msSm6NaHD5sACkXAG+NDHU0ZFs6IszyCEhL03EZnvA258dxznL8e23TYQ3rqKmL/mHT++vf4+xW2
hXChCQo6Qjh7PtzWTG/lTEp8cqh70nTXbPQtLP4guPecqhS/+bC/P0O20Jdq2CWhg8CWD631hoOy
2TVOcqh0pS6l27TrTuMNrqIqjSAMxdgxZQHA/Def++++pCQnjYOyQ0tsCcH58camYTLGoVMlS+Le
QFHO3RzNfhxXRQy76x9dUIuoBty6Sx+N26uLj/lfVqyN+hB58SHmPL8GZC2hsYhmvgrBpD/8+rM+
rLfvn2UjEbawiyFD+pgAleQdZxRqN7TUatTXJdXCMYvNQV//+nM+tsWW72QzXPEcFhkeV+Pn69c7
Wds45RQDQUPpTDXDeWJlzQXuysFclChx3q2mpoO1pmggQdTPw+j069/hw7OzfFc84Sx0y8APk9OH
Z4fDWRrXBAUcgqFl3qETjLBadHanwJzJRAxdjrOOOf9mPX+/hD85quifSosvbjJgNIT74dEZEHuW
KpAgatzA/NwkTn50TGvGMFFEu8asiBsg8WwqAEZNofSDsZ+Hw+gU01eQCShUKugGR8Ivgn24jIQC
6ItkZybab1Sb/+73tLkxjDyoDnD7fbg8qW0GIxoDbS8Qxb7OOAMaf6gzjllB5owO8w6OYOSBaVJS
hY/pCZgVkBsTwvehT0vryuu84DAh57zxNKdFMj9EZYKzxZO/yy37+1Pr4sFDXUqvlbPix19VeBCs
22yMgQMKcOrpoiXh7NJ2m18/MR/eep4Y6C3cMk4hLn9+3BtjzeCiaG0MbKRUF1JDUYgVaWkjBrLs
T7/+rI/L+fuHMYQ22B1JxvM+huLNbmu31pSwnEPbX4duMKwxHfd+xquCB7wK/WoCJqr3k3xCeUMA
aWl3u9/9EvbyJv78uLom08slDJEb7X5sYGckaRu8GcFe9oiI0GQYLKadN5nVIUTDdGGKJ17tKAAI
FfeA1OYqIhkvjtMGtGIuiG5bhM0eRsJbrNdGj/g0qQioAgwMdjLN1SmLWqAiMJ/uVGYG34epzx7d
OcP1loEtWnk1Glwc4ikoAjKzh0aw4OLqNu6g5DufELeJPd4e/ToiGY7YH7yH8D1HdZnDwOxXGQ2n
M0qa7iULZvGqNMo4Zq4ckr2pCND1anZ1LPIanzyBg8FetbrV0iqNerCGsllqhDK1sInVhvVCVrL+
xjzAfBiBjtSraXEf+iiKrO/Z0FlooyC2RrCokugUmrzZqP3Ctd4MMTnILN5lG9rf6Sy7BgRTykaO
YwKkMPLMsIfW51i70RIUQ0QdtF9diWq0SGr5RCpi496BMuB54+0P0y3qeT4eYJF2cY2WtVO0vXxS
EK3WE9GzJ7n825aD7imcbUCGNTpvcBJM9+690pxP7DMk09bzeH6/vIEzdghUI3GpUGSkwP5kFh0C
XHnm0RB5dEpDDw02yD90L/J9tSJL5arpFCuUq08aXpiUJ5JEJV3477aAPsYwgLLcJYWhESK6h5to
fe4bAR7YCEVxa6ZomWAH8HNG4sdOTleR5VDL+LURHsTloGlI1fXU4gRhkG9/SkLTfECH2hgrzeDa
5qYRv2YIrNHRldYLbSZiKHhpyGIO4lxd7JFGl9+lxDCJoZ7OMcqSCEegHj9nTsfSBAL7UZ+FlW3M
5TnMxzI4uj1sicX31eHFmHQKGD0vUYgPGc8SNk91CscZI0HA0Wtede2gLrmtMThCKtuu+wjVvp/w
BegCJ5hs/JYHbCMIr3yJRvTQ5eTy9BJqgPwsgJyz78HI3jh2qd07cD24jyHeqVDLkmPqZhtP0ahj
1j+didiot11Ctz8cYRnXBLn5yJibS8hw/iDcprhieLLEBWXx2jFanCNmoY59LZw9QqfgPuzkpiTh
9aV2ivREtjchZ4Etz7mSO+LXme8vQjQRJ+aT6/LaQZ0FWjPDgknJcxDapGg6GoavM8DfelOJorEp
QOVxVY1H/EjnOCzmY6J72ygCugI2p4SyajJt0XrEWvm4iGT5WlnqNj4ow4xs4oUNvgQ2dbb11DBz
OoV5fG4mDGBMxKf1QOwpHRKDXJE6fnACJycjozKuMrysok/Rs3bFSAAreS4EjS0kGuEw/yZ9JPai
uzaaX4l7e0H02m4SYorWwHWZMtBzQmvqfqlp5pObgDMB7ZnLrtZXxjPexKNCF0SeDTGXDo4AIJT3
wxBclYUMv3SoIjaRNU/HKMtZgK2lRsqN+caJTfPUqba+6HHWHrUB4ZVSznUq68W7aOWJbD0YtbUR
tt/gz1T7WS+BaRfBENSrOTSTo15aZAYHWiivezvjFyoz6Pn0ew31YCvLxHu9+Pa6Afx1p+v1mULJ
itajswzOpMgecOiED7Qsx09zaVM/lC248hURF/MJy425CXIEHlYK8j3J44YAEgcEaL0IrwOq6FMT
ijvk2+OdHOd5Y6q+x6M1JTBTygq6dVzV+W3b0RSUvGlISBmgGSsjLWG+z9QiqcuwKi2c1neEjFmK
inFJDWZHkKEnSVzm6IMKIcU9NRdbTwl6XeNAS7epjPyMqPhRZgrkNIO2G6tWLnlvyK3ww6KPTbbM
NKG1VOhEiyS1b0U/tVtH9iFC5XC8Mvtp3eE7OibgqbuVAYv42Uwm6JJ2YbSxP7BOHgqviY6gQvBK
GKPb7tWQ82Am1A4cETLtkmFi3ORzAywRaolA3P9EyJn7vbMmgDtOoRv3Rm7Lz9OoPLUTdqyBOByn
VVD21GOEBOwrpbybSaudSwNu2DfLsvK1rpZ7TtDe3pt0o1sh+2++VRATNtWYzMe6M0+SSJ2TFzQg
oi1Pv6aPXFDCLAZIbMGXLKiRcWKrNzn8J5FFm6LR7zXSVDCyZh5OeOl9mmygWWzCoJtwPlpvkxLt
RXYaXYO6IBuuBKjoOjwCQHkQwgahvRslADoHWseGSYb1kM5teRt2Lbn2gZ4cgqQ2TlzBeG1i/KuH
QN8Nts2D7RUnh/aBH+SecRvWmb2nu29eeyFxJk1F/kFg1/o6d8dylwnCufCFuy89WUg+C02NxpYh
n+92ZYP/DpYpUtsC5XMxMhoiHip8LAQG1l645VkoSKtoq0pnhYM3IYkv1UprFSdDtsvSQj7ZRBrd
89XCK5AvbokhZREwa96MARkLAQCyHn0T/vGVWXmM1Jlns6cTdIcovRzsG07sS3APSpnF+H3M9Lnj
7eqq05jk2W3l2N3Zbadpb9Zt5KHLdff5pJrD6AL5RmjgXpX1FJwQXrs7xND56xLSAoy68urPFjCy
reMk6XfPzsGEVpKRrNYX9JKSrHlclK/okKdNU5eMDzxb4SFtCfB6EYwkRhaBluAJ3OEpmytxSzXR
VmvU8v0VHGOSoEqm8XYfb9LceBsx2qLvqcjWQx9BllsYLvLivnyVejEc1ZQw7fDYA2nAqt1sg3xi
8Nbd6mJoX5MmZc2uM3YNFoEmDTt/sODw2g8dDhPZvoHHc4E2W8UUfY+0mdD7uM3wT1hdwTGp077X
TlScJuKxbuLR7h+0MBherSZ2n8Lea4pVUZDGsJ4Ad9P4tsHHydynI1LsNceaj8xbvXCTO8Nn7KZg
tdIcPLw7ZPoqqZfJJeQGnyoKwYMxSwTOaElNXHgQ1jJ8nsLqpr1VJOJkjXEGA2tkz2CUNeO/6Hsi
E1mcIoIPExJA9WChnDV51a9xmZcsZzO4VddMDFIGCGE62N7ENqLTHeK5pCtP2qTS7uPME1skodw3
NgVE3lV3xIbSv1WcjZbpSEYkQ85VaNz4OcDhky0dJXGKZGUQ98D0e+8IM3icbcN80YxK+24g/biG
hhHe24VKyAnhx07W5D2QIDksOu3mOaismHJSeD4T+AcKYzJ0AgfRcVrfOSZZUszKZ8XyiqGRhyp/
FHYhVsLV7uQwpatEFoS0SlzADBzJWAAVBEcrX00UJ2spicDSC5ysLmdsCD6kqXlT/JpmRlT4Gufk
VR91JVtluEeqZmx7Z/z23+ydyXLcyJZtvwjX0LkDmEbfsZMoktIERqpB3zkc7dfXAivzmZJSUZb1
pjW4ZleWUiCAcADHz9l7bT07wZ69PGZthgY7Agq9dVbIk90WJJ0kvbUqxBKsRr4BlCaD8CyWs5mO
1nkSBWRaC4AeHxwj2N5DD8hWRTHle1cn48dGgte3sTFckTX2w6gZMzQzSRmy7+1TQmN329LNOiXA
aw6BSXsAkAcwuVp1+zrW5kum4Wmxx+etQyF0cjuS1dogaXbFoMG1kdJ9yaxxn4ESX5GyOa7ZVEtk
fOPNgCxpFbujPAgFYRpmBqyNpob1ShCVTSl4O1otM9o8RRWnW3Ls8M7URjXvLZkwBW+CL2oyip2a
annWNb2DmcFHOrR3nWM8J9LdVWE8UacE12XRknnVfB6K+abLwhMkpU+1Cq945NIwgv90lmr+kTbR
gxUEHzy73NdU0+syJcfETFARZjQpPU3IjDDbNWJ4VH6GJT5VS3iJWdkvY2BRWJHSuPFjm6gjBXvD
NndpV6NA8AZc0vJr0Qf1yi7oaq8E9IltNHTd4+zMX0cYuRKCLrPfHFP5FEzRo4lIDyav8rMT+h3s
bTALkipx9ta87ZvkCZpKe+h0fBHNJ9PvO4RBTYC0P/noOVEMP4RcYdX03ZNhK387AgE+9OxhLl2n
jAOqguU2n8yTcBLvSbZuyUCpkQQQxIM6Jo2kPTqky3aC/KYRl4FFCY1GwYWiRWYa8b2G2sXF+IEk
8+AbML7JOBl1TkMH00brm3u7twfnzPSbwJIVfofxNrfV8nl2kxHwSNN5oHGxhIFHUMwCxu8Z41+6
mi54bDOFio6LCFJhRj108JzOI8ivw5W3aY0qbVZGQNNUtgNbTiJ61oqc4s9+lIU/2lByA3JURgwC
DYSiFGEjtSEei21RxLLvNmSq5vSZlpnGVHXhZxK6jG1o4EIqK1uc02QerxvecQ9+E0JRIAZibSdg
hPXUSPM6NQShczqY2HZ0Ho+loU2dNUk27E7I1Om/p7M93KRysi6mhSnOilR2irMh/BwVBk3uyPWs
D1Yr9FYKxU6ECaz5QmCFFFc6BkGwcgKNFSYWdftISCilQ25Ic19bjjpS2/PRQOmNbVyxQWc8i8TO
szCimUyIv0gchZtEUf7hU6tvhZrXGcDDI16zFIlNpY521vIibR3gMrGgKYA6+IpkAnoEy6Tm9Xh9
7RrbCeUIDl6HmQ1REXvTc4un179Cvon9wZRs+ysvDfaeEPPBxjj7DAyHPdiobLoEvjPcDKSUbgw2
m8x6ZjwRQcbFRDAsSOfRze61UUyADmOUEStul9E3zoukBs2bEKxsYFg4FfGQnSQW1L3EpPtYJZoT
SFI+kefIjCqvG29FkltPRWfyq5eZyXceRnVUohxvs5F6dwaXfZizDptbPQH7GE3Oyy3ohdeCbV/T
xzVhllPa7CnV2Nt3Xe6pTZ+FJEAnM10Rmpc8DABpM19HC165vSARNTSLgvVvzsYlqKDH0PzDVJql
dBT9+Rwo1YKkzANNSwbteUzw5lztdDYM7iVvtHktEIScqxQ0RzsLmlfhnJ1e1x3kGUzH+NYo/3X+
kKt8vot1i3+vBzHP94vBshoMj2mKsM26y7vlmuQdUzaLP/JbjdeV13PZaFKul1yQKxy/5b5aWnFt
V85X3kQUJUxPgs/JlMNEzQrQrslnB/3ygXkqP0Z2YGyDuMcZnqPv0R5+4LH0zKfC5J+gQFBHr1z+
a6W5Whbx09MaI8901fNBWwRegQDGb5hPMQkrAKM12U9Jy7qPDcprizwE7shlww/uPfwxWy5NJQx+
e2fmQ9MRbzCtxNLZ8DrvP2kbHXZgYfzpsXg/43keb/FVcesYMbew63TMJolAPYW1VT1nXosorBkN
ZzW1fW6iGshD6wObA86wRCK6YOGjjAoY7cI+KBP7wr5FPWpiIokxxed/6iouU99W9och0ymVFl/c
brP4WzEX9XMDjavmVd72J8D04VHTci1WHQ6655mk48ikI6cb/l2giAng4fvSiRarn0WYSa3rryUO
fUyLIeTaHsaTqfl1tA652RdST9hNAR2LMthr1ettRJzjlUML/KouiNFVA1rW9Sxn64yV1ropHRme
RO7wzTU7H7EpeRzuTUfQ/GAs6m/EsgoGLA8XUQtaCrg1CJPxEfethqBjlXiz+RKZaQ2w0jcqNCI1
93SlBDGx7E5RAPJ8DFyuVCQj456IxvCHR0QkAAa9rEFlYmokciA8ITLDMus7E14+b6FJ+B7bPpy+
/Xdfsk8mCcEan1ryCL6Mvc8UqqUgV7RS62gbU1bwZsTxdbHavryOB93dQxPxv9W9G/5IqhH1sIjz
CY8tbyZYS81uEh6JBAF01mMfNOHnVAo8Vq0Cm7rxKhrcsJ0S8rhfu7H/p1//g37dEaZNW/p/Fjo8
fEdNVeqfZQ5//Zu/2YXWf5g1Iw5fbJiSVjZuob9kDp7zH0gznulh86Hke1VA/G0Jgnj4OlsEAPU3
GfwvmYNrwzUMGB+5QrAFE4QI/hvG9z977DbcRCo7j2/oOvjl3k4TfcCoc0LX4eD7LbHa8CtWadQ4
f5gjLvPfnzv5i4yDc0R4v8AbmZb8c+YWdrTxnSoKDxhasHaywfBX5I0Qd66pkOgjOEc6MBmi2FnX
n3/6PX6jKlh+r18OzswPYQiXzeNi//PgjPnZsmV+cIhIn4dZo6Cr9COKhkKY2P0sTLu0mOtg1ZaJ
syG/Lfk+Grost1JJBwEwA+ypw3Kqe5/ElMYAhM3u7oZOe0mWbU43VE8Kuza7o6uu9cIPILmHzf/i
JLzF0gB0jSnpW1+jqdzaoQUcHBqUgtvRpTFcGIV7TGiZfWocWHChlYEJMwoeTOgo6s8853gOktHO
90sC9BvIqW9xR/srswcCHiwW7x5h5nEMsHj7/WDdF0mndxNOW/A+i6H6/XN4O8JaFoHvycDyX9n0
b4eeLS+sbqI+PyQO5DyF33419grxPNrv94+0zPnfLjfCMmhCMptngvVmuQnUvqjEONIrCOSVX6ml
35yUdpo7aBDFH+Qkb4eAy5kBmvFd6J8sMmdZgT8pO2yrLcvCIOKvjxJ1xxMFsXEXBZf3z+o3188l
KQIFp8/01nHfTEUDhRSBtCgg0sjVUdalP2onSA5Z69+/f6DXwdqb6ydshv4eN96ixnlzx6SRZQcD
a/BgM6c4zpBUtnHAmpkmfjiSbIAyWDEbEbKgUG8u3ArIdRltIugIMbXWuRACleokeT/LxSJYWwkF
SW9h+4pyXppVjug9YW1+6iP072vMAxALUDbMMMejhatYA+SzfDuBYSzbx0HOyeH9k3Rep5j/OEs0
OIi8sAsjMyPGdRnS//SrhXYI3H+mTzKkDn2EiOw8Lwrbo9GobFdlVLKwu36MuTI2ImNDxeJND3lB
3FZv1Rp+hlLXiFsJtdGUbMw2zEeLPJZrEUzuF28oikfRSDTgg/3RCoqGhMMhx4oow/zeNjOGFTPQ
EE3uDXkwZGGXEcTGLNpZaR994XFGppAWAn2jLQ49eJIzb5f4UNShvXUimRyMMphgsiTFNraJxWyd
yr9XoUiPKanDm9JqYkLkovArpahcF20WHd167m/q3CKUESeIeyn8Jt/3oEK2dY+pQbqMeGUnq3xN
9g/QflVlDxrcIew8+qTFZNyIoJ6+sSNvwcLFVGmZdvYidLGypDK210A25MbwZvdOxI55D8O8ePSi
OPtRw+sfV5kZTGD1VAwRZajot1RlPD55fgkss7DVQQQB9skpHS/EUMob0nFgzPhJGaycImFjjhD/
hc6EeGZOuTVGOmVxmH03MsO/Msocx1GURFvDUyeiDvjW0mq2mMGPY2+U11VYh3RwACZi7MAzanjl
ntQg8uJCspyoxtYOUXor2iJkYxfOZ7Fs1N0xNo9RVhQXNwRBauQZlgOL3c+11YG7XE19DCOF98s6
LQZwq7g8jx3zkmcVyvYWP0hbHulm0k1jwnSfubsyrlkRPaCRrnGc56pR1Q4AorFx6hFEIMBX9amc
2m5dZePAT4MJgmD06DBMHbMt584OGYXybOuPGnjtamLK6K9UbH8jLLfYKGnVd5PKr5JQEFyGaWXT
R3m3IbdBrUAGdcs09ETIO2FSkesygBijj2WK6iSSX+JxMg+x1uaHELHtFggLndHs2SbSbjNAFlob
qQweNL2FnaOUdfHGbjiVAihMheljjUoXB9YSJql7stc9JP08ojqMQEWZrt20Gs8Gbbp91o4QNQw/
/GzU8cSXGcNdbGekHWQMLairm57F1Q8Ezs5wW5LIl0xqwUwR8yXtvWpb4yzmqrogVDHXahTTM40v
846ZKMTakqGvTUhmWsMJN/mFrNZqztNkuce4HPOD5eC09SpuF0m6ElD6oLHZJG9t/Blk3caklWq0
zaOZll9V70ZPBCp136TXTk9Or4ZT4fv9MQPjDmCjdi/KxPTb6CxcQzHrjx0ppzfGhM2ryycGa/Rz
vNY6kkiOH2xjNQwRCzOiHYqJ+pPbm+XOMe34aIJh3RLA567TqSPCz+kSGn0N6Puxgj/LOGglCDKH
7NRl9Nsh6Z6CGuCGxIq8NyQghWZB1YQpSNVeq6G6Nqco34Q1RcHco5tWC6uGUZe/SSLeHK/QOqiR
UJx7MEacsTp5C2QCkUW2sWMTIJE228c5GNwb2pHm9ZSYTbfJQg2/yKwr6LILMCpgykJoaaq+xt4Y
7WSVeADjdHkpsW3eG+aCa67q+AaAEtXJwuqh20P6UBRAnwpJK2tWnQUgmNZE9gHnAySGheyXmfOw
SQzqQuQRE/MW8FeDC3W2jmCjVbjIj00i2m+vHY48BeuUqkUcXlN+yZw5+hyAoJomp752YhoN3sK9
Qq4GoFMSW7NJK/wXgQInBPAwvsEoMmxE59jbV7iSK9zoZvZqAH2IdheoZ5C3j5FEMN8ph2+SQaYl
GVtzSgb2u5V2oJwy6k/JXA5icfPKwaUFhKVc29DwUsmUxYP+TK3C2DiUwYo6Up16NJsrC8TvD2rg
/iFBW4Dz3G5OKRGBaJlQ5e4ts2j2cD3EWSuwfxMHiDcGYY8rVFxwV8QUiy/wXempQ1rSH4CL8v+y
qPugTLvZKMxmTybClTYDPeoRWwdj2kbeT73onMVowjThoWCpzrnuncbd1XEzHgtoLOs+T2MiNMN4
W5XdPaJ8ez1onSAfGMTWS0wkBGVAymQcAdWAthrvufxe9lW5fhNfVFs0PatZ6JUeyw6xAioYEups
FZLaWTCPccepBfTq2258PQ42Havj6+v9/zasf9iwLvtCCsP/ecN69ZyU33/erv71L/7arkoAFI4k
0s2xEbTRMKH2+3u7av2HTRT6QWFZHoMW6tO/d6vef1zho0zziIny/4Had9HriwWIge4ZWN+i1/8X
u9VfSmDPY8LL5ywbSWgpbwrTKWAXS4gxkvcQ69FWTFckQvx0NX6zXfz1ELgSlp01u2K24K+G75+r
wqFbphnQvPrQWWWzD1GQwGDJJf1/1/x/cZTlW/x0FCJuxlFQUx9gKrXGl2r8rv+UEvCnE3kjhvaS
ymXWzCG6+c4z76Zk08wv75+FhZv+7VbLx4Tpokq0WRmW9dYl0eZGnUZ9Q/FmlOprhV552NLBsrds
9OaDCLP8AzgL2n05j0CnNSHotc64JU7H2k9jP+wTyugHO54di1jHNt0o7d3ZoujFhuHJcAmUTBhn
8fhw9NjvrD4MP2LaYlzgFV16Py3aD8iy6Rl2HHqwium2X28AnrbbvLJ6Gg5QKANSURmdYOvKDC++
IiJ+WmVNV61koiomYB39azP3zib2eASNHi2KmGfrldkYkoZjjvXXRMkTG6I/66joKGUXyC0e7e7S
BcX8KdH8Ma4pgVOv+SrtwkMcWxD+aTT9pvVmoBV2e3EzW38ay8m9G8Cn7A1EFtuKyo2+PKVI3lnu
rs18DFtjbV35jKS3BAGPq5HB4wfH03wIHcyLN6fTtgL1NSHQaa2rMGRXVTHNXkdVF99RBgxfA11M
dz0wNYaT4Ug+W4+V3Ujm70Mpw6e4xnqwIc16/oSaVjibYba+K7VQ/9B96h9GQ+G7HtNcPwR2QvD8
KLV71/cmH7RcYGwHVxVzZfpFuqjXchISH2uoL+SUORrzKia+EIw2MWJknKIx0B6WudS4TiP3u26x
0Q2T7r6lSxU0298Dotk+jzZ5Qm5nJE86I2LLhIRJlzVurH05uN+XEU6wigcATGmDNT1FjToy55r1
Q2fyecXI90hHLzsVgWgfEmMCCj423rnwu5gW8hBuHaFw82OhI4PITo8RsL1NoGpFdC9jO/zXMyoG
KaN1QALt1qcaZnKU+9FJoDI7MP3jAPYs102T6v1QsD1LRdp/zKq5+6jJ02E4GpA9n/mJuMsjDInE
k2YndvLuyjWqbtsjdb7xAy4nr19YpwXio43Ns/NaD0HKrg1d4a7OAaCsxiaxQsoN2vf4tyPUpIn5
can+RoDGcGTtfCGJR5G5t1wVvoSewD0MGi28tocAURTMUa9bzLndKkWZcjPFxBdP0STXxOu5p6lW
zaUxlmkcEMajDGp5GxqOscdL6tx6VhFdBlcQ2trQ0Mfsi2NS9CZyQSbmx0ZpHLbdSCAS1VP4opHM
Ah4YKr1yjM7YV+gXf7hp5v9Aj6HXrdEOZ0XE4UsM+2wLngsGLA0bc2u0OkDAFCzXIySAamPN47cc
cWG6bvsx34JbNyEqWtOh8AP7kkeRe8+wa96GE01LDiasvQ/lcS9wsj/5dtjjHRfxHSUTCSEkI8mN
243MobykR1mELOerlZH+1hRdcd054/BMOVdelfRpbnCXO/dMrRBB4sA3AH9a4jzY0XTr9EwycVn7
t2miymfqrYG+xgSJLo319dg28mKNzH/aJhDnrGZsaDWiX5MlJD/W+J43GjfDgZGQ369pNXOAxloe
Xrkd6js1mx6kSzPMvFVJhblBsF4BqRjMH24iNcTUvIo/NrCLvgnwmger5yGUGUW7Z2mgtqXbvKun
ut3raoiKTVsn7Ya3Cu5d023OOU2TFOVDE9/PjCiiFaHnfKYIY7lJA9BLaGDnE982uretaj5NQIHP
iN2mdS6IN1mTh0IArijS4AhtjUB1KAZIWKPgKNqAoR7DL2KXFlhGnCUkykkCiNfIWpjLBqbempNS
x/8eg8YNuFE8o8bWC7sQagNRxus+1FyHsZpH0Mb+eFuSLPEyNFrzGOszeGcuCq3UnNaap8AX4m2B
xveed9D417/Dapp3RCGI8+uQb6iSnIYyroDnNqusF5gKKGRzhk0/2gBJ99SOqI0tkwntMhO0S4ij
MBoYg49oeHFre8vYFgteSy7ClqYo8xPW8MzV1dCSrWiREi6HRKyKFADZQL/uJpthk5MvShDgdo/e
qNsNwxr+qqscY5sAP7h6nT/bgHE/IGNiVuPG1UOfFMVeB125Z4QcbpMZnGkKHxFsJ7obc1ymU1X3
DMJGH2mn+hm+fbK0/TADtQkelIen6q8D+gqMV2Mi0ZQVJFcyw3RvGSQwr5B3jocKMZq98ms2T7jF
ifRCK1Gc0tZieOWRPd4toq75oMuaL2yO0O7I6pYfLQATT6/S4sRdpASv/kNR++XeG5Zu3lx3HJb8
LECWMztP9g49WonGuK8TiQfJGPnpfQdyV+Uxt+9yJ/72OsLMlvFqoaQ4h4QiMlUjshpYBg70JjT8
PdWoOjq1kT0MAWSOsmwYnDfS2ApXEb2hGYVHr4KH5WXXBkj2jJTh/0C2B1hXZn1VgH4wRgRx66jJ
fbbot23LmgWOBTw7zazoNa4jsuhcs/ye8g4/IlRu79tMzg8spOhWxkZ0o9MuoCOC7lC6uB0TVZd7
XznySVOQ6lWX2OElBww+/feo0g4Non10Nt/Nhtl/78vQ+FSwd0RyoFNr4xvyr98p02P4YzL5sqPr
DDvTra1rBvjGfURc2S3oAqRwub2Qxsfkc9m1/l1Q9ePOgAfz6HST+9grw31M2Q9f86aSu7iJjc0E
rX7DMBzRS0i4whwZ6kMFxmtrKyhmRuaM169XXQuk5EvjH9SuuTPLsuLF16ZnoRD9NhVIr7IDLlGx
EHejqMyzh+hvWwapPhaTdrY1hGH0DabLTewF06lj8HsT+lZ0RKOOTvB1Lc++hS3FcH3qCt89z34y
XhOVEm7R3ZHO4EKiWDGozG5McKRHiRTqKQgBiugQLxj4ZV6G+Nb5+WcctllLBo7VoNiIhsAhq35i
CC1ma5mjo9HPpvGah8J0hOha3ngg8wkiF13E4LueHkzMKGJFKF66nUmZQyVChkpOWueqy7z0xsli
XPkOag23KxC9DDMMH29ACKPq8YZGHa9uD7Dx3msqZunjXHg0RSwimVY+uOUt76b+GCh0tWCxWxSb
GvbyuvTK6r7DOrXreOBQA6FgPFuurW8adC7odMDsR3Anr6bBqk8Npocd/lSDOJasNO5b02QkDDGD
itkFipv3yFbMqOXW1IIQ9/nVTOj3zOXAATA2t8r8wUQbtC1qOhxMAayXV/W+W6DIJi7CfJkCn4n/
mFTOynAXkwsy523CyPE0oyK+U5nnneTgTluf4RXZoTazfWfqcXYUgcS9r3usJ6uydeY7U6Lfg69A
x3Ed8od712givQqQIlw6bRByyV+9pYcOsqSam/DQWqm7T0xnPoJOkPsBvOZyRjdePNIjDkRMbkJi
t+suKT7aY6a2iK3L7VzHxl6LSiuaH5P9ZSonnyiLsvlIZCHuriwxzkg8bztoVKsKdg90BuO738Dk
s9zyyenQbubpFF44DfIhTICZMORbtfN9NWwrdAP7METoWFKXnHGrKPxMjeltqRBjlJWC3OB4uiVh
pVpnrSy+eqXxFZHKzWi3zs4eiQihbmuOkC3sFWla90MVz2vlG9GBp9WeC7HM3dxyEyE8R7jpPwFj
VbB/lrZm0gLq9IclI9lBIWf6GlG4qN1t7tWcLxQVaJ8d0yWe2Ghaa7LHyzhaZ33EFDLJsSJWTt/B
9EvjL1HXi0MG/nAZS479FvB/9bHGyD1DVDEb3B92fI5TWd+WZVY/GWCcV7zVC7gWNerR3sPSZCl3
3OQ+4P2un+aTnQTZ3s3j7mDEgLI25LS7t66v5lvI+eojwTrZFsm6h2B1VMVGzlJuyWcktZnAg31O
NvqubzK25GaenKBmTSjCdPMSqLk4W8ThIkTKRaA2QxU5A5rGbsyyc1u+UN5bn0dZ+ldW0Gnaubao
7vompT9v0zu+DeepOuoJWVRqxO1O+2j47aIwMXXQX4awofgVN5BDXtzYbYARE+V741o6vSuFrnYd
Hv7PUlFfwbiK7evJD/RnYFveCe51+UgkCZ3qhuDpB3N5Q0qrqNFo+TFZJGV3jhPfvYqLVj/ChRJg
spvhlIuoPw+0eL9qN0UbH1v8uFWnw9veq4tvRUtoci8t9xn1XwUUBqbXyYJIeFEa/ZfE4I46py9d
9rotWMSJ3KlPTukVWwTpFsKrvo+vK2P6nvWe/2RXHqFiweyTIUjAFu6idJ32xQTii9HRWsUFEuPO
GAF6ToonWZqnh7Smd1iTg8HPy9v2NLGrwPfokGhjkWTS1vMGCMq9kSOkLHWzohcLXwUi6YZpEpti
q35UTupsMkbYJL0gyAbGRGW8rwJZ3FdZQeN9zu2jUkiOqecLBP2wZbLa7wh9aIlbO7Bdksb3SedY
HAaya61O+g/aaEpCwFHhsosZVraRhJ+Q7+gLL8X8llIxfR4tp/qUNlnzVHf16O1rAwbLKgmbJIOP
JUKxIt3MZjOlyzvXsYaSED1ENZmSgFw6NaSn3u6+R4OP6JT2zmUM/PLsUNl+LWtTApr0MIMb2fVc
9ZC1WsfI9xqPzBoZY3UhiWyAXN7U+hrZeXSdUgytUjdP2y3I+waHisRQRbjDB+7/byTgggninRas
OqgxyHv1fAqqtrvNcP8zh8rjh1G1Di8uoJ5Ec4V3be1UL44Bdjpthy/YeD7OHQaknYdQaGOgEdqn
RPLtdW04a261/COYWUB7GJrUB2HmbbFmpLSTcWfu5r7vEDTF7sHwK3cfA0+9ANFHFZSpDmZmEbA3
Te3oBc0U8wOehCvhGIDiotG7Z6vD+wS9w5ew8MwNPfVHd3SHs1lb9p5PsXF5N/qjm7jfvNxXN32l
JzAMYb/rl6QLrtuUXgXBzHSK9jLIGd/fA8obFf0VLooTeo9eH7v3SV9BfesSblgVgBkqqammWAY7
YYi9dmL7lj3IAw/k7GasZ3lq8EQR8KDlts7L8LkKsnmdo+Q6ECSWXssxRHkuDHYxtqK6hW3YkE4y
lB9K6G5UuMYdEUf6SHJjcRcmhrz1CPeC1iftayvunR9WRA5zlQ7kr3RJdAqJB78pxRhfcpGJj26N
Fwfr3UwC/GdUHcgss3Zf8Ljd9rUDPkuP5h25c5Jca2akTL2r/QRv6aPmibvqxmWgQEDSXuXdfdTN
ZP14pjw5EUF3elBf4qD0DmkU88aiEDzxIDUOhRP0F0o57zS4uAzaqMmof6vyR6dTUlFyXb84uFU/
t74Gab2KsEa+VGaammer7sKzT2Dfhm4J+ZtRa993tjFOayOwRXCd5Cqy11XZNOPKUVUtdk05MqHz
Y4UenPHgfVmQ8FaIKdjHyWI/p4V1j2/v+zjiijPhqiKgdtSJOcxXT7BrELlNoIMQbJIaJPCzhd6z
SAJryYI/GDgpTtz/ggBq+VBgAVm7ISNLqsJ8Q7vja2snSI/NKUSXz/t1GgCrj/LZYwsypvNFKPOO
GooMRo82kdH51lc3yIezWwlC7xqHRkpGnnsUWoeeGLIfMUOcW/jE9l07Bj+a0TUeIm69T7btqXgj
2qpB0KnGhfpteSujFNXeDEZGfElTbqReEs1w0f7BWf9rFxTijCdk4PrIW+y34AkJGK7sDV8dBuYf
q96gGZfUFWuy2bMfL/6tkMZfjhZY6KjA5vwSOOuNYqRO8tRhqgiwMzH2rpLCG7d5VOeb9zu8vzSR
ORR8FC/whQ048q0F22xlTfvR4sRiP7ofU5dXRtpbV6Ymmf79Qy1yi3/KMZZDwZmB6BpwxDf9aisT
5pQ7HIosze6S5RoBhEopOVm8CBnGYk8y9fQH5c7vzs+2HMuhDwdB9e1BRRICoK6S9jBlXEWSJXhL
K1p27EndP5zfW+6Ez6XkhvbhH8O3cd8quDIe/nNdG+pQTLFDJExopDzc/JTcKzqaOe2P23qy6CDm
c3zVkWj0h+Mvs5G319d2EPmBTlpmNG9nJ5Fbx4ya24NfGDTgS05QNsOn93/EX4R+nCSJAAwVsSyY
jAX+OdcYLV4XOkDLoTWtW2+IqSIizwmvc5th8TzZ46rvSJOvFEXy+4f+3fpxbClgQzG8sZYp2M8j
lUC4oxXZjlqaJBOmKUG2ebo0gj3DzBtyyKjAJjJnt+8f9ne3PlosanN+WZhtzj8P67TEnXkJh/Wa
ND9ZRf9JYpE4RJJVG3is3/cP97sFC9kKGASyUMBYby5wpBrTwsDC4Vot7hu72bP5h44YeuYfnjK/
UCCWBQsm2Ub/JXjQmG8v6Dz/9VvKuRu+tq9rcwq7b6NmbRptbmHwx6Ah/dl8Jq2QZtJAK/790/3d
okV4I1FtOkCTfrlpPEfPmNcVRvIIVREAS5LWeMS+f5TfXVR+wmV8hTr1FxyUC0ShcwsePa9PgT4N
GUUE07iyXHRB7x/qdyfkonT30fE5jBiXr/LT4C8buxLwMHl0w9AAUh2qL9Kvvvz/HePNkzQR2iZ/
kTWC6/dqlmrv+sWfEC3Lj//2acL6Q/fIUhTeL4sjSP1B2VodamrXq6gz7ZNNeACCkyF5ig2eMHhq
zJuIsMcN0EHzCHHmT0+0X289MmwFIxTuP4Sxb2ePrqjxu1VBc4gsFIkaFPB6sLLmkhspVpU6KDf/
9rpyPM8PSHlHHum9vfeaJV5wglJxKMqRAkVOdwgsvD+UEr+uRUQ/C82c1q6Ns/PNDR5Elp5Vljek
+EaQlusqWWOCv3gps4z3T+c3R+IklpgUSJPo0N8sk6BNknma/OrAow2bjdGencm7r1X68P5xfvMz
WUiXTbTqS3WEXv0fS17WReYEyquIHTO3Kn82kFGnGSnKTXh6/0i/Is99+Oo/HeqN8JcelVxQA7At
kBtt3NKNlqA0Dc8p6GGI9OX8aRLUY7DmQ1KPXbr7JmERnyVb1i0p5mTjMv3d2y1ttEI5NMALF4eS
8NP6pJ0RZzQh9Fdhzj7QbUoHdyPTIvZVepvbOtUnr8/H66Hq6GCTCkqQOx3H1SCT+Q8n6mIaeHP7
8QZnrmdyAyBhffuyy/PZcIKy45q2sX4MitK8tnr/wyRl8lzMnXfqltBVHECfFXC2nZcRQpWN8ijR
oCWCyazV1Bnu109FyMYIXRe+9OJDPfhXc0hjqaiyhhCygX5j4njwUFIH4+BQYSrqbe9kpEa3RoPu
HphtE/+kfRspXpZuaOF5l8xFy5BmUENHntebIBrWsxeNG5czDLhaNszWYG7NFy/EX/P+CvjNWrMB
0KHg4J1Fyf9mrYVF31B9TFyX1GgvvRU4R3718RClClf3GDrDH2TEvxY8jgNTC1kYttYFk/jPxY2J
vu+HuqgOga/BVCdEMjXQTC/SqfU+9CN9iWm93oMbj87vn+pvbl+qOXOJNyBq6Zc9h4qm3og7WR5o
c01PvRysLw3znnvIaun39w/1m5NE4MHTiF4H/3tbOjIXZb85deWh6BVTEQgEinZth80xLdVRtlni
r1sG7MSR2DTt3z/4b86TusqRzMKXrIe3tgEPORttp7I8kH2X7JuhvI8WOJmfTupflwHo67mfIE6x
vRJveZf0gNoI0lF+gJHxOE1k3tn+2HEXOc6/XqaUGwimEEax+/gFcFaD/e+I3c7RFRD6Oksar056
MwxC7mg8ffu3F9A1MR9R32DBQc7xZolGSV6XLuGvB2Q1zgH+VFkxQ2Sm0+ZO9icE4683IAejtKE0
EAy0376+GrQhsez+i70z640b2bb0X7m47ywwGByBvv2Qc6ZkzYPtF0JVljnPU5C/vj+qqrqtVF7l
qfN2gcYBCvaxLWaSQXLH3mt9K+ObaeZDKLVneCo/YiUfgsE+U4PM9/L7EoRDsS21+Wo889/wYb+U
UiQsRmOuIcSAo7OW9Eq9wkoXTtpPoN7BT6TGuWr09BE9SlHCeLjpjl8vZum4ELSSXSX6Q+KVL8Uo
HmSdIGTFZUS4g/FPLR+I+Si85wgnKIxMe98/XSzwoOCinGSndd0BXejONJPryNbPHOZjUTofhq0h
/hyqj2PMY+/qKor40bteM2aCGaTtUvFG/HwdfnyKcBShU2zAHrQ/UOVAOqg8jkWyqyUdLTo9mCC7
n05u38YVctrOnZZyLM48Jecwrg+rZH5wYMjGOmUfA/r8bMKyHtJM8CzAa0OKhHaZl4QOKo8p/ZQz
xG5GAkQWEF4S4uwnWAU5KQvbVlXBPmWOvCGp9mEareoO5yg4vJLU+reyoJpd88ji7EfPgEoIwsY6
8+lPXhhIlaw4AeTi+MIgSQhTJhvpju50vo5HLz5oij7n5xfm4xOWC4OukpYSWTofSs7MrHiNBEW6
y1sHpHfR7/REPLhOe65qOXUpPJvalueQzR72aDWT45yXeEl2xKJKhCx+uFe2rjaff5tTTyAMlbTh
CDyj2TGf018eCxOcXRV0WoJ4CARD7/CagliDCbxJf8dg/s+raPaMyER5ZcxQ3+MdKrA2mxgCbtEx
8X/M566O7Nus9p8//1anbh6Xu91BksvG4HgZE2KZi6ng5kkjy71JRsGIzbd+MGwpNnVguX8MKUhY
uoXNmVfVqWceiliTupo8uw+bHlqneijJRdwFpGm0uYblP9iU8VMZT/fciGeOdmrBs+0xWOzsLD80
yVK+o2PD2tqRp55sM9tybgcDjNDnJ/MDYBQDos5JdAxeRxKZ89Fz1esM1Vm03HduN+hPUagXGw3F
8cKPZZ8ym3OGx1i4BVHHbX9djXlyZaWO3IYums5pLG0Gy3GJowMoGkAB9Bgdqb9nqhFx8sw77LC5
M4FvHxc+td/oFi4y3jbKZEzQVi+i9UhMk26D7dN97hTdCacMGWLkMnrCZdHsfRKGQxQdkz3jggYM
onSRvIU9aiU5LnyPz0/kiXuNmTYlKAZiYHjHL8TU4TNEinKbAO4f5STajV4ipvRT9Cvjy+fHOnE6
xJvG2JobtVTd7+9rA1yiTvYcpb0vfug0HFb4d1+aMc13jpfHUEXs9kyFceKmE4KJHRUNb6wPJXZf
p6Oqg4KvF1tfwygAH4lqhzlGPS0kOKHHqh6qFWqMfvfPvytQbZJ4qWxwzR49KU0i+6LabYode7Ur
oDQ1Xen0lm58AIopeBpdKziz2k5dSUo22gCkhnk8yo7Ors20sTGrYqfpQbUkPAZVQi7b2wFK3y6z
2Uh//g1PvHP4gtRQkhcbxeLRHZj5tRliaix2qg+YXJj4ifSqqFYSRey/cygPXJtrUzC6xy/R0jGj
NsvZogmvyG9ICQIv5LT2RdQJcebxdWqNSm6o2Ycwd/qP1miPJC6f6Azsmqx7AEP5ig/2gVDBehEF
1a0Lhe0fb454gGG6MPCEMz45vgGFYtZmNFO+m4wJjZ8z3NVdvSrpA5w50IkHMy11wNmSzjM2jvl6
/vJWLSfwMrrPFjANrOdAqa07VQ9nloTkZxwV9O+OcbQmPC1OYtPkGAj6xYLIkfIAU9W6Mzob6mmK
MzMKdFgeQ12Cx46Dx2KoCWaxmNV2ZI7Q/OtQQ+YRk15ToYCTQkAYBN8VybY+TKYZ3hpeQBDJCFIE
e1y+zRrEWexuxyUyWH8fWi5DCl1B1xEzfpcYFnE3eRliq1wAgCyypt7qPemibKBUcE3SCNVhMdPM
CLK6DpUTbkXdjPvUQqLZyzD70mt1v3MT7yHCUbzkDCebjF7R7Md0yh3iRFyfw1Su/S60EAsnw2Vh
yggsLzbjz0/vqbXJW9wRrBPJnOJobcLqrNrRZm0iE36pVPvihuW1KbWNzAooUMRrfX68U3c4NTfF
Hu17BkJHx7PCMa9kMOY7sqbmntPVYCT7oc3PFK8fx2pzRAeDLWoT2nTe0WEgZIayVl6+Q0R+W5ZR
jWbQ/aNKHhlCf0GQsuws43tQ52e2TPL0cenSckbZXB8XZF4Jt7kcLHoixTh9DRXpsW5tarcYXfR0
jWaGPU5lZQD0kr5apWAvGG7nPMgro99bqPyteND2Uu+0jWjNfOkjDGXBlVvmnUywvfh3S5CgNSik
gDBUg5XXCpveizOtAuHfY5ltlu5kVQtQPWYCBgeeTMzngVVYvuL5EDfxW/qSghmDo4v/P5usZdi0
8doBtvdUSevcpTh1xW04H8Sy0GaQc/jxr8+ISG+sLE/6fAfxemS6tBgHfZuItj+zsk49i345znFh
1Jd9lhZwmneuNUf90G9YAi5Zf758T70QbfDyzBWYtxGj8f7L6JVRFhWc4R1DJ3c5zowdnWC0hMi4
sBnPmM5OHox+JXsW4p8/lL12zcMoT7lXtNAm/RLSX2+WGxSgaKlxXX7+zU49COZ0dN4WWPY+FL9Y
k6Udo6La1XF9C8HbXoL2fC7S+rWN0CyE9pkzKU6ti3nmzQYWCYFzPKeZGugQrkmdFqsU/OVkiIM7
1cPeoBe/KqQW7syyAlFWevIu0v1wNwaYGgKCT7+4gZtsvMIcHx0sQdgz/ADG8ufn4+TH44FIG4n+
7Qd6x6D8RktCypyhKl+lFzyFRn+fSnQk/8ZxgIRgdEG08aE4aHptDEv0eDt2oiXdnPYlH7VhVXT1
mRfpqbJ1zmKhxTL/xzm6D+Xg4eBAe7lr8YyEDRLXIb+tC4skM3FNnPdDlnpnGhWnFvAvhzwuWOPJ
TNHo6dmOoNstOYOvxNcjbrcPddGf2XPIU+t3To6iFw24g17S+zuzHVxAFsrJeMwY4/c2LH8CsZ8t
y8Jd0r4NljPQjhRbPV9H1ew10MSszKwR/cHifSZ2Onz2KzDMnYFjAVcbPqOwre+DySOvJofmQEK0
u1HO4D65Fk9NCMwNgimtUWS1zq3NwvipDwZ2FgB+qtS/x0V3hRSnXBNP9xpBL1hko4zWXTYa9yWi
a172hnVmNZ06C97s1KXFwbo9HsCmadk0Of6E3VRO+6mdxKLVzWdoZxf0TJ/baBzOHPDUJZ6dWQhl
HJqtx6e9jEUwVhRDu6gCkteXXV1u3nB6MoAGu2hmTfrnN8ybduKoIEQxY/AFuV3YZh5d6UAbU6ak
abazs8lbhkNn35uh6Je5HK2LsEjTpzeqQWyinHyzC7gh7MCsm6ApI+nbagMs+DOn4cR5p9iYLdCk
mbGdONooefboAu6U6Y6sA3MdArn5koeUjWNcNM8xsChyncPfz5yIE01MVAl0feanNkwe4/2SD5Q1
lX7PHd1MPlJWGZgbBKly0/h1syUkSC5YKSgnLbj9RPouR2YyOC/Mc9k58sSzcvaFz8QytjnmcXtf
RxphZ22U4VuO4X6++RoiCasRbXVuXXBmnH0bo0bGYgVWO6WJLLSMOSoAzP5mkIO+GUcfPuJbIFo7
6V8pi/NtOLCkcEwlG0R91hZJ/uuIGJtHdr827ThcoxU2V7WWt7vQrpy1Cjtn5QYXRpHI+0Tm6prb
FhPayI3wHLqdd0h155sOxfrMxvzU92cChgfdmSf0x40j2m1x2rSS758m6p5cDbSotoqeI6GFm88v
+qlDIbxGa4AbndfGUQHC0IkArfm1RGpGuCord3bzqTI5eGEaPH9+rLfrdnynzd1fcE90GZExvl9g
uWan3ZBFbA56CC8LcpNHzF4ToBQf3gehIKm4EBBVblplDFeGoQW3RqsB2pRpuS1z+KNvH+gf4Ru+
RH/URVP8bP/X/M/+KMqxJtaxfcMH/L/fPRTozrNP/8r2tbh6yV6b47/07sc2//vtj4PXYvXSvrz7
zfotEvG2e63Hu9cG+87fBIP5b/6rf/gfr/9KsKJkRsdT7v+iBOYj/PUv56/wX/95j5sg/I/lSw1h
+X264l//9G/soPsbvU0IXjw1ATwZrK6/MA6u/I1uooXQCcnHn3/yF8ZBWr8xRpvHM1JCV7ccVsFf
0EFpkMg4BzIyFZ0rYlbj3yfh5s91xPnjKnH6/vr9u2z6t13Zr+uNcQwTJ3NumduoL4/fXhjpEPXG
0dz+ccQAcjWRwzKHlLMN86rcwKozu2UexC5RR3KCTh7l0dWA5XTVp6HrwhLpxEPsR/LZJmzjprCN
/L5vbP87zyx1U07YTHYE8Vi7spbgOSnJrAuYMsXKSfICFLdK8EW0moJcFaJFlZfAhsOrRBQaRnwi
Xw7dVKXVuvKiGUY94tpaJsT2UQD0cf6T7k5UwjgazU2iNeZ1KGKwu6FPMHgBbWoNN0Aean8kIplL
kMcrDcF7uIdcTV5bwRvD0Gq/XLaGL/ck+sjDMLmSRO+IkkWlVf9Nz/hQqyrz21eOgt25NnNPAEnF
kIVFqIrAH9jpuCa0UO6Vn9v1MrHbIlkT2GbtIp4qDhxdPfsZccGhMFgK/J81BGuMV/6PybYq9o1i
aJ7LCR84cB5FXVSCGs4HkIheAmnWV8Bxhs7PH8qGSIS2qfvxQlUqIA6ApA9yIUKH2VmapXjVdVEV
+mIKS/dWJXyuysbKuQAH52cLXUa+IhhWObcT/tnvInDdGz8lxwpzXa2LlU87MocmNBQbB272wpqc
vSqz8joRlXdjNST0XMZQSXYN52/TFxV2PjuqtlMYDpdh5xkbFfYZcH8rL+6FqNxbzWS1xEmYLT1a
pbsMAy81XS0eZqfaPhq5OjhgkGt0TnGdQAvX7iczG9e2E4sDMbsDGVFJZ64ips+kdWhZy3cWciPz
CI/ylFXf6q4wnkt9NOXSmyoAa1YAkohXnbvG6kMmvTuM3q0qYb+Po+ndGzzabpWcFAm/qubBafXy
u+GT/gtJTbOMVRtqw4s7JS7mM+FdliWCx0036sHBVHEe7eD9tNMegKIBOM/vtEu8p2QZDwbmIakr
Nw+xZsyWzRBDA/En+BTusN1byWUolXdTupqQuHVt+zEXI76mRtMJG5KpqekLN44LegO2IEN8G0A+
8HzstZglxoXGiUAWaYEI/VYRBrrQiH6vlmDMpM/1gTFGqoXsqmHNK8zdBNQ/Rrfzi1prD61ddvo+
raoxejbKxmsPvOks+sosn6+OH2j3I2CxpZH45JBk/UXUY6MOq+zK92RwmXZYDP6ILS3ujYVBj8rU
DmQBk9vkGKn+iDQqwo49AqTinY95c0w2us1vW6kDiJqC4SlqjWileWHxpYlD5Exlexd3IlyhhzBs
oCGMXAEYhcOTbVPV7Li9tYc8kP6WgGo4hJ1F8vxSdwXMrRiaEg7rYKO1uLl/wLYw0t2oR6hD+s7o
ViOSWPhmerwvOt1akYp9B6Hjso0bf49cvll6bqEOc1Nv7agoXZttiPGZlG4UsxrOVp40qU8ymT9t
lQvcYYwMsRjL1rlqcAoR7hOsnGDYum1sPYkanU3cdd1iGrvienD1O+TtxqKvMZ5ojRdCWq8CciH9
kkeFHWz8vFk2sZVfEDzevNLTvNInsPFVnQw7ukPpfW737nXcFw2tUHbXZtr0N6KjvMQBm5JHHo5b
056uImz829QkFARJU7ohw1AsQFY3S0F61DKq8ZqsEnf6RnIjAVGpcz2V9Zd2gI5WGiH0ZVnU28on
wim2Nf0LDrLh2m7w7UdN8bvH03abR8JdR+A3NkXdxgSUWQ0bOqNiw4UKMu177UB8ENEO6Yjjywm+
F7hI6YaFER2yMV8ZRI8sUlAhz0NcDTtyG9vHuKsZStmDtg1q9bOr7XSOdh3XbQ3vtBeG/10mlgaT
zQ9NsghIS1oQkaaT0Uqu4E5mELrzirxfzyMFfVHSlNiWXWIeyARPl5DJnduuxJ8IOr9YxRnUrxZ9
IavCnpyrsalyhJXJFMVrt4raOw8b6JNHVxAaCZ1B3r3h1eS5UA2LpEgWk4qSr6WTZhvRMX/xI8Pd
4D/0tsXUl9/KwdefMR4jVOw7WtyM3K4AaBUXY4WcOJOZe4tHNP/S2EoDZBA8OUE154p4VbcJmsm+
qg0fe0Gn2kQcLBUHl14CWmMR5Hip0jbqSNYA0hstKvSKmIgxGlotGR09A6or6eN2nLJw9nmVkGGd
Ao63UwJc0WpYcyQcdIsK/sdTW+rNMysur0iGGcoLXdZ3hAcVt2pq9SuJ7nM1C+XsLmUZmFjhsdcu
cWeaOwM62KJvTG1f+078KhszeyXVD7tpKLNp2bf+YPEetMdDPlOiwItV1sq2IvFI1Ep/F2K5/aHc
LliTguNeVr7xXfO6n+SWB1/ZWaFYH3N92ZjWY25a2hyYhf5RJjOVlOfcNFb+Y1CbWyXj777d/eEa
lbWdCrMFtcaMQEbj17EfPbqrhbFynPqFRLFk0Ut9n4QqgcFglK+B74BEi7UC3ZiMd9gR82JpTKO5
nmxf3KSNXa+TZkhuc2Ff5QGkvGyquzWbJn1cGEEftcshrPGoNYBZroIRrwI50T+6OHwYixWlFPVF
BChpMTCl3jkiJnjJB/S28OaHa2Lh/Q1l5S5bs24WirfcGtJm9GIkyQOpdcVKQpj4HhpOtCsi13mt
RX3X9eInoBda1xA/PM35lqdCX83RpFuV6M7BG/3pstQ7c+HI6lsREKs0ed1hyBOfZ2dZrvu8StiJ
9ZLm3pjtZV/urVE34IGKx2gYk8uUNU80rU2wRQ1SwYjbcFnq8RYKZnkoWnVvTlh7xRTm2N6B7IXx
9KOl/ly2sivufVcRAN1MnGs/k+OKHmm/tmxoM2PeZBsEptmi1tw//MD4SkSt/02vLHmNTpMmjmvd
VqJlXVl/ZEYm9tHUNesyjMqLMu+Li64yXp1swMMsfjRuUoWrjo+0FHkz7FyAPovGxKAdVTR8e3Du
WyoW5w7LfrAK0yHe6FSP10bu+KDwikPNRaeDukVKcBWOjblEY8sSFW6wGnG9r2oRiytZxo8KROqd
z/51O6N8yPUz8uKOJL5iGTfawultvl1QLExe6Zda1dgMuqanFvr0XGxWIr8unBZ3wuBd0J/+aUXB
rjJIUAo1/dofGvINogVkVnIPG2cRl9n3OsXrNzXqYcCdWor2utVy0Ao8T/nBoF5aXy0JWCWRr+9w
QM6mZgu2a78iIMWajYymdZmD07q0sypfhna9IA+Jrb1GisENoInkz0biP9r4/Qtbun9tb/g/aOOH
+WQ2n/33Gz++MQqDl/xXdN9f/+ivLZ9r/EZDxkPFhc1z3toxX/1rz+fpvyF4odyjTKaJZNq0hP9m
97m/MYFnz092GkKHt9zlv0nz4jcQQugCyRDHj+diVjna5H226TvWs/DMow6BMo+dgBnynyi5X0bI
lYJWW6WNuMhLs28JZCNyUe1qq4+2ZFvkDD6KcMRgHs915WOkUCGSXRISj9N4pfUCxyk3xAoul4RP
YcUsX2pJMzXji8CY8zc9P08C/PwNPbFfzvSJ/epR65OcsdluNXdZXboxH/xBbtORf0hNeIGRRd2J
EO67NcTe5dg7+hU4AECznx8QnjcNl182yBwSLTKaK0yXwKk/QOu1KIWG0xXBBSHgl6SNgNlIe2QU
WybkQaWDr9Oqnaj18hv1OLEfy87sHXPn2V3vb6wAMMGeoOeZ2NOjoF6AfeumrdHCx3HzCE48WE91
g7BLPKQGjpOt6efFRdzMyu6AKJZ+IRK/thdVTTrt0sK1lGyCIedca3av7oD1uytDTNYLACEgtXHl
cigv9PtgXTs+LOLBwlm5gBnUuEubK1Its7bpug2zlpEI0Mh4qIVkEQwSnnMN33k7onpBVt6Cxqnd
IoHXAxA7WNPbn/et8yfXQzPFtREGxoMQvAkXkQPWeoEtv/qmhUC5Auq8aKFg1ikqLKP8ZvQDPnIb
rGp4rcKMT/S2Yx6J7FSPdTVzFChbDPFgxKFoaCcij7liCO9oG6Kd7PKrIbs8PLR1w/oLyAxaagaW
6Lupzo0H3CaGei5dQQatNFrOXNRgtliMbaGKfV267El7rDwT1n2NQ6dlz59SPfLpgFjlGTi2Ciy6
hq07vCEIsLEXBeiekOJL8v2plSzgxoH/1I2gl/uOkLyFNxAlt6rQGDL25EfrTcVJikaTq2Cbbdt8
DQfChHcmu/9szXmU3dKK5qCUiBhXwOpWW03341TMJdVsc7pg7JGGh2m+JM7cTvAALnD94BVceJU2
CvZLreZg7OqHLyEJsLfsc0IQfIqbl0Y0WIkKXh36SjLJUqBbgk9ZIydyVkVvsNXxnWCVkswIy2VQ
4wOg4fZKszyohFkMQQf6VkcAQ9xaX2Am208aDaGroS/TG7BIwYsxmJQrWmq6y4i37UseJP1zKYl4
o2ZgyYYDvYp+6Ft3Gcao5ZYZ2D3i/ZRtqTUmae9JQ/nQ3hokZtsrq3dYNpALOL1DlNn1td4qiz66
FUAQX2ZQuee0B9OFR7mKWZGEHGaKaxfJ0hx+jgCay2/8MoO9rwZ1F2U6bSgA4Ji0AtZIQ3BPtwwL
TzyMxnzl04RMzoXGq9leJMOUZusJhOI3zgw3F3FA3JRJWQz+pgEl3XwlWlfd0bzhRtAmhxMcGexV
twkMhwvLoL+yoGVQ74I+Jsgi9gl0wGZYgeabRnUpIQQGwL06jkIYWDyhEG00b61UzHmhZKYR1gF9
uiAsx6gfkmnStCcglFN12Rq1Vt+MyuOTpKPk8TtlNDAeI1PPkju/j+udyrS6okqAgTyRl9RTMmec
yxr8VQQwe6Ah5nkBJ6LUs3rnp26qNiZPFdg6FfKN5dtCTpTGhYNNxn1s9/NN0dYmP0UNkmdobhbG
Q9TRqVi6wg3tryp1O+M69j0eFG4gkuIPRw6CcFwXhDlzIY6pJUGsAGAFdfydgnYIyHrsgvaH9N02
ea55QghQlv5k1dcFKHPbXahA8721k4LLWhuAkZFNsZwOTUVQLeV9La5iUgfVs9v5VfJqOblBhW2O
FJfQu3vDuM54/0zVwuiA4+z93CAYDNG0rev70JA0DjCYwJLU0Cp9j9SEaAmI+VXOSOGr1Xf+zNm6
dxC9zWj0onsci1FbA5AjHroom6XsgnAvU89fseWKSHSLmCYyux7hoTqZtYOnaM8aIUjr0XMQml2z
oXFn5/GC/jmhwilpn2Xp6k8NwZhLmenftbyfEwqooJMxh0wVDsrdAaUJfk8b33lVdDwWpAnl10AY
LruhrsY1aQfqFltz8N2Sfb4mzYE5Pa3HO4Lh8u/CDLONkeuBj1o+A0BAFtaNF9ADcMqkksQcJyDo
yyB9NGKqUE9vWuLIWnZgvUJ8BToLmNBQXvfplF1aJsa8bnDSWx7r5ffY68L73kxvBkdXbBIqECnV
CMlCB9u9JQYhug8aO31E2doEm5qUlku0+4IEzmoihtAjyESaJJVjE6I36Tg89npZPPDSKb/mVlaG
q3hq8o0b6cVzaNvzqaXNBN/XYkttI2e9Km0lycjrM0BOTvMzqgn6SjuT/eksfIYdalxBlXLMVUj2
JSyekXJgNSfEXVRNVmzdtBqxN6ay2M+4q01gidvYL8qtTs2/gsxRfo2Tuhx4S/X2Ph990a/HzOmu
qtb0770ytLdaMyVgUhhp47ObXAZmtn2lhW11wQN73KEUGfeDJjymvslALHUNZWpul1fdGO/CvLEf
+qiffuh6Gl94rjdd1HntnQNDHI1BqU+Q/PI/wcMIl/jxGLQqMulCYQUD2Jb1Lsl9ZLGD5CVkajVR
ZjobLKKd6zPjtyPlz9tR53EYwn5QEQjS34+pTH8C0j9Y3qGCLP8tQthZLUtacu4ZtePR7O3tOKjD
sQ9Q7Rnoit8fpw8Lu2u8AGh7MlcYjl7zzM5V+c1SPg+Mz4u9UwdziCLhdCL1/TB7E9zDGjEH3oF0
F29dFDSiiIlM2et33vrzQ30sZElBQoFCLa4zSD52uFXEYZcgGmHTENN4lXeU3hZqkSWUmeKimeUM
//h48/BJsExAXljHshAk9Ny2aWYdJhX6T3++gnIoFNHSyhuqkSbCcX/mdM6jyveVM19uVr4wpeLi
fRjRZoHZenVrHmoApv0C+gPFDw9U3sC5mrPaZva5XGpZz691+tzqHy9Sd56vob5B42Ng33q/eIrc
BFGcJvah66LZ568xohHDOWPTx1uBozCE9nDSWAY7k/dHSX1joLnT2AfCZ+nQMx/bOu5Z0cepo7Ch
JJpgTsjB/Pn+KHYr6YNpfBevatyVHdFXwbzzbywTQPOEDrjsdthuHp2xpMposYJwPBg+WQ1IBVgU
/TiAtBn9Vly1peqnM1u6j88vnuk8w/haSLU57PsvRuKxPw6pbR60wre/ig7Q86T3lCId0sJ17s49
LLuZWCKf3xEfb3Ym+p4EnKDjmPhwR2AUi/SpBMOYdNzdfsFzsqX9vppi2z0jUT3xFVkciBSowVHP
HD8sHSgTHCozDqpmEobhs7iYGuLVUpMFk8w7ODWvmn/+/RDzuQi5rRNm014nvjIE3X9IbaDweWaS
7Ka74ZaNztk7/djGw2PaozuBBMp0PGdGzry/iEXo1q7O8+Qw1Q3xIrHIGH2hXkrvyn6qr4o4pavo
A525UQN13UCt1Vz1VU/mjMncls1FYb0AhmRyFzaSqnPK0/DGTezynK/p44MXWadEXcgTiQS0Ywlk
HlkDY0efFc64Vy4jPyq/zXmfzQJL2twu9SjrP78Sb0kF7x+EsyeNuhLOCJCMY/NokNIv8XnHHTRX
o9ZVrmT/wKCq/eHWglcmiarzeo8jcVV1afWt70GsriRZcXdVYxANVcEym7PkyYxpR0GY8Ocf8NQ5
4Rn2RhHh2h0LyvSqCScSMa1DNrkU3boVMxtmNIstOY8W9KrPtXE+3Hv2HMM4K5fAMGFiOFouFfnx
FP3wLgnXBNGox0G8GKucZapKduOff7tTB6NvhLkbq+tHeo47wfAKKnC5CrfETZwDodUbl12OpZfs
kj4/2IfHNN8MWRKCDyZ9PM6O6qIs0UTZ+PoI7dhiYxlELSuLG5Fd4ucHOrbTGnhoiF2leLD4cvhp
5k/ySxMPnnOk7NIZqCDqsLnR2cN1S43sSAT36JabizLu6YSYgelehgNJ2exIHFkvqnR+DRaVuguj
hD6BNrBZWjZiKr9NTl3vdM2mlUXXS250bOlszyvCi7dvEPY2Lzz6/J9/k4/XZzZtYpvhvYbB7rgU
iqDLlg552QcGNO5qgKVxkQ1htA10gkU+P9SHhY4/lDWA2oWGLcSVo3XXBrrR9oqUpRoxzN41Yr4/
XidvjSO6uJjJ4Of6h/Pb65dbH2EPz0MwXPxXILM5vkr5lIGqrS3zYOMdfMW/1x9q0/ee3hoitgPL
iTCQlBh3pYwzLwDjeImYHBlhHLIe/P+z0og29K9LxEz9NjKZdR+EoJM0rfTYtbHojGCkJDFCynd/
t0WSmCsmzqK58oKCO1DWQbQz2pFoOICC453eZXQRp2Tu11TAY9hYdDW/nhzWUZ3ZTbzFvhXdOMTB
5Pwkhik7D9ZtTOMSiv6tFTfTE2oEXncaL4Pt2NaAl4mbLJsFiYI4fAZFa6zxE/p+CY0jfxFVhBEy
y8Kn8gXAIGmk5JhntwPdhqvabrWtgsp/g+Vfm7agWZMFXex8wnRVGToc01iHSOpYHTkVBNdftomJ
ssZJcU6tCoSzbKCn6ABCUyzNPrVITUCLUDGc6Uizgstf6P1QvMgpRp+0IOCB5lFXilT8GGp49JeE
+nG/eKqcm6FjkIQ3/aj4tUN8e7FnIDYLQWuYzDvsyOyK8gpu1nqqSFZ9Kz5J9qbz4qVzXVOV3Gth
nlrjT7rl0bBMyGpn4z7Wykv2IG3UXQn3OrxBdZHCRg2qvr1tZMMFMUrAOetCZGWCwkHnfVF3rag2
GGTUXQLz4pKorCK5c0rR/IAlz7cYZGxNr9LOO/NLXYm5FTWA+FwoPeIf8tWtF2vg496XwjM9Evti
87LnbPZ0NNBgAMQgEWRjlyOHpw9C56qdQhrhbjbact1Ln5+IdsMXv0+DzPeVijvtXpEIMC2rZOKt
5em5SQsnTGVjXOdDb7V3IoInvEpYLuEN+1Xg22J0hnJJFLa573uGZ8mqa3ttOZU5aZS2MVvCpoAV
lJNMby8MZ4icS7P3xbAPyU3xea+KProq6pSellt2DUIO5LcoV5CmQ68kp71+ELlVp1sCQlhgaIZh
k2pRzbvhrQ6gZ8/qmwJwj2hcC/pmwnbkeAHYTQE8g4Ssfnrt5N+4E9Fof7bgrLTjw8hQiQczNqyX
yA9DZAWknJS7P28rm5BLVij3zODI2H3J8a/CYbbgVgim7tGObi+9eaM1eYzXtsUqqlybnVmYWpxX
o5l75jJuut/HqBj6jYrow/85moH09OJbci4kApPazi0c8yUT8dyJrWnPL0o8rDtF6sK0fHv9OXZH
kzGkd+VcWiRBTARCRireAOrWm4vMC7hNs1Jj0pCOJifW9HtTbmLPCKJb9AR8EKHTOyEkxWjgvopK
fe+UI7WeRo+VJHdugVn9i6VS8WDHcW7OCSrR+OpqTDLWsVsZ5u0oSrrA4UhtDLxJDE7G+5gxQFiQ
HUAbfOWZTHMS7uBWOs8U5gkQQatui1Iu0qgvtXjh+1NGb15LrfiQ1g3d+jGlKcl0O59cWhKx6R8y
XYeuDH2deEYaZFPXx8Ofb/z/Pyc9k282Q2yobj6bk+b5a1O0uMv/VNzuf/zXf/71r/4elHq/sc1k
48A4VII20Hlh/z0odX7Dxk6zwn2bhb7NUP8elHq/YR4mLhZQ6Lx1+0UdaxLkTRfMekOyQtL4h4NS
rLvv39/Q7NgEg+KY7UjYksRRxSBJs88wBeoXua4VYUVGn2lrKyVyHyycUOU6IQetWIzILeqNwugK
KrdsJQTf1AEAT7Asc6ax+aJGn8xrwPXx9Kym1DSfhEd1tRoa8XvgGsFjhgRyGQW29dybZvsFaHJ7
MyHG9zdREWMyLwB6fQkG/hCuufLKrRaHAFzaOL9wYjXtMkXaUd3K37XB9McLplHKpcFitJd97Jn5
o0z8zrlsCHXQiYCyhy5bmJmcs5/m4a3RKGZjKEe9GF3JSC73lDTjSta6XIaO7L7hux+YNXV9pn1J
ECTMtQC+2U3Ctb3HdpLZS4mAIsH64EePIhzB0zL/gssfxbRXTRtRJsaf6t5Gs7pvnDbcGiomZsgb
1wQDIYLQqwh9B239bWxExInJ5MaOmWDu+CvyC4m/PjphJaP/Q9159EiOhNv1F/GB3mzp0lWWN129
Iaq6u0gGXdAFza/XyScDSYAWArTRboCe6anKJCM+c+69JKVYqHYH2OBkMrSvtSKZC+CvWU7cFlwU
bWAleI8Fa6R88AkGlb2T7LSZz4ZeO1cVsI8yptkzTnMQ9HT9e5C9743vvUjPyV6HaTN9yKfJ0mIx
Sqe+1KPNyYzLvvillqFAzmxCaCFH5TOQKuyxnT67QVdfJundoMoGq1Uqm4zdMLzyZZqn3I+0XBbk
Nbr7c9/mdqkfMrJsjpXhohgdmBaZ04JyZdmhKn3SbLFu7kXqb1l2tLvG/AVIvTXgI9r+GtRebYdT
voAPAY369TsOBXP7lt8Mb/Vk5o5dtQQn52AcD+xGNn08FbkDAt2IGkrrCwZtyPnmiGlwkMcmDZSM
2Uv7nnCWJVn1jKiDoAXTUTsm65kLFG7XUVV1iwDtJeLS7voGAoXwVWqO0Q9vHngYkjvmktQYlONA
52Pdo3mv1erEjWOe8nm4OrcQiX3ZQ/Lw7u1+79EDk3WwEkkHCp62VKZvmlbA5uIWPfC/SfN9JdhM
bZ+GvpBl5JVZmqnthWn6SPoVOtPd7cVd32j6STp2lU5Zb54DpClhRTmbjBrAUGOv5dlmlJQuflde
tHrbT3rPq2m6tflGMg/B974d9UYOpVNMWmTj+p12rTcByVqWOFGVfQ9UE+eBNLULzpNzvO8N9okk
orI+g2OTc2rvks9Hg7RrtDbKey3QQmmIgqSR4h9Q6S9vZesasH1AdazvYWAP8MVw/mS3zltOTuuK
qrVEc9xj5jKVGnk+XWmErBmyyB6E8chPLy7C2TRoRAb9JwCP+Z+s5Rb7ZAqkZDsvRxJJ4graiWCN
fTp2fX9qF+elt+pnstDudiOjLp31W3jaa+kSJKCPwRmY9XkMyhONihn7+pbkgk8/x4bQV/bb2PcH
f1uvAlfzMHDmNR1kTS5TtiMpyux312Jtj6P8GBtN/Q8iFSipXUi1IsHipYRv8smViIIJR/metfK6
lf7VloSpiAbnWh2TyhAlrv1EghLLrXVoWY6qhWdLImLj+3AxgGzGSCuC+egP9Z/dQwxDkR+cSULB
WnFgY4aVoLgvgkkcZ+YqMW+F8ZQX/ZMiMQCANCaUo71ffVt81bfTrJozDxwXxusipWk/l2bvnjt5
Y+HI0k0l2tdPry9+ETNIOWOuP8XUGMfcIwp6LIkOx00JjwIWl+d5K61k5Fh/mqxFhvnuBqdKeM+Z
OzyxBtdTjgn/0glt8SLSjaYPzpU5NpWXqVBak7gXJpFNhBZPB50vKtW7fmaj5RTP1roG12HVoRs0
gHdBYkhukmgYzA/b2qQYypPXJaSHu9r4PGIgzSeEDGDWRUpur8WP19lfhV3eV1bB7dDj/1gZoLFi
eq3byk3NZs9elmq5ShLWYT4n8QbW8ubkAfN5TX2Ne/DLzc2TOTsuz/EscUqo17AwlxQHjVPnikNg
ioxPsbfvTSPvD4s//GlJOUicYR9vctBXiVkaD3DFJqMpanVx+gUgz7Ce50CCIhbvbkVOilnviY6o
OOSkTVwt+G0HC6tX24mq21kqNf/RH63DWIr1eeWrIwdL4YrCMer/rrLc+FVjmIwGxeNV02w6Vk9d
vU0lhKCc6Y6n1FG9eRlc4Ye9kpCV2PIUUbXV/qFe5/1UdNMRgeJZlVl1mGq9jPJAk6wqtZTLrI52
JBEoCOyAttCe7T8E7kwc2FjP3W+7bj8Vja3RCQ/9tZ5LLdoWRRSbcIpvXNtsNAHz3Vr23AlL/WbY
6tiSDhWonYtVBEFiDtMLwZH3fek1f9Ta4ly5/RJeVSeK3wdwoKsiJKDlRW3WCdjESO0iw+AzJ67s
fiWoRpEh18t4pgu7OKWTp5CmWzjOufWZdbMk79MgckZjOSsTv+JkUo3VPuaaGskHGgo3mrjXZIl+
f+scEWMTI9N2lvOdmbcZlIdJ8zLrZZhZ2huqiNv1vORxR3Cy5jv3i455AbBG+6DnUuEqutXkvqP8
E/NzKzT/FIzVfl6V9WavuvzGfoOEnqyBjUiJebNukW0Gfiy23W3qyD1rJmoK/jSaejQKr4SdXabn
0Wkfl1bTaCAJltjIiqjW8mMcrCEluqA797v74Y8onAG2z6YG/MLgUsVmW/e/OV7t42Js2ZfYjSGB
gyLYDO+7RHSqOLgoV0Kf4J2oqWx+2VF9Bjky/1b3tSuBFtW7DKYlRKfs/7hYVMUza/zQKaz6q/O9
7cVbNECS2f+EWpcgro337hFGFGuZq0emVwgUDK0OT8HwFAi2CS0LMH21by8RX5gIrdWq0p79N+81
P15OB5M04q8cqu9N17znIGjVhzUqgmeA02u9Qs2AshpWRRpN5JfY9tAUD3Yo9aG+jPveHdEi2NQI
bX41UEWQhl5FGvhrwoKjewaOQIxg+sX8RJKHf9w9t//Q9uCIUfz6qkaUrMTXBSUymqq8a6fpb1/5
0Nd2nfYgizE93PxWCuPitlZwkMGwxQ6QV5Kxp78KmusYMa6KCsdk/KJ1woS0wD8FZ77+ThgjmUjT
uN01ALPHpTPW2Cv6P3WO+SURlqXxKKUyXjggR4Cx2UKM4E5LUR/sNoeraOyKy2vU2s+e1eUldzcn
rakF3/VlsLao82sfqMHerJemsIxvBiruN8FCKDv2Ww5fVvShxticGDI+cxPjQVgnn/K4UWdv3rWw
nPW4tcyHjEbF4r1tBzJyC1b1DZVHVPilygt0SwZzycsAI5FWjcpfyFNilnWl0IqaVr0PwX5yzeUv
ayz30EvsQRr2ZQm5oTc4hRCifXUCNG36gW/t7AiI9oBONq67ToSrPf9Wkz1BqcuZGKrMIu2ny8Ih
67n/qu5Y2K0Mt0xOIZxbfbQADcJiEOrckvObDda9KIQFJoTJeC1d/1IWDRjhxL6p8gIwsyKtFQk2
iH/tg258z3VBwQQPgc9y9sbUqQnr3owzzbbA/CW2PuiDfAzYWd5ubeL1iO1bnrtmWBFKBaYRdVor
o9JWMXxRz3FSOiEApQrHnmCPvSp+LwHmuxT4qe7zETeBfFu7tkvwfIUMKpsLbsxbDJgNRLdSGsK2
Eb2Ve5I7se5OXWc/B8AlBze3/tTt/AZV4zxoLkmoDX2KOTlbusJBRoOcYmmjN7KkM1y1gWziYdfM
d5Zu5NjUTfO2ToT2MMvkqtvwxRcGqVZWBxtSsFANTdExWSM6uOklRBScVlR2Wfm3GozYWD0SBYE3
EQO64abjEeSufvbmGfVdX8z2/WAHUzT3CBEdk5z6YkzQAnRRoVUmX6kCdRwLtPlz8zbYgjAZe87T
HgVhYmNoQtHtk4Sgifpa5Rwu21I1aaA7/b3rZ9/6OGA1g1X0oViq9anfQCGD0TVugh6qHkMGD7oU
9+26zfem3kVNR+7WPg63mYm+3ZsiOGs4P2JA11mRpxQL+MBb7tj6/u3oN2pD+zT9/SuX7sEzxvmO
Nhftg6gga/ZT5lcqgUo71MWP5vdYHLqjfmeMQh77anjEi/rSrgXHY4HKAXhBT6WkvQWmsw7WpA5m
5xhMq8SF4AQuUKGf9cp/c7wCfXy5f63e/Ceb8++uq3h+Outpnq4IWd46tZPtuLb5b00zMSK169NU
7nuUW94d8pxfvuziIQi6Q8XliFDDl/dZZiIUanXjzrblk8BlKtJGoUfTTFZfWPm5fl9lHTq8XXuc
3V6hNGvWnStBZPy63AQ96IEsUmxyxtPAE/x7G4p/VrXwjGTLho7DHIdwsWvMcwqn+aw7gUtTWRoN
ToQmIq21s2oKvG7wYrMYWiJ0zOmotLXHnc6tDqLU8iGS5qAXUVex9DUXA0yP4SdNjuzfltmvGXQW
6kRVXZ0CEg8PdtDaqdz2/LLos5uSwvK6DbiK4aHxEPizeGxLzUByMM6XvSjds7QIvDHrrTrPXbal
5PAOr3aLUsUfzC96eHGtWpsGP9cf9j1XkRq7/M5iYhfNEOxXRsZ20u9YiVndCjJEKleqPFtLJ7Ya
MXpJCoAW5qu17DiHGwwbcqYQi023xKJNY71FvICNi6wrhZWYRZ09uGDCKPO3b79hDN+YHtBuzSdG
UUvQLwY0g9hOWHOBLS7qHvyOsmIsAFGr4Heg6ySk+x7cZ1MA5UqnpQwa9nip+OvHYGGcSJNFEhWP
a7OkOAHgqUSgITsUkRYdqkPqxpPXtJDadaPSm7I/4TQnVa1x2qSuyoPAcYtmyn+ehWYfaIWZuFir
+FRVEFBJ23p15armFlroFpCPBReEVH4osUWLTVR1JFg2kcbIO7zJ4i7eNuqhC3N5HCsi5YaBqEhI
Qv0yVf10Hjvrp9/nK+a2pNfSW5h7eW9wuiekQDePYuBr7G4pZ0FlJkZdL5EGVRa6XTnFFTz3ZbHF
Y2kCN1Zdc81d773zg/FAfd1j1cPjP65r2hr6AU98RWCVQy+D6Vc6V2wUNMBNwMfp395JSMLpujG/
R0idMeG2YIJJg2Of0UaN1rThMhX8ejXjGmuMYIs5lR09O2LwAQ9eSYeiZTsvvKnRfHMa0eeJMxKH
Nqx41bfyxHfpOfhc9o8r5PWpHDczpoW8cES/45rRpva8JrRaPMlM+aNJjUvI26DfY75tHvx1YYyy
c+ky84XaNp43oZ18lJq7cquoR3MT0Ojs7Udva4xNlmXxU5MZM2fns0mqNr+RmpLqPxM9/SXKB9rB
CVXtvstwZiIQG1m5nAtsd0PHbr/bqQueRK7xRfoOdubojiAO9zeIikdvDyYMZQwztkY9xU7YC22i
8XD86BwtdmtvC2lwxGuTFf98o78fd/NS+e6XZZhMxb8moyGH0v9BqU2QoV9uCZ6xxGk3SMlFGxlC
injv1Y+cMMurtep30WtF0t9G/6PUUP8RZljvPrOSnTj5GDm+QcLhTtkiMjxuxONQcEBHIyrKFczX
9h6aWZkoAAtXgtXiobwomnLVbwP/Ejc5wHsD/yn7pB3XdoiLyWOv715kY1wGHcWxWNndoBifU6Y4
EDj1TMrfbng9N/TWz3dslEkvGc06QO9OXnNZ9yxAONWmkN3h4BBnTRQuTC8V+fSq2W4zpo0P7ZkO
WrUMkcWKrbu49Agbx4c5lylCcqM3w5bPyEEgO+AUvOl3MxKY77EiQH66ywzkdMP8X9fN/6/n9f8f
KZYweLNZqv+fJ/Gv/9av8X+ewv+3/+K/TeED6z+A5BilI3xiRHizlPjvU3iO/v8AwrtRbezncYpj
v/3fPSpcRu0ufwS4wl4bTc7/8Kgwnf/wrZtexiZ7CsN0xvr/N3IlPLb/1ym8wS1kY8iGYRk/EDDh
/+ajhcJPU33X6aelN4cPpdleONbbH381a84OrU8KzUBoSVjGs0dyxjhK9ctVoscXWXvp9WFkWOPS
DfjefrW7WTttmeVmhFmydZzbXvuaPa8LyY/S+6PtZ8QpIj7Kx8fWczbrybbLysQMDkWmd6KV9M37
AFVH9zZSMs9UH9XeWQfJ5S6vvhx0j8hgtXCfEo6qpoYMs4x7I+Xq1ZGlymUY+rfabydnDb0W1wY6
jdVlGWyC1ydeodtjWtS2Kc8T/TTvMjs7/K7hlDeAiLKhmz173Wa+21s+4sSGGXXn0C5nq3/wTZQj
pxmCj0BVnGM4orJN02ZURN7N/bDonO5LtJn/N8e2ky0ng/+xTwZuTeVG/uiV+su6D1gqT/wII3VW
Z14wX9rJCHaD4pIJAw3uMnnOmLIaFhSJnYDaYDp5bHJI4LXF4jXEBnk6Cm31kwU/ys9NOeTpkvt1
LEew8ZtjVrjO4tqzMTgKc3kXXWkdxMSEwWD7eKyWvGDB0OTFR7mWbM83VZ48f7129oDOZJ4/xrxp
WWOMj1azcp20ip5C5e4f0r0XhtLL5y6QrJt9EFWrdcrX6n0FEQi3wBBn6J3vvOyGxMqq+WWn5SSj
WuPA5iPVLCIZaJmXw+gVXuqbRNAEwbPay3fmxT9YwUyge5STQZXf70VPxTJPn7iRnhvVtcdqKmVM
BlnM0t7EzV5ywkrdSId+fyzypgsrk7kCGCzdtNYldJH/3LJ1r43LOnkJOjcc9VULg3nGxsvK4go9
6MFWNvL+XT2YwnJjCvk1wneyRnqqirtsroerPy1mAp2nnzwsUFNCJilQNFrWfez973I21aFRTvnt
F/0Kg7gRygZL+pzLjWBpkf/LrKx7cLTpBbXx+tI2W33QZYOXKizokYGhS966znq72xyqPWdOJ/DR
E+dCkQ6DGaR546CzLbTgoNzlX+dUzQnrjS7OODtCUkPwgcXE5LuzbiJ2FhFJnrNFCHSuqK6zmnBs
J2aqyIJAslSNTxWVu2+ur4bDBGWoq3f2+qd9b3FzG8nFdibtw8G7KrSqVZyL3qEskHb5Y3HT/Z53
D7XvFIpqwYxzVD1Rzrh3VHeNqmY0fBNv/Dz4+Bvbu/ZDUhXhQcoH3gk7NoF5TEuNGndrVu1ISPv8
jOfL4r3UBOs+urpJjdRnQ3kvIW9SJPp+knmIEyKjnsUrWdVTNOnGnjNq7cxzO9NW4xE28X/jwar2
MFumPwB+xNFmSj0Sj2dESvFY5MFtsuOv6/aXPYyuJ7lnb+d5wgaKvdC2BATk8tVE2ubqa9Tz0zLA
G5fpx+h7lk35kuHUs85zgTBqDHjXlgBvZVvvJRZRvjN+jg5Pi0lnWOypoRr9UrRBc1hKX0aUHuZB
JzKMBPTl5G2CfrDoOCXWhZJax+UA6clMd00DQgFhJRk1GkQiMez0j79W2K53r5TrfS20L16pD6pb
nbDbqksail/yhm2QQrOKh9oUl1Yr/+LpN8Toqcr3ZhAkALvSKa9kBSkjxDHOinejMR6x3Hnra7Py
w5vq4U7adXc2gimF3Vd3CtefZ9sKtBfMV70vs3HKOK+CPtqbYCBePi9uySqracL1tmtK0aFf3Wzr
kimb8KmYpumeEXSX8Pe0iKD07TDc3loGgSQG7MpKs54lIZYrxcGr1SPJDyXKvpFpol6YIRnDt7tk
95nHuDR81vYJtOYcbdUEfwZzfPLoHZZwrCx1tPzplwswE5a6riUMyE427ohxhYmNFU6GnH6yzrYT
XEC1yzY7Reqr2YhbfQ8S2a1MU3Mf3xDb4Dzwt/ty8auHXdPVdSsDERJt5cUlLH24Ep0cKc+cE/iR
/FAE7ET1xfSjQIg5lMZw2GhDOYOnazBzarFN3MIbHh0hu2tPIFJ4Ky6DE+bG8kz+B60GisWks5uK
hWYXHHu6Q23rg9OgK5RTxqpTBwbNnw1TskRnEEYrqWkxgQFUjMBKOD355vgalCKILb/aiPiqg3ic
+lNAJitOAfJn7b23pvS6ZA+WOdVHCWq4BQg7mQjjl7AW6Tw361mr+r84d1wRyM8XY61rlog3nwzT
ax9MKpM7E9t7xrabSJdy0k87BP2RsWcAXQUapiiekaxVgI4+v/NciTo0m4rzrnd/7zt+D61PNHRR
Tb/xsKsujsyy0NjamqaX9p9mybjjGRjZQTBwXarqhzixICUq+TfBCDVFMk4g2AU72TXrjAz3F3Fr
1IL8u5HGEun1NDxmlZlFBbLS+8X2FZe7yR5Qzz87w/nBI+OfPZV1WjsUDGq1P5phZthYjf17zcw2
3Aeb+h2zkJ9htlkCjaKK7ds21xuX4pGgHfEUmJ086b6534HJ8DF41e+5yfSYw7Tj1C7Vh78x76Kt
esHajzVAjl2OWH3OdTLtv812MqPGJOF9ths3FcrbopY9ajoKdGGmwVp32na4A2v7HgvGJopAh3AJ
+BmWoqoYUPf+O568+2NljR0f6I72PSw8Bjl8YJIfX02V+OS1ryZsaFr/tfdoGBZL314YtJ7cGgme
Vgf50zzWy6MzZeLTE+4LWPsSdXV+T7TGeLRQBljRWgiZOCNTnxA3KvsNX6UlWh3cELbJT2xMGc2o
H72cb1otdIQ95imlq7DsyjsTu6C1ZYzO9xya0ugelMGiVMfC9EiUr/97qUb9E0Dsj5DZ9LDrlkbs
NKOZowDpeHAaV2HbJVjV2rpkHESPHQWmug0MHIcnQm+eez9wnhc27nrEqalRYiAbjRx7rH9YWhD0
youa852iQgIa8Qb3IKXh8Mq0mIYdYef3OZrhiuMttzAs3ebIm/Q7vEDFr9EN9O8278/1QsZnLLoi
j/rc+lu7o4NxUGn+MXJBM7sjQLiJHuf1JJdu6MMSp2QSnp1t/aMjBo1lN48v+zL0J0S/3lUV5K8H
rfu4u+0lw9TCixXXwXqErhQ8zq7y/ma5x1LWHL2HYHJKvE0H+2rMpRMPzYLFdmnJSHaS1n3occHq
Jqt7Hix7KKONj+J+rdg6hHrWOaE3yTmP98Gfmhirs+2h9cv6kBuDSDNvmVL0S2Yi+bkO0+BqB+FA
fRx6ry4/OM2qD664+Ve9rPpLJabsqAuvPOnOQsWbscUl55LhFMtzuLHNXer33CzFdlEa5ESwQ/0G
mskLUegLmEpZB2ezH1hYICuuGNa2MnZVric7g9enCfTgg7n1/NeRC7bxYxewyRXTg50Xw1tHwlrF
+9eJKbZ6N2asBNBPdbW/o3dqGOc7zri85tg84i/m2HMQE2ZkuRg6SZaTEDFThSDQvunCs9p9WzJ/
d3/lFUr6WPkrN6s/2wEv4gAAsdHj54ld2e69a1XFp/LQ8lOszC/13oIPj5ggXOt2LT8zplvpkPmN
HTf7WuNR1uqxQKHLpsOuND8cm6X50LM1e1L8qwiJOV6HJnhZGmpjwL75u23aLtYKT6TuxPhxaClJ
61b1Uzih0no1AMlDGG7zsPhNdYfRap9uDUOjLu/rSGp7jWncQND5YrTLE/Z9wxA7O1tbktSrRAmD
MXO7z+FtZHecvTV/NKWVbc++J4buYc0LeBFyAfSeeQ8yCpNiAaVosMGYzDPryPEv5WaJtVBYef1i
v3RTDjbCMbaxkxvGowiKhkQAsan9Uq+2huGBMGBSJCMPayw4R1e2FZROrnWcClgr0y8bgA7Eyt5x
qHgXv3HfyGLEaFl+VyqFOzyP8CASExoZ+nRWgB6at3D6TEN3pyZNHtEnGs9rT2Z6Y/TaYXfcIlbA
0Od+GeSJrSf58JNV3rEXLqPMnL2fZujsP3p7s/gaShCuw9rI15GcxvLTQIQYNWzB8UVyMbJnr4e3
0uj7/zpf5kd3bijBjalgI4og9n0Xi56ULqdzEow1pq1EUHzpFNaXZWNcV9Mfd94tCIa/9ryb/XQz
5peY5NvN87IYyAFZ/0ZmY8vYYTkvQ6MgWCevRsY6ekZ10MOLr5W6zTQF2I7d39BfAzKEKjJBwhLA
WxkiybnrKM5RLK9stZO59k64U6m4o3F/nvIySAeY5C+Soe1jUw2o5zH7C5GO+jccqDiUOem0Q+f4
dxZmAHy9Y7F814GmDszYH6y1CP7qZM8rfpJwmHSTgbq5Ef5W95RSc36H7JUNINjyzf7O7VMZrE7S
Y6IGhrTXemiIskiWrCmSANEV3Qgzt5GaPuwC7Ku1knWbBhARAa8w5vVZVUaoFbfIFsgguls2RBt4
2sNk7dszCWDH26jsCpDQYjcIMU8FrtVJvUH7SOnaVwTjJQdtz76703h3Rw7+WQpWNwVMwYAtwFBN
iktn2Z6KSQ/u1ZpXCe6C7rFySyfBV48Dk2zCc6kbj77fsFYbx5UYJJl/jTj+xm23ASJIPBbv4Y7Y
bDV6xew4Y71VB9ZnDtcYWsuImKZhE/iJpcFnb3nshpR/sB1YYJhu9VdfuVhZQe+nrSG416DxRLLt
THPIDqbGhA43O+Hlbuzu9Re4ZZEg/C5gfNZf0qeJyP142/u/rah/jYKNRm3OepfMU8t2ZrVAIWEr
wXWD7CxKTBmqkZl9k+ukA1uboUdau4o6GZh6zrm99neAJS1Py+gdYJW9yMSR4K7O8+qR+YOux7O9
zj5+17q6Hyfqbch0M+5v45/VHyV2GX2d7Isi8lv4+r+lpUUT0FxH5slzvGi9+SQmj4mAHP5MxUpG
bANxqPuVx4R+jotikyds+uDSTA2YwGvUE2tMMLSy/6ZfoxTbWjaW9i6aE5SEqqJcjduHmrIxZN5z
tbB1eKeUei21/oYLTt6lcDFT7dedwrErTtmy34zBZm2IWzX/Zvx5BU+wwkKY7/j+VpFQNnsfd/Cj
hVzHD2hysIF+wJJT9xUZsZnzyqLAwZezMi/tVtyBWH0CHY7HbSxeBtf4sThJScmjOmpz2b4Unflp
FUZ9wjzA/js6EOc6Y/FYas37SiLQj5SNtqd567tTyNSD4nuVGHXvbvPsb5MOdpoLI56kn/1W+oxH
2wqTz4BiW54hu3am1H6G/xwDiCV1RnsrKf4x+LLr1TlUsxU8Q0M6rKwtp3P59TJvxuDshtltN2sM
vRrOWImEy17mK61Odhv9S+9aCQdTAsbMORoSjUUfRAL7EHOv20T5NWwfUWgS8sj1T/wDf1S1/o+Z
m8+26Dg8/LI4B1KvzpvD5WpYy5+sknN/qPCoSFb35qHmoWFw6vW8lx6QhG68D1xJUW1MrArM2yxQ
tphwBbMXegZLbd4JqjwM5A+mQyWcj+Z/roIHtRyxnD96qv+d+8AuPPBRXUq86HLtmgW4RSLu6RPR
e2dpqCnFTsZLvMqtz9Jh/NcH+hi1lPqosFlgZXZ/N+TqKRDjX70peeIzkKpgbZ96W7Yxgxnv1Nqs
lj0NfpbehQHi3mgPi2nje22PlynTZLwMLhgT0r1DoRNFUnbwa6ugORuceTy1iKCYXMAsQ5T8xcow
eJo1nTFctpT4pWy/qxyXTPQ/FlnFQxkKkOLMgc1YfKdiQYJTaCTmbvnnjJ564exDnes6Q+Tp/Xwe
eoZRuiHIsdDsaz34IJFWWZrJoFfkPrrt1Z7qMcp2y4aEK5cAF87caEAv9aI699yPRrB3aQUJ+TUa
XfeJ9s1q4krb9z+VWeCQZmyV9tW5zfCAuFQ7Ci68IbQ8byXaRwx3XkWLRBKDKJDU5pjB2XliNRt7
yKzm1cpl8wXC4j902Jxc96mY/2il+4NZKnuaoNDGc88Y+mknzAmvHm9poaP05c1fnfnRNAt7vwdt
BeJErtAdmII25CdPloQIDdz0Rmx6mJOWayxxSR7I19hkWmK5Sb+QafdGicNWREaSfSwz9brlzhsV
AoBmlndp3m/TkfcA69thxFcw8N8XxFqhLFrzJdexwxsL68E3xuyrWXG9gtrwIwPV+w0qQHV4WUyK
GvLnGK32kyou1BDTijf90EXYO7vz2W45f6BqgAYOebastyFRXYSImnpqmsY18B7ZBeXd0kkn8txu
eB+k3V/63vdZfWPgo4ezzoxvkyKLNs6FT7cjuvMewZf+qvgL3BhSYP+Yq4kMeORJDI0YUBf4WgLA
WzeuzOPpYS8ul+mw9C1MqpQSUw8GPOE0zDkV07ZMoWFODWjxdKuEOGU+G1jr3zYrL17tWUxH6aMS
6dmwU7T6t8T0XKtVhNBgfXFmOTF80iuSAWnDfL4JLXhHpoJVbJELVml5RgA2M7XteavUWkUWLxrq
LNBUCnoa75X9dUQJ2shYWQRaUF6DVPdPG0gTbJWrnyUsZ+zIeTnkZdY/rbkyP4SgAo/xAYfRHhzj
cew7A5YS3ACEbeA+5SzrHuGk1Ydml/PZKnrmMmQp+FfMmqaPSmr6vY7Tz8EE7wloXkfracSN/hkF
AO3LYGTBBTra/N5qSDega/VimhbD0NWceUu7lmM1bBy/RfQ0FljrOiO8i7fY3FjzwlQwtIYgF/dM
+Cfuk4BI9YswyH1JJ3dx+KYbkWTTkIt4rcbHPR9tEbqbNBOLMdSrvnv5Wdgclciyt5//wt6Z7UaO
pFn6VRpzzwTNaNwu5sZ3l9xdkodCS9wQio37ThqXp5+PyoqayMjurE70XA0KKBRQWSl3OUU3mp3/
nO9kjA1fAyhZIU8KmttROhosuCC6V2ES18+9Y+O3NnjqhqXiYcYtteGwE2/p0Un2lTF45gpp9Lah
HemoB7PbVq2TnipRwIpJXWGeyrkcPpJtgFUD1D/f4D5Ua4fkJMtJZzxAt6ku9jR4hzwS4bbVc7Uf
WqicVoXjA8fj0J2hElkvqLcGD7GhejTZ350IIOC+69j9I2e6qDRGdAVCq9cemSdE+zJZh1Wbn3uM
iIamtIzFKTg4kd1tDFBleDf5aliJpEarto5lJLz7YnTG4zDZ+sYx3HlYOUG2wUMuuGl8d43e3Ny0
2JcxJrnpCbbI58IbBQ7qydwl3vQWTnm0loqYbeAlyIoiyNHKmunJiK1g5zYi2lZytnAyK28f6apd
62aSx5TcDepsWkyA1Lx5E1mj2DjCdFedXbKXNefmNc7UtOaoQCNGMzrMknH53HsuxCs2elm2KWyp
s+toRzFkTB42ib2gb9NZpyeDue9gM75BY4USOJXRjjAnvvVyvtjpzD83A3KI43RHjRg6sE6f/Fa+
WCGLtW3Q9qKsGZDC+OYXhKD9kIHHMEThpjUyjHauUe6kSDFnqnyvwuQ6ezjXSwh8a+ym8yoM5zvS
zQS9kvq5auvk3glBWRvywMaq2+tZ6U/GyBhEWsYLHldzZ87skEdATPtK86AGPvuW+0n9MPT1Q1/i
jFmZpcejXSwHwSgz7qgYndYQW6NjXZiS/KDxVRlufy4lxWAN6/8KYFSD0OOrl26ADhrm40lX1Xhs
svr5fRb7/3og/f8haJPR8F+Nrc9lQfPSL/Gx95/5x+BamOo3ks0OBh4EM6CaBJz/ER8DwEhPgm+a
oDS57dUS7Pq/8THTpFjehD2A+OIsKJUfnE31G30LMDtBDSETwzb6O4NrZf3SFmOC+KTOiv9YkJL4
hv6S0a/YrcsgmKI7t6qQIDMjR6Aib2+vUZ/T6eBCBSzw6YRRAh/Lqs6hzAw2kGH0tUUTKldumMtq
DeavHo8RYmaBduE6X2ZkkG1exAiKKq+mU4kpL3uOZ/aPZTubXxMrHP2V6FN0XhMK2rTBVq2tfWw4
5UeiLa48trWv9Q0e2mY4N5VTbCPCvUxIly9LOjnpueI0vQY+3q0wSp3MfqriFSjFEPdKMXPumppP
upeQ23hgHpUeTaZmiSe+QWDAO/LejON7QcQIZihwJCknis9UUw3HPuvdg9H0zVGXeYLzgwnGg0Y5
kUkvN6X0n4dipOLXyDpOr2G5/FaYyp9Hu63WeIMxvMPYi3z2U4fF2S0EzjARdJu+zBLcqUAOOHKI
QuJ2xrjUrmcjwMqy4i/PVTbnXmCmiu0bBYDsvq2GxLkdhGt/4YpMt2nrJ0HzSGvvfISI1xrq1m2Y
H2+TRqwqNThjtW+8Ksq2cpTDuUwU9QUgoLNJCLPYkUvIEUsGFUUdIOZ4jAAtkP6odO/ezgjimITX
osXwMG7RzgFKa5bHBgTZUeRkNPQt5Cm2a0RWBTSL9wy461ZsY2z1qi0pri0c+ntctcb41S/cKvnu
Y67+zjRUDtZFFhT/AbXDqoyAx2ylXbEPc1+qAXAaA3Vfn4YwTW8czq9cqCYNaChidHmMsRxaW0at
D0IwGTfjnJxRlA53LV33KzOOE25LPJebqUqp9ZJC3HgJE74wNOfdHMfpPi2jO8EY8NpxvooxEmdy
E/tNxKGq7kKG7p2r1sriaq9l4qHdgoTqtpmFXYGCsAaY9dy+lbLKvsiupuHBR9fDIlnzTOy8wMMZ
TJsR0SbEtpvWwpmvrDBbKPSJOKii/xQlSndrOOH2/dLZyzhXVSF1k8q8DROV78hHGntt0W/h8nbn
zLGqvZjF+FCUnVgstl5yx5jNxZ3kDT2DejO9XaItONRki0k1dYplq2JfYsYTDNy6TJ3gEcw3RTBj
MUvMCSUqeuN3JLZnktXoGVw4UduTX1fOyXRdgKBjGnyKmsjfAf3Ue9ySapvWaXHTC7f6CCfhQp+B
/bDc2Xdsr8yNa1pk8WpxnhMcZwCzu7VnIa96nCpITliV+b2kjfmOkXv4ElYxhLlaASXUaXZoM7xg
U+yEe2wa6R5CFdWtNRKqZMyxR2XwP4TKYOwHEveECPI0S/OusBKkCzIMJ/YB9onEDGespB2e7bpE
+k3ScSDRYsnXnHECcVDwpeFqyEzrSnNYvwXZbX03XA/XecfV2KUzPRh9l32BAuMTBWUEtDF6xoir
lOP9h8oaRnY/ri6/KG8KH/HEhwhTaWN/RkWP9wUJRl6jMo7MLWAoAuJd1bDBj4NJ9iMdSSHSmMHG
VUNUsIrQOzAJClYDyiOCsYMbtLM5za5cJum3wo/6xy5aDHdcn8d2rB+4rclFyOnkDwiqdhr4B8ON
0CQ9iwO71xgACX2VQbN3iujez7z4oBkof8Ul428yE7DoqiJh7mynUpnYw8UxcJJrlzfecQJNuUm5
uz8Io6zylRgmSZjGCjDPYDE0UVWm0SZ06Lo1DSkQglZlb1qfGHchpKIRbcZBKHbjVN5zCh6Yoopq
vnLgitfKbYZnvObFyraS8iyzKoVe5I5fjBEmu5ZW9z3Ev7xO7XrellmEgguf7UWS8bubRezf6dGb
76eCTbrIiBlL/Kq39M6aH1yKR9J1SyFFvSvLlp11WZtvUBSaDdpbeU2UUXaknCJSwcAdVkp04XdM
rOah0IX7asluNjYzt9Z2ZslZR92kKWAJowG9kpXfG9COXE87Z0kvCGM7w9qpUMiP4HmqW2+wo5vS
b6r7WuBj7WosSdvJj6Zv8URSil7gOlljkoo2rTllYCQEtv5ghOoqhJbHGV9Lv4Yv8Y2ThrUVY+mv
LFuWZ5JyydpARzuBqWUq4Rpb6sj8c63pEF+RKIyCo+UY6TmiPGeDnTf5RO+GfEwohzy7lUfidBAt
+RIn8q/KH3F3e914LJnTqBXa8LDWbJ/vGl2lz7lf1s+hVzT3uJyDpyoN4tt+hJoZDd78UTRq2lJx
T60IrsdtMHWYz6k0hDPMpy3XYyfN7lhksyZO6PYfmW4zn45VW2wMOnXWjs1kvDYj834ZcVpb1wN4
XwwGsZE8HaZbO5nypf+DGZpXKovr2A0vasSubGuylGQHCRYTB5xvRCycL5LXN9ZlUMT3oOsGTKCm
/zzNFO2YauZB7xUmcJQ2bOOdE6fOCZdH9UizArKcYTeIE2HgxWrjDeOpr8tm11YKQfzfm+P/Tv2Y
hO/0l5vjy7fPzVub/nF3/PsP/bB12r9hDFXqZ9T8j93xsnG22TM7+DTfKQn/3Bxbv7FnhryAExR3
v72Q3n5sjs2/sxmWv4LUl7pK9pqcGHlqcacuLtOfaUSZhc44BZE+USLi6+g8p42U3EWWqpOpOGk3
VlOVkzrHU80C6FGMFafDo+01zrGdu+BDlnvBjLhjyTMtDs6dbFrnNIIlIQ0PWwhGCnUJK2k1hDfn
uH9RbZ5DMHfrZKNppNn5nRdfJPQ1VsYmRJXWM8NmgHNrkqvWpcPGtgbyUu9M7eX3aWoW9+ja/ZXh
OCZ7EOjpE0n94UYBqmFCAtXyxawHoOBmZGDfhHpypRItvzaye3K8dD62EMkJ17jhvVPb89UUWXNd
KL87y+fXn4MOj9FgURhSsSsc0YZBO4hxqyJFQD1O6+yxJ/j65rp5jXOyDEjez1Bfap7i9+AGo+c6
T/tpzYJSbSxkqJ0fuez+7Dq62qODd8FUmu+qWYzIygNP+br9mGNhRFYH6soGgh3l2kQKeSw6iidM
MX5Ox5HYlKVTFgFDx6c6LhIsQJXdfgJGzxag5m/4MUuT/OLhP9whRM/MkBWe+og9/ybTHv47DKtA
AAMjvpd+mxyMLLwjvJHsIFWkABlsrPDgIA/mULKdiIr+VBgiJh2cOzQeooJ9YGXsdykQpHVHTvjO
I3V2mGRdnN3aHE4siNOBYlrrLVFWeUN+svvgeDIbWQaNdFvIitlYE0nvmLMknQHUmLtauMYGOG7x
YHSm9aGbVPcKXCT7PsnWfJQ4wZBux+Iub23jYsUuvGCze+FaVRMTnMJnyfXyF6uJ9U54ixjPWr2l
fQUymmkbMCGa8Ws9tO0dIwQgUWM3rn1rmR8n3DiYHQ3f/wJPoKdbqhGIosZswTmnhjndKnYXD0Wr
zXTl+HUHajOfV7lZklwBzEfaTr1pqb3bd0osXJTqohoRrpnuE12QOEaiNhx3ozD8cavZ/J6qGXRR
FlbegUdo9i2hvu/erCBcxSnSSmonVbVK7MD4QvTKy1dBSNHZqh7w4aw81+5vmUO60GGi6CbmXLli
rpVsFs7OC6kn87kZk/GEx8TcRqrtz7FbMckoq1o/NEY4v9aUetkrI6vGW3x94aOvUvvOq9WKY1O4
19ot7mNA1FepORumttUtVh3afLknGQXZhOBnhusYAZy2Y2DZEv8dVrHn8JBOkuAoCcsebQTNbAVc
gAk6OwBOuU4T5E8sIxX7mmw+4JMxcffl9jY2KvPsRvgR9gzvqzXbLZrh4JPc5WEe3jWRkhundqxP
GY4QSGIECJ9bGvXCRUWaPjhOaoXrqsiM7ZyI6MD+MqeSEFcZNcTuEKy1Udt6V1TswpOA0TiJ2yLN
LwY65JMrqFDEJ1dSMajqOmAliSuEsbz8SrmPuexR8/Fsze5iUkrtOIV0r40nxoqtv02E7QdIBsjV
Viyw9wEkq2nYI2FBCt6rxgemxOK5aYOiR7WUTVXvMgfj93gWhFspN0N+z3vI1+xMwtxfh8PkeMy/
zL41PwRkcybnI76eqrt2Fr1NACOAvxY4AiSUkXXnwWioNkrLdPjQJGPofVEh50WqZ9zMHOyPOSgl
CmC9ihDlzuj7Lvk6IXOIdA/WoWl4cBFY+LdIxveIMtG3r1S6bojMNfGX7uekhrRM6y+zHZdv+u3r
H3cBv//ID41M8Kgn0mExI4Z3qshi/FMjk9CMfohi1IqaLoMyzmlLpbJg8/GP5z5lpCZKFhEDDxnt
fUvwd9IcElHuZyQiihghE4IjvgUEVP6J9xh1atT0ZVtnN2jdp2lQNqclYYDrx6mBFJ3XNdGr8sah
ME2Qr6sxmDKQ2A4UUO972dYnurZ6+UJnSIq7JWui2xrKAAybqmbZ6NlkP1la6ZcuzZtNF06sJ9Uk
WY+1x+Ow6nBtjU5U6D2DEXHt8Sy+FjrQd3PjM2H0jGI5/8+NSwQhaIZdTPr84DYJAakmxQntVlO3
dwAAlkzneKCtQ6YcNItO1nivpsl1dtHoDeGBAtQZ312amJ8TogrTioBm+rV2jfouDm2NAZJGi7sg
4Jy1wk7NZ8+rfKKsE5aBeyynRiGtiB7Bie8q/6/V2pW8wQU53deRXU9HmjKgNuT5NBo32J8SCJYB
QYYVX+TcepCEZR98lYTXOUn1XZ0NcOAIOm5ggbK5D9pS75OhcQ+5nxX1OlHlHB5inlv37G4ohzMU
7rPqbKXyI8GWzp2ZLAdm2dWHQNhxv88DGVru3mO5CxlUYCIxN/RbNHS7MY0fLxaj6UKsOQIaR8Uw
t+ewHNZAJxKHmV1BQyp9mxmLbUXQxLrqFLNug5aKkc5mPjpe0lorn6qHLG78VVUyMNqx7DHe6S3I
qCGUkygJ0EkmY8epXLTD2m47C9UPicDtTi37FxoYa9Nxy4PZDiK4lQ3ZVJzIrV5uHHc+zCNExB3l
swODjxzLoL7pur6vzIuYcibfzALalihPvkoHCarrJUTQlPMri+tUNF+7oe5ykm8UeGTBw78XvP/W
wWdhpb5fqt9LjP/Uu3z5NvzH4S2vaJttvv2yVC4/+Y91zzV/c4RgE8iKJ1lB/3HyceVvts1YHCw9
Sff3aNo/l0DOSyxOto/8z7nJXtT8H0cfufRv8a9b9Cwg5ZvW3zkKLQedn5mwcLh4ISSvZUn1OIP9
8SBEeHUMlygaZQ0I4xaVhCvphE8/XZT731/uP3DP3Jdx0bX/+3/xEf/8Jj5Lvm3zOf/EHO9KbVTQ
qOdDn4LcHN2WIaGr3XWVqm7712+1pO9+/TyKy7IkjFzTfk/v/UQiLnO2YElozVRIx9SaMKC+ZTaN
i34RvjIQyIcc5MKeVJJiWIlZ/6/f/k+Xk2giWUN64IXgj2bzgPv5XAlCyLMHh3LSpBgeZe4+e3G7
+eu3WF7iD59weQubKROUcw4Szi8UwKYxpt4MRH2wxfBITdETKjRmPInJzpzrb3/9Zniy/vx2ShKM
U5CKF7I6N+LPn8gKa+WMaJ8HNVj1TZjmolqXvpHTLMnuMwPMpYKhBuAX1rgdbAskAVhnn8YbvJU8
8zgqImxJ/Md4yxgiQCzxacAqNQkZAhS0GrLBTIqVrAX9J1TbrxpO0UfS9NZnmeBr0G33vVBLk9hi
tnwi/w6RFTfUYsUprEtU42gGjWhtejxIT3QVNieE5iFcWRwrUbNqP3907Cx8jqfFS5U31gMmF/vO
xhl4dWgSXmkFcYR6oPDS60IwXqVnp/R6wl3wL3a6n+cjO+hznxh6Z+X5d+Vm1zJWXxiwPOC8zRmx
ePlNZY6fQq2I4+WJs0WUgnEHYXGTVjNur8VP1BRigxVi+IbqXh/dJLqrJgCOsc+UQ8m833IEdS4j
LJ61bzjBDc+0J9cQGBYjSkCR2RYYlAaaa/iPI4jezSSShKrYOnzsHKh4vce52de0ApchVI4h0Ic5
zoJtYo7RmWnMuo/IyQf0QdzaGB/TLRIoYTf24qF/ZI8NUi3GWvNYu1QPRGy+1liS3RO9nAnMyUow
yCnGpnE+Ksbmz1Gqm7uiFLwOYTH5WIqUiVET9wd2kUgGTUP4kp4Igpp53ZzLzMRLSi/oLh8gWLG/
T+6J0U7rZCjwIEy93Ok4M59UmWLk1EyqjCiW/StpP4B4a3MSJ8qvwscYZ/u2iEuxChzM5VHtAJAa
4qX4hvr0E420zUM1I3rmTXsKwDW+1rPXPSpoOweC7eIsRss55AX3AvHwGAdGMe6L3HqNkPoZN8ZQ
URLXGg+qjf0H0wmTvWFVzXkOjfK+z6aNbPvpHI4cMtd+lZm7ZqBornRsDtaxUyFnjHa8b3zV38YB
j3LKaZz72G13QWCBKw86V6x8EX5K+jSCXmY/jzq8UXmw7DOHh2pKPzJDQyjRibFXoHxuO+wo9DNp
ZPU+HB5oDRN7acXmQYCMP+B4V0e7auvbCZM0VN/QLu/yiecGdzRDZ1rGQvPBCurprTVKDIF8aU6a
cMYtdnW5pwUc0gBd4wVmSRi7aVC7m9qsebcwtUj++4ZhwU2iGyGoIrD1hhe8Ep0hROmFPt6tYLgd
GXus3bJHtMXDskc7wFib5sZKKkybKuiRQuwUAdzJBnzfkTjh1PJ2QeL4TyW8IYQSziOOG5HYs559
MQP+6zrzGo+TeZA0okO7PBleFn5IS1OtkLD4bsczieSyX2vM26tZgaYLBp2C6qDYy5mTs9HWEFhq
DDBApL/GoYdtn4qZaeUFoT4GRsiAyDAfANbsurEMCQgTni59wrZzysuGgVN/bIThEghtB7JkdVPu
ellab62mM6uk6nzbjru6Cq1H2678dSHSpjgWrm7ve6Oy3li3vWOcDxaAI0xc4yIwRBGkipWtqvkS
ZGkHQjmopo+l8LITC9J8FDStrRAsXptyAArpe8ZqQFVfU6gEu8KMToj5+4gHACBKBpZ4U+CTZ7ko
Lm3uHTMtP6Z5BI4oECBJvOZG4XnEDmgEm4DExTkM0m/B6CdrnL9bt5fqrTdVxXnA0ncV+qS/sjO+
eywJzl08oatQ2JEdnVw2JAfRA8phHl5KpEGGf83SkuMnE12xDl8g8ujjMv01smcx1CbC/KweoJY7
G0rLBInUHNMX8TCLCGPUbR1w2XxPnPErBwbjLq1JuLVtsU4bN3myI+Igkx8TEqubbIHcjooTAatH
5lE/QaZWnTIrHuolBqrRyDzjAFvIAcrhfnGFhZiqff7udWAnEDs89zFrR7GHcY3TXWJDcvUEVB5z
5paxNvb5uCxvy7G3D3Zn23dOLNJDZIThJ8/e5pRN7rHSc/l1NH4UrFwbqXwPqXHKHi3a59a2KSry
fF0qP6ja2TpA4587zP6fRu1EF6dx5ue2sDZUVxKOTaqmufSi6oB2Jdx5k5scFL1qKyC4xoaH53cM
uIQ6GXrtnDBojzwfh6NOaHf267F0nVtoHhzANjJr+9/3Ff9WNf6lqoHE8NOu6D/d5N98a9pv0x93
+O8/9mOHb/1GW67j+ogbP6YYP3b5Nrt8FjRXsiGFucLm+IfOIXD4IEB4NPNK93fWxQ+dw/vN5+XQ
OnxpAppg9PE3dA5OBr/s4nzTps0CtybYDJfmn182jRLjPoBluzn4GjMfdXsW0i4VC+kt7az2LS6E
Wn8IyTLelGYc9UfNRv8hqgyd71OgKymRGw03EAI1DaxBbwH4JNssqzFEcQhU/ACb0IQCRIA99BmN
zqMxXMJURNYG6GHwOMrCfuFr/5YJNhy81KPm+/mhS8v5oW38x7IKASQVHAhWpZMRYsAo1HIET+Zz
jyhD+Ag7z7UFH4abtzNffCoaadA0YnktiiG9aRsMHGXuxXCf+MHBYbAKrnK85KRKNsIQ4hrM0gAv
bPjfW9lAbatKaxxWmrL1I82ZeEzUmFZvlobbOA8tWSLVkmpeLtR7K1LjRp/5+8e0AbT89CA00m/a
zAQOhPQp6s774wxaYw2hmh9s7aGVsB8XwJGT+7n/rJO5DvGseuaLm3fz2ak0gTzpg8s2YWZ3Q4sJ
yeh5d+ENAywEeDVt3PlUkpZWjwztE4lWGNjZ7rQccJrEYw8sq9B47XvL/uB1xB1WTm+JU+O1vrkf
bJE9TWkGN0uHvXhp8mUTnY4mr5bl0XjnVZnxfY4Gfz1adXBDZX301WCxvFRotvv3369dfivu7AYq
Kv99lBCdilWBY2TtOm4x7MymL/Z9P2nAh9XM/pGLTDq829IWTHjD7WLJY0v0EE/6Lk2HE90DUXQI
MpHOB1T1xtpFNsWre2tethsJohExqTK9mVV51I3iKUlshqUyDuULxmQPb3s1eXALSawd+i7nXgCc
eZP0bbvh3UFGtq0db9XCAsfZkj01NPJ+oC96eqmrqD15ECMfEyqGdtDUGmfDRtS6gSMR3ga1ip6T
CWZxRh/wLUdWwtpOAgwrJWjKkYUPmczMV2xIJcUejI1aYWvA/gN92lkguPMrXIhp76nW32eZtL4P
DjReuuRzuArCou5uE8okTnd+YnbRJc1KXsvvM4AJpSNBHCi0wpjUU1O6ybYj+nYNcn86x/OAOZxH
yGbuzABCBxXZBKcHby86H6JHFllPGbv/fe7RGrFKMQdkm7GLc2+fCrP90JXqxe4yAo+2+YweNpH+
0vXioelng95N8mN5GMzduhWOs4u9GdCzi9evN/EDMVhXULt6rwHYlpX3NMTnD61hOWR7pvzejpW4
6cMCix9Mz20OkWnBeXZbCZfmJlL1kkvHD7YeMtv6iJOMQ2I+EZCjSJov6oi+qWhTXBeyiLmphiDd
FZ2mC7nsQDCaQULjydAaQCyt9kyKJ7ljaJrCbhjsexw1gFojjcffdFtzccZmQbLyDJ8tAh0WJK1G
033RsxGfAyHCL1OTJPQD0MNMknUzV366KWitGeAwlmBQJ6AmxdrkZ95m6rPZCyUNKNywzOsPxGOq
ZDtoTNB9pEGMG2kxfyTJTEo3qaOL5pBwM5tVSbWwjXW+dk0M6zj1SQ+EYFa2BaZtwDBZB7WNPk7I
ogVcwoGFQqz6bDA32nGmW+gZ5UNEQeyzz+e3qLtAFzxWeem2BN/C5qYPQHnD3liKMiAwACVf2jtW
JF76NXj5knaZomrWTSajR8fFEscpG5+RbPLkVndJOmHajgn0JRLmrOVg4m58PRLPCQnIT/kb/S0w
eGJ83SVngUs59cZjmsKuI4sEsMMfxgSEY5F11RooWINAi4fPxeTE/pDFXDpMujat0wev7ytLnXbB
d3/M05us5BtKOzhZu/dvUeWwaI0za1Qz5LQIEvwxSfNDQcQHwxOmKZ1iP4Ysz0y8pOLrMMirsJc3
wjk1bugJ4DfJFhzDYA64VKLB8IsLY6/pAnmynOC5zBRQ98V8bqCU3L7vAf69XfrX2yUHDei/Bnwt
mugrO4dfNkvLD/3YLInfEA8kNC4lXDLMFGP8UxL1f3MdUypmMb8botH3fuyWGP0g7NkYRdjF4wnB
Rf1DEjX/J00bvPsfBTYbrJcLUB95B9HyV4FNaMicphny+KEkJmaAENp3VjNUlzkbvL8r5vFejCDf
yWQKifgX+ZVNkzFzZi2OrkWF9azpX+U85j9NXIFTXUNe+elPcf9nJXZ5vT+IhzYaNJMzd7Ghsyn9
ZR/Is1DiIjN5v3xpZB9AKwUMeWbqNEdKGYsuoD3JGj3xCBFXPv71m/+6CfVs/Nas/2xCHRdy4S8f
tjZMYsMtx+S5geicZzlp+Uxo7zSJGaR6MPtPgTT/1Uf+k17Ku3K1LDiRy7223DY/C5hdi1d38Nz8
CLR8vE85f37VxVJS7sfULP39YjewrIKblLcDboHU9asGnJjkVkkC+pwig/LWZUzEILHDI+9Zxicr
0M7rX1/W5bTyxz+qa79LwUwLuLh4+//4CadWMJMMRn3oyxEGW+8EVFrNM55FcnWK2PXU0+boZYUC
qZSKaw336qmoKnegOCOdyay5rXulakT2q0bbANqqZaeEHDG+0BPwL+4C2/1Pfl88PXz3EZY5Nf1q
vipy3wuTvOsPtmuF6tHIaZa4bcMMt1NY8tQF6SqGG57IUxau2s4Wj3wHp+vSD3+QZuQ4N3HrWccc
qsBbaLUNfBcn415qA0ld3+yJyxhHeXSjTUmyF6ijuOSAwHPA7UuXJWNbkLFGE0OmnCRV2nhGxIVM
FHWYvWuWt5UxjVfR4W4KiIvD+Gl0aX/2eMJPG6eZR7310hp+VGPZ473DKuFsYg9a6xICN57pm/CD
a93wxKW5JamtgjAfxKMlOhwJ8Y27lDjoSmD4Hc+d8rV6GItpOBVmRAOkYyccSjhmEnZfFoIGFyX2
D92O98bAPNRPayLZI+bp1z6R1CQ2pnV0QO2gpmtdvXr00N+bbYsqDXaL5Ws0k8W/0dhvXmOO19+7
yHIdVISxu/Fq1IZ4JGTvbeI5pnON6mtkrMkfCVR2hOGJpWDcbwN7vPaq4ZOy70amz6AnrXGQBE9Q
munE6zHMvmU91/G9iCxolHjsaX8nTlX7T0M9228Oo6ZrHOImqa2BBrcJpCxMqNEAV9LqYLz+fq9G
TG9wESHwYOdJx/ZrlpQcW5TNh5UTobN9O9ARv6ayMyVZ7QZxfkxroyal6SCZvUOnoudID/6TV7Ge
bjB/UxmcT4r7RBeOeitbj6K7sOLLTwrh5E+N/1ShUKFVFjF3BsdAqldQeG8b/GU4V0gdwmmbqHzT
juSS8u0GLsh8OQfkw+GQEUHDH8kHWnHsSc+QyYVDf40H5WMM4pR9eL/+auwI7PWeAvDkuhvkPdx+
deGbl/d/pwsCyLc0BrJuzNHB4LM+RG6nN0Po+7u+XvgJJDjYKVHwXh3aNgmCW4HaWsFQHnrovKPn
XwGiCKIJnWexHe44bCaXDokc/gaQFDl+IF1j4pkNcAzrXUZSYClUWLIMcO9BWorO1SPbaIOmubal
/GU/mX0ybOqQBrRrVRV2RvwWxXNVRH0XnOTsT68M/IavejJqaIwEB+L7YTLkwDBdT8jBdOPtW3a8
w2o2QTEYHgV6JWXf+Ha1zXVuH8GuRNsxBpseFP608y2Uv4iQEQMnctJeYl1sb5F6Cbgj6I8o18RA
nbyHbU5ZLX92Y7ooO3UoWozES2vKeoNW7azoEhBQ2qPuOkQ1mnqH1PGpUylZoshqOZLQMTLeatfQ
B+WVITtcWENspQkWeiSAv9YtyyZnLfemiCPnUpmFH6z6WU0nHFw5f/ARKYC4RUg6oJq7rz6zCdrL
jT6MN9zc/o3CVUnAVemW05HrBk9W0ZJ4FYb6CHjYwB1dvxXCpX2F4Yg61FCoFjimxU0H2oxbakqp
qooE/2PFujxeecxxL8ugoKPPMQKe0jPV2FPb0UHPUfBpaaVICGot/XK21uP1vWEdOLq4VEpUrxM0
24wilOFtLPGEJbbDglnK9DExzOQ5aWa+WJx9rWNgtlRuuxbFpJUP/8P3g2LDY7RklJZv5xjKdcvH
CHfCyj37xs5m7NpzW4lPeWMY83GOVO8drbyZgU6ICqncakRD2Eda1mfQyLazbQrOBH4VnAajCu+b
NomOoec/ulEEbKxr3sAeLqt/LJ6QpvtN0nOdUK9Z5+1KxDd+WclPvREwdsiiwTxXPmhEBh4pFDo9
HG0cvnpjDTWVP5FwcaOUjbfzOWXejb0c+92s5FMeedWmHFucezonGKCwdbrYBZWtmd0FxYU5l/qc
CYt/v+KJ1Xy0I18Gn31viCmvraug3M1UOUFxC9NerdM2NU54RHouXQ5HeOaA+jK5XnmIVeHdQZwn
2cpHwodLtcZ6kkH7CuWcvUjVLbiZgdqWVGj+rDWp6G1M2ReLhcrCButwO2FNSryLMU48FgA75RsD
3tZXKqh8XEiY4Dn4z9w0nATHaxsSOAeQvtxKnM4RHqJSXCzps5bWjmRNT/4Pe2e2JbeNbdsvogc7
kMTjjT4i+0ZSyi8cqZTEvu8Afv2ZkOVzLLmuXPVeY5TLjVIKRgQJbOy91lySP2d2uRo4lPJ6WPhq
YJRL1sGK+Gc8uiY4PmtR7dD3wyEFRSWRpCi0eKATt2C97+f+pNOZdXAWCQFfoNaia4ZiIAGihlfO
2UyqLZIAdd96vHwgFjr4oWYfb3pe2ItX/3Xl1D1BxWOZDBmQ9PuQwFZu/cUmddsQ2ghDbRf/GtQq
HcZSrDODYGv4XAOgwkXr9dwR7tqJV/RE6n7IgGSR85WBF9EdhhPDIA+pGJB1Bcc/Lsv5lrjZpTmV
RGyZSNewZ7XvShKHGUSq+3Gm9q0wuoBYK2t9oTWDMwKHEQleNw5pRMCIetl8XFxaSneuMNnGWdXy
XiG+8JI15+fw0e/acmC3CBhUoT1IE9MKwW4+hyGmfj+4TMWAwynrhH4iJVl8DFKHhVX3Vn69tD3A
RRDYOQlEk5M8L+HKrBSefHDtr140sC6GzlMJL/ICJMX6OvadPKbTIiEP8RQ7u8wK5XtXAeAAIdSz
k3dydJ69vmN7SuhqFIc+9AnhTFRmPtGu4Rsn+5VtfWojgJOMT8f6KTbfaI437HX9Fr1bDnyNlgMQ
czO6q93bDLRbIinKCB3ce8fSOAD4nCgtnwIvs6anOVB4v7YZjus0emS+JAO2KjTm8J2ipNPZQRek
Ejjv8ohqOTmqZYTM5lBulHaDYtb2CY4h0i+DkwDIcQm0e6zo7yxoCoh4L0Ax3HrVOG8zK9V7/mKO
iqn2UuZry8w57R4bABznArLci7JkdrFGZuPzkLL16Kg6MSN1NlqRZ1FOy7cRUwDxMqZBEsorXw/x
tkO/Bvgy2xFGPB0cOyHdFiropleqOzczAvZkLJ3H2meJYaw9EihGhwVYDBXJGFTFV9JjccnNTXyC
J1Jlm7Gbmx1P4EJiSf217ruvJMHdSeUvZ+5rCoOps2HbtTaUPz0DwKu2waCrEyOqDoxpEj+pYNKH
nE10R+eJlDzfv/Pt0b+Bv1A/8G2zL9eqvLDz4WlHhg6jBShmVAX7RJY3E5zSjcdHdWfrNnlH9unE
xNH1bpu5QtrrJTYFpOqOJVo8MHRgjZ1HKr9672LL+oroWFy8P/qUlUsjk3YwaIc4Oln5+gUrMV+I
D/CXYCXhLemummw4d1QE0MosduBho8noYAVJzbia/YrVcEQuOHWudQ483bU3QwG2BikIq00W9NyR
62wI/zEC9eFeF0tOM5ay+x+O4uaU9MPROKIREXqCxgJNyL/patbZzSU7Xkv807eiHxexS+QNd+Kv
j2t/O/0Qye44oAAEx36fg9uPpzXCmMcpb8b2VNYBi/EUhs5zN/Skf/vKacDSm6PLt+Xw16/7t6M/
r2sGSgEh3D609J9OiRzJSxx6qoW/Uwavo0XiYzWoUoHoTFm/mqrWj0GQshZjRqPK/fWr/02Xxaub
URb++ICLMFaev57C9ZDTPXGC5kT0Ff6MNerdZ5wUxAKFdH9JkMTLC9K351hiKm/Xj1jcv13Cfzt2
/9Sxw1BJn+f/37G7S7Pmh27dH7/he7cusn/DKWUQBUwQDdeARt730Wbk/xYhz3ZQI3p/6rn/7NY5
v8lQuIEkITPgbwaH8H+zTeO7IgnaY3ENTdPrP5htOj+360IpHSaowjQF6Sr83P2IFyuZ01qIMw9s
G+/cfC0eUyQTF2xf8xbXK610L18PLUHxB4eg+QtIvfajHGz1TtQcBf0gHz5gbh4+JDzy/2HDjatz
bd4+F+h6QWBSiv9630vGJsSBS/8MT615FamPZcpOa5OyaSoxtLtH6GDEZ7QNs8+/fIv/otmHVe7n
Nc3AHhw/gP2A7tL3fuq4IRAmf2vKoKsm8UvVAVGclimTN4Wku74LWhFeo/2rycvVQXilfElcbt5n
v6u1Xj+H09DNu3bV3iUp0bwXwVSSS9hPxZ5yIXgIqZ71Vk2hgCZXjddO67UH326JfYOkS1exQvrB
2ae6S13NKTWkst3aUddppqccgKdpxWsSUb0g5aDbAq04cD+icTE8ceBP6xDRPqM43/dNOT0yM4GP
rf2aGJ4RjDOYKvJxtqyn+dbLfPuDhTKGzkz4PIFLgTC8diwpYdDWt70PtdSC20Oh0wDC1lYVg85c
vU2+jpPerOEykxEckzQK4wrgMRjnlzo3pygLdeW1WPKYzo8eP0Rk8KBts5nXbBD2qBlbbxScmEjp
AxFxwVFJRpCW7y5w+NCBPsrJyh84TGXOLkf/TWSTHeyIdLV7wlKV3C8TNq7DTMsV2w2PEm3QCP5c
3HUBjSc/HZ+dqUn39Rgu01lGsgQbBSP5UTGQS7eOt+CkzwKwM/Rz42hTx2NBZSWC1mEAnqwmGqu3
SZxKMnchE0zCWu5XgtJasoZOYnZda1P6AaFSQryEpCfsUxHU90Xdq8OQdBj74YBDbzfZzpvEVs4B
MWB/6Eemb7p0IYy6EQfl1J0PhZ3hapznHU+qPNPgrx5XGjb0Ipopv6x5lO8iMYav9DTaE6m1K/jL
djzprG/Ww+iOCSeOHB8Q2w+dku3c1cORmbaDGzxSFxk5HJ9zl+zVJSXhlHD39Iu/2POdAwBcbLI6
rL4gfTBRXGvnbdBbgoRGaNfBLZ9X4W2CkOjNHc/eE0dvegokEk2U20B9g+WJRMtMtZsurJt5SwQB
k/pcxYhBI+x7MCXTOMMN2OdH126Wz0UxVyZPNMXDvGnrdrZvAHb02SsKxpKcynr23bth6OPLCkP+
DJIgJwOErp+81rjAX1fKsYn4z0mBxXI6a3yr4ymHWCzHDvka49psPxIsZe0b1Jo3dLFqvR3scITk
NFtr9qS9RusTM1zqeiuuqcabuq8IDJjoa/0OsRWnHEI/RvWc5qG/JUthn5AfpGwFY33dpwvZEJ3t
Na9DE5o8T11yqyu7OWvOsI8QSMximPL+C1LD7/J1Cm/dqSHCwnIlr9ab96ZTFBx9vDrLvkM5Ak1y
9ocPYxbk+OuymatXCcLyrkHdkIG9+kgXkTPTjA2T/N4ZzFK68CDvGdwqi96Lmj7ZeT/ZBDj2wr6V
8UIt0rpt89oPpRSAIkvmj2Ypl7xzKC4gWvYj5wYOStY40/R11/fl4FlZsy0Wj9Dwo4pJkFphofmO
fhVkLdjtJSIhjr8VdNV87iPtJODFGmdd5pc6If5xQFYi6tdJj9TqRJ0NV02/Brfd4HDF6JYb67DA
cMiNPY+MZKyed7pO6ZqRkUXu3uDk6mFCrXDnNw0PVgYv5K4XJXyIOsEStyNRez6j5RrdDSK+tLqu
aD1D4uEKuHcxiZ5rBkUzsdSYGzerJ+JpVw99+Ls1Iy7AwtkXclsmoG4RKQcaEF6qo35D/scCxN1q
btNAI1NDudBs4sj2z4mrMDcuQ/NpcMZ3iF6C8yxlLox4YHmAIO+VO4u4gfkYpcYb6cAhxrrc4Pjz
YV4fHGQAN6k3xwRXWpijU9IMn91iUsGGA7t4E3RVEVGTqnRooFnnboNlr+QId+3Tu73CZZ0SpbRi
5R27qDyrDpsekuHeufLA6pwlJha8lkPMnJl9ZuUtS8imkuDFDQfN0KUnPhjocuPifNZjWOtjDbOV
1W8O8h4VOPgGoor9g4pZ8IfKGz78t3D8t+wvvvj1qPeu/5I09Y+l47ff8r10NOArhmDwfUlk8gLP
JDZ9Lx2p1H4zs88IZ4HkLjSAgT9Lx+A3l1Y9v48p5XfF3J+DXqpKHku0clQzoR/Y8j8pHSk3f6yP
aKqa8x7Fme2yT1Ph/lidFcO0Fssks/u8YGGRW8+xVYdeowjuZNz6/oMfdP1wRLte9wi4Ca0Sm2XO
gm0RQ49Stx36Pky1cHNMp7IYvcf0DyOZoMtd2NsAC8SmnevixPNqL/dj2dmfK5iTbMnhADNrC1QP
AKE7OU2SIit2i2g+NhJSaAWV8VLlNRxd2ncIsYcu+mSZgxlg1+QCXLTbNE2CvGPEjgCVJT4ma7Pu
PFnad0WRsY/VXjBNGzZxgjPWskU+BuvUehfa1qcI0yFdMswPyKFC2ECEGhFumV+rwifeiGbz74tZ
XinnZLDp6yB97MOoAHfSKH2PJSKWcKCWqt97Le+YKm4l8mDAb72jXYwJEhlPMmfJFtVG8Clb5vHd
gB42vxWusnZD1oZ3WW/TxdFgqTJExJrUKFq/jACkkhCm7THT0ANGA4hEJf1CYArp0bgbJro1cfIU
+l4sN0OjaQ8RpzWfsyBOr9ZFqRcUVLBxA1/ZZ3jY816CZUfV4+SAkMIxSCkKwZt9AETIxgjHZdhG
4VxdrKEmB8ESEGaI112ju6hYQrChJTRo6sSMxSckQpW0A5aj/lvu3keKxw51f8+dtXUpCtQOjKna
ZfZEOKRN6w3GWvo17EvauElWnMjtmA5LQqaCMOokKrvwoVupThmnFMnO1WPzUARVf9ENAeI2xNEH
S8hlX4M0vcR+SMBl34vg8wLBbad4aG5pZqxIX3RTpTBQNGXSoaut9hp4Ua5v7Hqyw/aC2HkhXUeK
eoiiPR+ET0o0h6b23i+6tDmvZPr5G9uDDlBv0oimy2aqBlqucVGDDqUOiCID+CaPGJo/n97DNCQm
uNiZwyf6ntmyCy0l2/d0hENsMw24KJ1KvGQkjTKJJEPeyJfcZACQ0MQ9XeQWrFzVhbrd5mVYhLCb
dWVdEwyVgOSNVHM7WFF2PddjehXE9fLqVmnQgmJfpr2m0arPKtH08IZvkET64HZ60nnpNidp+8QX
jY4eQZ9h2iBTo6/CQ51k2T2OAocI5W5G69Vg0ufJjiMCbBnsEm+JaZVhQhu383y9wuzodi4JxNsm
5dvctbNhqdm11a+b3Kplcs8gLUM8VU1VeKPWaiHFR9jHvgjBdydeAgrD8S0UgyHz/9IKs1uracoZ
e2gM6ZbeUNDvqjJaXlxoGsdRqg4biD0wsRnz9YFjw5u1yppnCkweRmBwOuJ2bLyBWrlLq/GQkDPw
omLjiIj0lD6va+Q2Rz9u+/rIf6RpT2rKOJ5YifQTJijVnF0R0EyjRHWDI1B3l4QlMAFnr2n7r4B7
3omJZq+XiWF9mgt3bk9LkTpo5WKtdlFrsV8Pg32zghx78OuF5zH2ZV7t84TVTEw0Agvd5cdVedGF
yHVdQOOxlLpWzsI5zhvqdccrYcmP4mFfOknMAIzvCt5wu+Y7d/W9Bwt0AR6rKS13gczdKyRgcu9F
uSX3VtZWuLlS5TyDlMh2tle6fM8FzM5PfRfmr0gqrXdeX84fOdnPPYdGAOZL4qsZGR/U0soJrPHc
J4m/Bf+SD3uAaEl/xQ/4RApbVJcb+hmtTjZBtNKC8wdLuGgnkAq1NqE6JacmhY516wLeTThi9Qlj
U8pYSKC910CsrRa8B42oJh+aZDuB7oLx8exobFz4dj/43MJYEgdFlSJr2z0F0RI+BIKjYTLGeje6
Ka4wQHo24tnR3ePKiZMthgv1WMeDf1tWLtKMqke6c7P0TQMzeg3yY9Q13ks3qpdEqRl2cZDR/Xey
uIyYmNojYwuIZNMNfm4ERtoZHmnyguOFgaWSB0cxu0Bq4Jd61afKI3EFIIqPaSi+dAOrxq0fFc7h
v/XUv1dPIbn6Swvnb06Du6J8ZT18/bGi+vabvldU0v/NR8FIyeI5+HaFpIv7Z0VlG1xSQDmDHttF
XcUvfa+ovND8CqI2GkEu/bM/G3EetmQhaFC4vmt+33/UiBOCRuBfO+iODb2JFBlJP9B1PNPX+6HX
1c9FBIHY6S7+aAEK8cvDiDYXy+QYPQj6Ks1ZgN+tNyMkGbEv+mCy3qWjyD+XtBCZSCoOVCsaiEpm
8dGawNg8s7+WVzjNsvyedDwon30WfhSkkVxSJymvSGl0d9JM8Dq4kNUFnxrGmUJCbJvz+jpvOwue
Qto2nKGndj1W2iGYGPF6sqZue6jmpZcfZ2aD0QmuKVFgY6eDl3kh2+FeuyLESZml15xoRn/vBYBW
tjJpI875o5W+TH05VAwyG5gDLWzF4HoUdjomB6uswD9zaspStakItvPYHFJa44Q4dgTA3KKE5e2m
ilMdUlqd+/EJlx/Unj3B6Tbe2lr4AswkgDnpCliOTJNvidRi2L2JSz5PgpR0NS3dNhbSXnbTPIe4
rNLYsd+WpRyWdV+kmaBHVWD7xIpbs+sWxEMSRq83wVSjSaojl4AmNUqfMUwarZ2POTVv/XVbED1U
t1tUy24K9AZfaLPmn9dY60HAQKoSLTAUYIBlBAfT6egWKu5v8TRYZ3vBeGmD1Nys0vIolX2mYVDL
zynZK8cEZsRTwbgJ4fEAW3k2wTxOuYhDIFv9CkAUS2o5mawPDTXcBPoAv4KUjWXl2Ax+dW6acToW
3zKAum9xQHM5nSPoy+GUYiw1gUEeBd4dtgqSxdJS7QJAMTt/pP+TB0lzGlYZP/QmeiiuLSDMBcvk
ZmU2dVfmwbuiqZIHHM/D/ZLO4QMsw/kjgAq1I8IkvvRtqh64H5qDnpuMToOK76k4NPjD1nK3zKdp
HYVuvCNGOryVsojfp63yTioNrDtLxeQnMeaRhznsvesYNvfRyk3KkgP7VL9vu4jBp0lg6gKnfoKs
WhBBGKeJ2oq889Q2Y+VX20bjRq57lxxMOQ7Vnlyl8bzQ8DwuZZG8R6vkXckVcCR8abE8+9IB9hG1
CNF2E/ykr87i01iEhwEnibNdvS/cZt1obEv39MfDc7+I5xwP6JBPvgfVU4XX5BHguEQRULLj99N8
NyWJe+Uo1ZyYM6EyyjXfNVSR/oEOaP2+J9X5SLxG+2lx0w+OybVCiBRd+KYrijfgKHpoo5tVl+oh
Dob0Qh58T0CVt75M3lpVRmPuvuVNb19Za01rpCMt5rKUSh78vP2CcTw+OQKVOghTRPBEXz/JIppe
7CAvP2gaVh+8ZcwM1jgqPnTUaiB5ecLY/fsj6ih3L0PSvTLyUJcGAiymofIIKpX8L1mLy6JIdSfN
sIAGzO+17ojr4fgkTBwBbfbsvo5zhQ+25fTQ4JHlLkYzlooIYQ04+GHnWyQPNcvUbpcYiwWfC3Em
2B63iWVvYZctWKxkvWMw4b73GczejVb/Llv7p7y1ws9KgGnecM4BwCUWLxSQZNb8GaKKf1UhR7tm
zktgXz7EuzBLztKkppkgAx6NiSQ1k6kmert5CyaQToSoNPeck9ZP3dKQceTAOMGevrRgaBP/XZL6
pG0TbOlvlqojoG6VyY3vOtPHkWDxGvznNi4qe7sWxKvQD8V8kJnMH3joX8qF1iOJptckwSx7ESxq
l84TYE86pSfPCl3it5dFE4hI+esXAf3wcXQtnjg/hWjSKevQ061CWWRHnHnygdyRdnTk/puIcB6y
GmtrnKE6SaslVyfXiBWbxR+ibZEs3hNJN9GnYqmo2qZsQpARASve4/7Wj1QvEdjZWrxieGuuOIZw
EOM4wDo32XBxEqdGm0P7HI/t4gPkko7zrAl6vQ0TyTQgmbxl53gE1GyGDI92RceQ7EUnurYcl4NJ
NmDgWURDvKp669jzHh1kCefEijlJUlNukxznpkDkcBw7X11bo3ElIQN+85tefG0s/3PWdu61E4I2
2OqOIQiqm33XwzXOKtifi0qjG+kVxTV8Tlpr+fqWImoDd0dLzFfqXWP3T6C37G3k9Om2junIZlSm
h4xR3dHOVvnQOX2ztwI39bY+Hq5TYqW3ZTEnpN5n8a6ve+cDuhP/mCcC9j/G2Xyto8fORZSQ0nh7
TlAokb/Vt5clL/DNMgcvb0SDEV8M9Ux5aycnazFBFUEVjEek7c0Dd26FdkIu95lu+s+dGiw6G61T
Uvb40fskiP0LV4iDHijuthEt3feyENV9FVviUJrMR8ekP9rU7zs92Nm11QOlDeqa89Gkpp0/qfGj
2wN1KCNOHzPRkuPgfMq7tsCLYhInUeWBXzNZlH4Ek6IemmKnqtTdwkMavjreXOwnR09PuR2IPawG
xt4JkyTUfxHyDit+ykwwJsM0MkGk13EVGUFfCf7bff4tWxNMQ4T0NLXOy3TVmxROUS+f6GSUv3dY
mQ54sorPlQnx1CvaSpa93+kIfemLbDijswy3dljgUhf8U2xiQTXy8ROkEvts56W/mzPHPSDJckgj
sfI3mUe0RcrUOuK6g3A7xCWxUaV3wfqSHYBHdWdEtu1+ArhxItB4OISKystaGnEkoma+yr6ln5aq
7XajiUS1NSYvYFHz3qP99DYKcna49megB8520mlwWmaPI6K4WX00pjXiEYby0j00jnjr7PZhmpBj
1XAY6b6vR5ZoC7q69eKAy9ykKTiFrFipMEo4xIXd3IZt/xDaCMOG7rguFQB42LBmBvMY4ZimF7Am
B/BbkQkfIrsnIzEEWvllWEsTNFveeJVlPcpBLccymOTJ16SmrF71gPfqXmNjOuD/ywgdt+DRlhoT
Knm1gDrLI4rIZjeusBH9pIlIx5xwgM8ecicr9O6skZha1vbwefTd7LTmmOylcL50cYC7T0MwIYkP
eEXWCjaygvzc2pseFteRb1mlOxRq3H7NYJ0C6GEPgQXhWZocXtpm9AhkO51Vhf4f1qG1SbI1ulSj
figz8bsfh+/+e5b6d85SxC38UtPw/8qfgbR//I4/O9OuRJ9gELVR6BlVyv92pulV/wZrmMOMS5Vo
2tD/e4wK8WuT3GPTeY6EJxzj7Ph+lBL8kjF8Rh7ea59usv8fNaZ/PEmZy3FcR/hOgFPbtxFX/HiS
oh+pK4RT/pfUXsHql9UaIx1dFtfqxt04MiZ9nxuY0WHQXllth4F15E3FZVtfO41oQDO2FkyRTdFF
eGm51WMjaYtKLL7vepumpN72fhusAeMpMoOs7ezNnVFLlFDUvV2Gm9a9Y0bfAmZN7NZaOKcZaWaZ
g8lhPwfPwH60TraIjt6QsJVsVJYL2W8JRAURcqjn3GQoEwVHnf0PUiLHdOX/T6nFqICDpslT4y8a
+Mgqfvx0SMx0mnFYxZcWKwAS+yoJU6AcPdb84kYmQvKSymH++xU1Wqaf8bIip9266dTzfmpnSdQf
T+Ef1K9/obT4Nij44ZJCqgQRcir7w9D10yUxuFYV1qbks4OSu7ghAT4xFmZU+xnhEUEGCKYKs9TJ
mcG3AHuLXLV0PXMb2ccrCmTddZtwoh9/KW1MYel+jROAfWup+Cr2I4vL+j7tg9hSezS+XXC7UpTx
YxUFoOigvgwTu8lfeg//4k39KIjzGb2YexAuF3It4IjyJ+kKkQsqs4qy/mIv+E2fRJ1ZzSMG22a9
//UL/agNMy9EJ8NI0oQT4Yb72ZRG/F4nYQnHn2Hp0VjYt2Vc+JQONshp5YW5f8fwUnjpRsNxssZt
6yTh/FhAIc+//vpK6IX89c4yVyIi1FL4DD0iw3/WyAEP0bZUefB5JhY+uBW490f8u5XlhYhgcD6T
Jf3rV/zbhyyAeLGUeCHJMHwKP02gLIcNqSlD762cQMwQt6SBLpAUjgcb9fWvX8vchH+5SXl3LFw+
fSNueEKFfnbCuVldFm0m3M/KgaPuf3F1ycjlHLdoVC44r8xHXOIsnv7Jgvf3N8k9FJj/gexk0f2p
MURTFjtcXgxvykYQRQM9LKP5MXatjE/31+/xJzmYuZmkQ2JOFAhALCwVP32geQOHCo1B9XlAxl+F
Jxxc9buSmqozEyYS19o7JdfYrq6bjLmWvQdHX6zv8wFerIexiQWRyQuqEPmQ50HIaTWda7e8pnju
I32CRuGjnPz1Rf/ti0GkRSsvjPh2QH38vKA5HF+Z0dv1W63HnqugS1DkX2dokuKlaSqoF7u4mpsx
/qcP6+9fDGAQ5HnkINICZFz740oaW8w7mQtan8AaOC7ejxCa5rDFs5j2NuoiwupKohL9InzVaYkw
c9f1fQ+ArbKUOz9n1boQTJVGah0/JWTvSpIvAhf4P3Yr4jX+4VOKfn48ucAQBymPiSTCCCrxj5cr
EmTxNLGaT8yoGGZsCC0bV4AEquemWrWd6JlSsx2CW8uLM56mAVU2m0EdEJxM3C7DAv3GDVjlX4PB
SGXZ/tDAY7hz/Cb/+scCzAiF1UWoKQleBkQiMVqkKiy4U/HuD3w7dT8GbMO153AI5XgamyXaIuiO
F3S1KqOHOG1H9XHVpoTYELka81m4qOhZ5O01C7r84Pqo/pcN6u0MbwRhQNWXYJlIQkAJFw/rPY+/
FC8U2tyaPVFwXKPT5rJmUlFPzguRa21OFiDi+vX9Onrh/Dz3XTA/Djn/ZWFil7OCmIq84TtzU7Xw
0hXnduz/uddaPOgxOeK8mQY9F7myOq2DWmwG+qn8ZMD4gB/JgnCogqOYVTo+jORMspnpTuUswUPP
hEkz+pG8tEV4Jj+O1ce8mpXoNrj1ZJF1H7soE/Mp9ueOvCUsMPpo0ivqq7QDYnjhTMfQcKui2Kx8
GYcffRUhzWeztOPR7JldFLs8bW3UjQMRc+SiE935/Q2IHNw7lXloS6PrItWSD1TYNbffoBKziJUV
o+5q3w2U9dUeNjgcVYSWZHP++Wd0NIgZYWexyNIttxwzkY1Hc5rPYGIaykurNmVxRG/Fe0r++FR9
MCZ8cmZQzA8sy0hcaI0s0ippwUrzivQ/qNp0i5kafZgOO94eC725XRo5smt5RVNz0+REtFSPNTF5
YXjIPcOT3LQid3mm5lpK7prEJQdJM0AFPvHV41wZh4cxGYvIu1g+lrm3rmLoA5FRwYsrwcnY6OSe
Is5ffCZrONEVIQemnpENoEAwtVvuwL/Ld5r+o3kTucSqeNNhS66TfQNBjysO3ZlVYN+v3sybaUgN
40p6zHj8W0IcjTdf5DAjm901zKl5FKYcvQbU4QT3IHUY7XIuSfPu+Y/LhM0mR8+T4pfeBmHII6ij
ruBO8VZSz04zuRBcXl5lkanbYjpf2e0AYxPE++TzL7Drdchl5TQbeY/dXPEJTpy2+TjXKDT3XEkJ
6J9yPOx8PqANzS1qSuv5uY1q/r9z0PzShstps99SOq5UGf6S8ZzrXoOx2KwpeYOv9Fl780j70vyh
nOodvgkxUDcytGhpHzyHWUHbfE8CaTvoE4rjIa9u5pL+h0cDx6j4t+ChJ3NXkzXbj9hl5eqIk4pK
ofpdbj/LVGTMJ1BHh2ZlSssUQVtgWwcQeUnrHcZCJ769497GSJTg7lzvhdaK2z8aoIGSrV4tAH8p
FJYmwFElZgB4qW2UJdsgzr3srnFSwo0ILAQsw2qVzdp2Dsx/BuDH2WCXmSYvohubYavKYbCWqwL2
NdcYWwPfTedHWSNe68GpeTM0O8FEPUm0w37N3KKRKtrSBfWXcs9CzHKzH70k1x3U96mRhIVSt6OK
jV1MZafYyyfDRYwKllmS4hZh+ZySHc7xiPjAVa+QSHqwQymp6Q1n9BAMgRzMzZPlZkkJCUft2kMB
Qop/Qyc4cA/FXoay94pYzpVf64hL6JlsCo+lcuhqPqUd6WUOIw5lW87U3Q4LQtz8ALF+4luqHVzp
6b7RFZ1wPNK2WQUnPnzuXDtr43E+2GO78JMcYTp+bUTAzbpU2Mg7HuSYm4oQdyOSyk3rq4DPb0wt
VoeZT5FnwXHHgRtqZiZMQ4tvv4MlRKAUd3pUDvjzrlJlTby075SK62e5ZDuasUyxy1cxWa7DPvJL
s8mCf+64HRUj4sZiU+4164OOUsu/I+GuhzXJEoVvtO1GzOP7iFEULESmxLy+TcSofquijtPI93MI
q775cJam8xp5LGi7dHJP2t/iWecpX9ceR1ZEbEZHSF6M8meKu6e4U7x5ctZLVvtZLyFXHObEqc7E
hqUhDzYIIcrpU5RN5hP8fltX2WJ+TfsIFtztSn4lVx40RiOyRdjBpoVVzOYz9sJe9suGSjSxeT6t
JOPJ9SN6Y6BxUidsb92MZXc3yALTHwnTjg5+B4pe9k92pcpnxIOSxnyPra27BChxGf8189S+IRbo
rKseJ7N/E3Ol6DhqEsR+z1hz10OBzrf87Ofl2j9WJsH5dVkZT9wxtSpheyFLhALgCfqUjL9qKdpt
h/ZlQLuzoKe47Tvinxtan2SrXXsl2+o+jkb0IR3fUc8ir6JuZShQz72vcNgVsynp137RmHywP7ow
xMH4jh8lzXb/KShJAEFw3PkFQlhJJxQnGX7W1Im5T+NkPI8pO1m5DfHQrOtOZtht0aO5KEavFA8H
Pc+RtrENivAwyzDxdoICbX1OSIdt2PiCMbwMJFJF5NuMrrPV+D0a2nTJOMid1bhhTl8ydJFDwck9
ha437rrGXtarGJ2CfXQWJ3XhfyrasxvUZivh3LEnrPuWgZn/DpsA0pmj3aLm6faysZV6VqPyRiCc
Y23Rj/eH9f1Yc1dvcKkG/bs1ZMJIXvsYhEhoI7LHVoUYNmyDnVRraQLiRlLUVgJ7AWfJovHcdBsi
xUUC51R5VH9metuYULNg1N0XtKwe9KMpbJuQyJ1BjPZxjOtORMy8bIEqP6atHtyiU7SK4jgHGPhL
cn1AgY1YFJqogOy5c8SoVwCO3uhZyW3v8mby++/VNxlfceA8LklFEtlmaTKzobaVV7XiHXm7bevv
2njp45l6yibUEGl2KKjGYnvhgekBmXL/ox3KqaB6D3UK24pkIeHh7pivsteygfM4MCQ2KxyYLlNh
ZnjunfiA9GRJsBh7Q7tEV6i4LUpSgYqJrUekVc4uM9aQsNajDkP+zMMkGlP9AcY1J4cwdwwHQvtz
Vcrj1FVZ8IIQrOZSHCZOBRRXa6TX0E6dYJkUw0BlHzGmbd2j7wqqYJy4poqWemlZy3KQ1ix6ZLTF
RCl7ZNSQbuLUweqRMgBwoz/VLuds60wL1eaNUpdE9JuEqHqzIFalyx69wGuhNFk0ivf20Nah2Tmj
blFcaZ+kIa+NZDhsUCL5ouPXGnSB/GE2g2yepUE0PdcPONqskwVAZn7EzR3JFTHcGZz+VfbS1Ksy
Bhbx3kVNH3xaFobGh8DNwxrgaj6zLZImYGqpug1NyZLK0XxGY1MHo/N1sgai2XYLiBoTPebU9A02
YRsTWMfUqhd8/KzheEn26PVp9wRDZXap7zsY3Aw+R4i1pmMR/A97Z7LdNpJt7Ve5686RC30zuBMS
bESJ6izJsidYsmyjD/RAAE//fyE5b1l0XumvedWgqpxpiSQIRJw4Z+9vM9Lk3RtWpHEhaxTnQbWb
6c7T2xs0LizLTKbewdBpCbfP31diaXiEsD9bCxWpJ7BZ3FUlplI7zLEEoBCgIFK3YkqCLGeWUkbO
Y0EeT354/RrZMA2D/Cd96O/8JpJ8YgtJKd/R0CEZaC9FnI9MS5Yp0yOUEDnqH+intRuX0xmYdXe8
WzxTVbGoDFXzqWX+y0wMFIIqKvSeqbAKpUQ+1698t+FmKenXGUyrJ731eiZ/JlVKbEaqmh+Rf7XO
Xq/jbvSvSbw3q/TCjTyd9zMvyPm7jWW1Oh91zCky4bba6hGB0KcaXiJr+AsRNioKNQNx1GPaGOoG
syIcTuauMb2COhvPu9pdkxGJgrYeKjQI2JusmioQhYWqN3uiMglcLjIFQ9O5AtnPaPEEf+Cfq79N
VdIu11Phe2yXRsL7MtdJ4qnSEA9UrIp5q1bv9vXxyHuH7wX7cMWXyvDb6ssLS1pj/HUkeoNgWMdA
4chTzfyO2zSdqQmyrd3a6t4tBFKFYzkZ8diHcdGBSjzwC0qLonaq8Eav4RiUvJZYWj6CXo+palYY
qrQOxoojXwyUsn0a2yG1gBXnQ92zuJBkYl3Yk9HnzOyxnGQ/S0JZubIZni9+jSHVF9LZAeUlB0++
5352lvncmkzOT64HZmPcSdNq8qcxMTCrr6PXygeuwEit0VU+BvhdSioWhcGvE7G/CAxAW0kQK6cv
Yo8s/sQkkcbxrGmafLbGoVmudQ281tpK6oTjyJi0MYMU362t4c5dUOZpa20i+vFaSwJ16IYTpqqw
VhrqkO8FrSrkY2QO413URTHfmtLdUa5LH8EkSA3gRtQogVMtD1x1teIuRsOZ96zxajFBXBlLbifX
4eVp7UWLWipr1mR3X3uO7PFaeZJbH6awkXBUyX3qqNdHT6A24S+TnBzgLVJ0gY652sgUlxtDTKp/
pEXWrG5JT/cncaUzrBUNFwTDD+qBQOu5kHjf1CPOaTmuj0Q62UqWN2XxjjwjOdy40lu6Mx+UTrH3
O5MzBRubZlMfWLJHVbF1i7zi1wR237JWZY1QlahJwjDrzPR6akRhiPborMlGtL5HCv4BNgqdK7PY
kC2vToGvB4siWtSbrhY5zTH8ZHfGd937Cydee/QzbnQOSTp3/5QIwVeaGshs8v0gJDvhRkJr6PsN
QZ92fvRqmiP8xWXmjiKMVC1YPV+jlqxljv1NrDA7dwuTgcQS+ZMFcJlfOL+uHIHsVKGLhU3dle93
jf6hZ+TTEwyI8iDfh8yhtz0jpMRI44Ni+iajXp0zAQEUiRNqNsoyBORDy+f94CVPu2q0qTA7O7Zq
50G5O+2zok8Wvt67/TdkEWp683prFD4aqI8+3Z8vhX+WGldZX2me6yedVRO71zLSnfiW2pFanyrX
tkaKQhZr1q73r+RLN/D3/rFB69hD+ICNzgJfftqm7HSjK1AZWd+kVZITfj4kJSS/tdPbCY9hAl+N
vXBxCQB/GoTtdDRRxgLLz7ru0cxe0oVQk42AI69ae15X5l+zD9HG6ohA4nDHnuC5zcSf3n/7f1wq
i7Ywha1BApVhmLr6978lg0j03pgRPOeJ8brkfbBBqWMhmytHqPdf6o97zqIxHDAKAu2HI/m0300Z
lZqCAuopSHxrmPfR7GfTg7F46hFxI0QCH91ypyMUgy8GkSQuY6YJJpEybz9c23TAyOnfP9V2otao
XvKwXaOMURuEGag9Kwqo9ykmZv78o4AQ2F6x2pXO2fuf/fQyMzVFGUqTljEp4V2nd+Qkegl7K7a+
0pPg6DgnCV0qX5BCk3zwhZ5eZdMhIodBLCYhQETWafM6pzD0LSMzvg6i8vJjXxfqaJ5mnNT24PZV
1fj+R3tLbmBo4jAG81HWorvlET+9g7AaLiwmZM234Oi4g1r4NSxzLIoz32vUNoU0YONjTAjWXu4k
7Izvv4EXMt7vTyClFoge3YKpBz3zj3QbTolJYdSe+NokOl6NDbOsJcd2I5IA4f1L2TK2iSqNXdtW
6/evprjm9KrlhVQHktXZ9HpxygxRCf0qB2qLS3M1sDgtoCATbAldPlV+F/pWr/lAgIy8Z7X2Jkdt
lkhpcUGGSYQULSFlhRl6FvbeQPPImFoJ5n7MadFh8ctTsz9LGS37SP9zTdVW3dipsktrTY9TTJc2
ajt365TaxusstcXXQCB4W95rg76jtGfVzHNcvfRw/P6l4jOxLsJVzkoVlqV3MaxtCEJZS2fSHCXk
rPNE5LRl37/8f9xwAAtJcEInHSC//uPWHjhZJJq+zF+qpAFttY/rXh2BgqVXFcCvlvX7L6me2zdf
OEtt8DKjgSoJn+RkQMOgbO4J+5y+BDEJU9YG876bH4k/MnPtEqEU72BlFxBjajI3I1UUIj5W7+b9
t3H6yUmIsnVWTiAP/Jd/6pMTbiMmvsvkS17R/jwgRe3Le5McsvbC7PrL91/sdAVBRA6HhU6Ra/nM
Kx3z7VrmgthJk7rrvo5NnS0PTuap2yLLalVZvf9S5skjzW/3PSLedNdj8mZZ+kl1EMOHLgoxmveA
2QBmRbQvEXAj+Eo56aYZKk5Q99VS8j8eDRvuS+lAZeSw5rToK2nr0oLhyKPm9/VkFdShxgJ34k5P
Y04oicci8JxUWaLaWlJTbQC/xyicAJdF0cTZtWQ6cjdqhsWH03KHvSiOCQhnWRlLtV5zICBc/kwj
DWcutqLSY/v4/kU4ud5cg4B1Rec5tTFp/jExdZy4D0p3kPcQntTODIZJPXKoyDg5v/9SL8CJ3+5n
9Z2yeIHYAcWq8p5P7uepqumpGnZ059vVy2thwXcv8xFMNFsTSz1L0OvsvUCkw1UQUqgu6a8/teOg
OgTapHNxHdtT/UzOgjUrnVmijpvOtDwbtOWi41EFOY9nKJ92szVwYNrkIuJ4jBxLHUt+Df6YFqkh
klZkJs/O4usL/26sSvWFL07Gq2gv03HvtTUxGnRA+1BzEvVNQnWM+WFvZOFHbQZQVJ2MXkdoPJHc
uxkzD/a9KKLLYaGyJk64+mC/9d9+fcRX2kzyMXzoKl1Nhzz79nFp+ASjD/nkuRgt7zFrhYOEkPHo
3s392qbHn2AWs2VwPiN0jsLajsS+NPPiYYyVvFb4APyDDi9ToM1+twIa1dxHnF+760KSerJO/NHc
p0F2Q2aS/jzWdof+uAUftWaW416NDpDbBCvckR0pIaayTMjh0WBzf16YI48HYiszZ1UXGPNCuob5
g7ZoGBj6Aizhugvaa5tdCQ1moVlHb26xbtRI7JiJFw8JM/wDdjWmBJki5LGJTIzweqP4imrCOZ9l
rAhKkG6NEPy6d2eyPz/VkO4chZdPaGEoLJ2ZCQFAzRoeUsvCtujrmk2mJH27L/kQQBjV6vaTa3cd
ZVE07HFLZVvGBHO9FsyL5FpOQQqgwC7HQyGqTT8FIw2bJMs+D+Cj6ZpHQw6erK3uFrwSIeUnumah
afZad/Ubu5/1bzg7u68GqTj3yeCAN5VueZ57HTkF6Zy+ksn/TzHS28WaG4KxMosZAGtm+hQKJzcE
It3ca5xYfOf7AhgLLTLfuEXVE0TR6u79+0/02w3q9cVwIyHIwuKNI+lksQbgR2nXBuI7otkSjZDU
7wxBf3VVlvlxtLHyrWVclTeMCL38g3rsjzv/5WOi1WFkwyJ+eh4ZnC4AmtOW3xtBljFO3TqX29Iy
EL69/yFfftO/lq2XT6mg2dR9ASbX4PQQKU3YqSName9YGXlmLJPtAgdpaaShTArvVphldJuCMKhX
euEEJKCPNa6CMXXcUBY9si/Eeu5V67bBQWiNd89+21EnDUX/UJYUL2Yvynpl9oZ9o+Nc+lkO8L8F
7dmb0ZzNzwFZ3T0ZhkR+rYEjXlllwH1MOpVL9yZnFgdiiMZaG8zfsyruGSUM7dZA2/2ky95aL3x/
H9RCJyI8LokqAyiDuC4We/RpSUA0Vidtf16+24O6+ElqJTvC/4q9XCRQ06D4YpEBHg5mzNCjgR+3
twUskvD9b8ZRN/Obb8ZTYk2lByHbhm38ZEMBelMyPki87/HA4IB2WpuvpI+0GpN5sfThaJdyjzeJ
WG7St0umPRWeLfpWx7F2ydAqvFi7WmCA7K1lpnHWRsHXEkaKs25z7ZjOwruYLYATVmnd0QMtriqN
L23lMhib10svGbtkFZRArw68W8rGsdpOdvpzdrOU1Nk63eV0ivdpXNVXJREcfVhF3fBtLpLhXnfM
/EYTPhuEi0d2a5n9hN+8TeO7qQigGiWNzgfA8Rqsxj5mBOBlDeEPHnviJ9vR/Is0mW0VuIVXgqED
jp73L666dqfX1qa7AGiB0yxmrrc7CymTjNd0L/reQDC81Bore6hTa55DArvwcEycJT54ReOt8JW7
yuOYheoWPZJi2Z4i4g2I3W3J1vkjqzP7QNuMCOFomLVzGpXZlkFEz0rvxO332tKLhzSW/UWaBvqN
NgbW9oNP/+etRanJ8mkSmYQS91QM2E6l0/mxED+AdXoF5/Yq+goKJhnJjJkd3BhmToejVKBTGOXJ
HGaJ6+wxgKQhfZIgWDPwxLLcVq73mPbFqFq/tNCF1iXH3E27fWNZ8tIF2XMWO15M8hHuymnVYcZK
6HDqyOVbw6/gNi5OvdO4LNss77UjsWxgh2hlaBe4p+brWQJ5h0qQ1tgP2L3XlZHmFzgJGYFrVknM
dNEUZMSPU8YMl6HngzNyNKUW6T71psScVxYqXdhDLsOdyLho7dL1u7aCFNOBh6JOMtFkrtS75HVi
uffq41QTs7Oq0tpFV4vx3DhDnDLhrwKO+rlvq/RxEFP/005NzFPdmEUfNb7+XH+4UwJEc0jXYEn9
0dezTCahuZzyH4ANdW8VTEH2DZXHzNSQr4wzlfd96YbozBXat5l4eIF6dCQD9v2b5J9uWF9JkNn6
/MCmN/D2GUEp1ZXd4hU/wEjNQ/jyhbgLBvaLlGS8rb6MwR3hW8MWSEW0qQn1/pL4Ld56SBLG3Qdv
5h8eWKB69JZZOtBanip2FyyhY0XI94/Y091P+Ai7W7PA9uHR2D1nXxwuh6LpD7UtyrNCWsaxF55y
pylwbgrODUGymMYLuK3WT5TzDdDwJs0/ffAu/ygZPBe9K7l4RNgaHCpPLtlYRnMZNPbwg653E99T
WTgdyDUcJEOnj5cmNHtmSt3i+qHfOtXPZME0s1oik3BGy6u6BwcK2oXuTfm92eJnWg/sAts2awsu
d5x5a7th3Pv6Rf8HHnk31z/+57+fvpdkbKbkbaXP/e/2czZ4gy/o/4ZHfqqGPvmv8Cmv+je+9V8/
+LdvHRCQTQC2Q2w1Z9jf/BZITO2/dFW+cQ5l8cei/r+GC9v5K0DyHeCqCNSNTaX7y29hY9Kg0cl+
j9zXRWDyb+XjofB+s9U5OhsO2jidzr0Br5GB3NvHONA7ok8iFCOQwsYbmEU0su3WOSsL+msempyQ
J9m8tQoXSlYFktAY5+DMN3w0Wnk13c1QW8BjwIswmt7f55ysOIJkmViTkEs6qiuSTd7Htyi8CHzs
EUjZClFoi4dpyK8n0+5Jc4qxlmHbWhluJtcQHwK8mioZ087hTTR2YX7qRYOgsDa99WLF5aU9jd0d
AJ9k1XnESs040r/rGoQc37oH8vDTqjloEdd3Mwdzf5uRNrujsW4zn8qG8jYF63aoUAGdzx4+faQI
JeIIa0nDrBDyYiZE76yMJYAPKIkHm8po23eDtc4I7XNRJur6ZetqplxN9hyFo5Ssrp5sKGdmxsN7
JCr6Rue4iem1cS701t9zlLutdYKqle7iiErrXESyDDOJizj2QV7Qs5ux+2Ig6fW6XHPDVBtfGLDW
Y9YEMj+pfq12zZdVni+9nW89R/OgJGHjZXcG4G97NMLMmNAuiT4XDzBS0E1eLJ8aRzThNCcPAdvr
PVu7e8auPn4RjOlXCfQ+vHFWFV3W7Wzqm6Ii4jRYq7xg/XwUkbV8Igkwz4dNSl9Ue87p9HrLCiyl
tmwHt8sA5oiqW9a6U9nwKe2+QSkDs+WWTdi/DGJkoZvJbyy5auexmXal2ZFlwrxx55WCvRn+jncl
S8COmtejhJpTSgeaP0tnjcBxU+fCy1FkZ8xt842WL6xv/RiUINYHO7/UZoBGWqiVklHjjin70hK4
nBUwseEAVgp8vOIXdV6wrkcpFnHwItG77Re0nc5tu9QTu3TA5EXLkG/2VZtNN4Aky51oKt/juOEt
hC9sQW3qw7Kzl7rtceUxvHPvJ51F+5M2zkCpNlqQFWWwNuNykOYWc5AvU94A1DtdHqdUIKnZosYV
hLoWuvGZxEB5M2FkZZiKOk+1LQwA1LkWg1BCMB+ttaEjLySdR+0hyR0yaEHFYZdFASGP+F+wOIug
+e4scUODGVrCrcAsWUOcdxrIjnmdPESOyMtLDE/Insp61q+WcXJJvtBImlsPwI9QZfRCHObMSPaV
KLQNLngrXk/+MAM3TDyyhrVWfs7TIsCR3bgWvXfbDIu4jK8acONXbpP6m36s6zX8djFh96mB5Oid
So9t9I0UBfjDGdaSS/TRA5wfjiJeY5A5gAyyK1ZskeQqZll0lvhuRN6Cp6Fj7nr2vLiXTkh4ZY+e
zxAeX/mSl1D1rX6mPagShfWuvx1GT1wD1Yt3XmOvEmN0roJsjO8Q+MrzuiBQeNVo8fLlZZX/z4b4
wYaIr0Bhdv/vDfH6hxDdXIxPIn2zIf76wV8bomf/RSyKz9DO91Qoq89J6BfI5QW4TKOdruwLONng
5f5G45mg8Wid6urkTcnpMAf8tSNaJKexh7nMgw0ihGic/zsORMrFtzui7XOwxsvIicv21ED75PBX
lKCmylqf946SxoQA6uAUOcVkXZpoH4NNgNzKgtWStuV2whARrFjS2jOs1MBol4am3zopdI1FtOsL
J0wCx9UYK8VD2AbPNVL4q0nlHUJk0UM7Re6AchWjFMS0DmG8Mdvh4hYmDAaLoJGNh66gXwEXAN/Q
Zsmyw65SQZqYQaXBwL9kmqBjy12We1xFhDPaOJs2bYBqHq026Y1xTuTBXm9UqCPTX/IdX6Ie85fY
xwqh+rTSVRokC1cUDonYp96S/iA2Nn6eVHqk5GcenbnKBnAzpEtyZCJo0mBIxcNsBTzGCJ1NBPRw
cUm3Ks5HlVSJbrY/jhPplYbKscSEiQSy6km3RJOQEzMfZyNbFOmXEjk7kVQusm3wN0Aa6ogwRJWY
6bdcZrotZEcQwKgfhEt0uWCosTdN8jbNgCtvp2RwTktQXvcql7NXCZ26yurMwE9fJS8BnsjqxQFw
D8A1le+ZT4m35QSh9+vWL4/CM2J9M3suxIo256y9Fo7+GQdofzFU9mPHjOCT0XWCtFvqAPKntSwG
0T+QOSrawXqQRW5uM5pWu5IkX8JJlyg6otRKw9nSIc9UhDAiUetuPZc8ho37EiJAG/8neDOxsUvj
1huvSxU40E12s4Ned20PJHNz2jStS0Prhi8KQ3Lflpa8YoTorBlZbNA4oIR8CThQUQeWCj0IVPxB
gDvmxmE+eSTm+zNBTG6IEi/H9UBwglARCvNAmIKrOeV+Il9Br4x+nedZdhsNhC+g/PPCSAUyQGwl
ABlIbWlPoBEGvQqjlxAHtFfRPgsih+2fjIdgmp6NKNC2QMcQ7yZ9Ydxyk4MjVSkRHPVKCIyBtTF8
ZwpzGrchdpubirttbXjBeaXsuYi13ZBMqMelTEE1qkyKBIA6Yi6fd9lBu4sHsisMbEKHAhnLI5zM
+KxWGRdOUdfHmQL7wEikCTO685sWtte6eMnHGBvum5fQDKnyM2rIvdQrCYWeruI1ancAyKoyN2aV
vsFcwCaJw7XLOTbu/aiQ6RYK9qS40gy3yO/IXtM8ptdsj1kjduuTSSLM9MmBjUYCiNNAjnswbO6F
je5k6TmdZ++m95Mo+SzthWSMwcgKaysCle1VuOnM64/pZeCrZicQGx37ggE4RvlR2g1aSiYxMrBE
djZVJnCbAiTRROSuTv951+JbGT+NKa4EEqVTRkrwrhXiObdopn7J875dRLiMuaBmSxzarXPtBguD
JjjfIbdZHH+hlRsX6ywxYBnmWlWScYH8ju17pjlISZ5KPj7Dfy8Oi0xAUSQWpM/j/dz79pehotnx
jJTWyF2CmIj0HVfF0FcHGolkxEHlBg3K/7hRfpYRawIDi0qqj+5EPrhoEBvIpbSAW9hBpmbIzX92
6v8fRIDpYR96b6e+TarvP/7rrCuexPffz7y/fvDvndr4C7UQXnOaPMg/Ap3z6a+dGiAATR81Gf87
xvRf+zQ/QTfI5cyLZMD87eTKr7NpfqggBf7xv5F88Dqd/leDVgnMMGToaiCBHQp3r/n21NoQSNOW
QVDtacYjtJ4TnDo5VldcWgGGN9N5nMpxPDLfSjko1I9F7ChGFyzvaqBZXuJ6Cmu4WoAzSnFdDPoD
KT4xsJsCrUUF/S9coLCdtQbtT3vW8KjRa1z5nXdZIztemdK4zkgYegqs8uhO4Dq0aRf1hDD0rROs
B05Zq2LEdQC17eegD+llyXVcKx2mOi41mFQY7EuHpmeqL+dVoF/TsmIQ2U544rHika++me1ZnUnS
n12RsT/j0N54lX/pWXKHgatGTC1+Brk4TgaOYukkbIbD1jbzIySDazubz/WYvwVbZwVo9okqouKk
sDw74EeK0XiuPPexmbttVUTFui0T6zMx4Pu09d3VpHP2oLe/MMvzL43eeszH4snTF4TP8XSrt/lR
XYGeXRCdc/Ezq9F2d3Gfba1iVsp4ZukDaAIar+NdbE23io6Hy9CNz1BuPlMBBDsjUfP++Vw5EM6W
ggBIbUI3pyOQtZ30ALLARD9J2h1co6m2HxMrPwApf2qbjKRm55JIsRZnjY0WmQ+kJg9VP18zS/W2
s9Vvm6AG2m2/oAjwGiD3WiEUzYB7c6HMBKsKuWH9ijIg2aR50CuxcXXe16zHyBe4lkn5BDCH4mhe
OHGyIq7Va4E3IGsJKe/U6de9Oe2GZDk3/LhcI+09x8kEUCJPflooTzeOkR7zXJ5TNeISqqAJZymf
sLLnhyVCqIIJpAjTwNLCvOOFxpScgITo8AsE9gdoZw+t3WDJc+RdqTuhnMWEaQ7LQ1SlTwKl2aYw
5bNfLeejGeMiTNr0Mm9ouEv9G+ftq2BKjbU7GdvZ7PeLM7T7RiJqb5jJpDXGidbaxyXfkaajU6Qx
w840LOduNSMQnJTpwTIsUia5E/A496vGLK1V3ekPIjaeA2siflsJ+/u4OBjoqpt2uLNlgdgahbnu
VlgjS3lnRUayytMeGQNUdRSSiGIN8j/XL9cd6wSwOPuxakS2dRm01AgbANvwc3zOVSI9bkXLfUy9
dgY4w+3IFnFZw9L6mkXU117G6AF20Xhjudx2hYwjoFKQvfBWjHsQu+OhqZzxDCuvfyZHTbvKCVbd
NEtdXkEKnrfkjo4H7FLd2tQK67k3uq/z2LoXhp/X1BuyShs7bOFWoDgvGwwlOKafIq9qgdvUJu6a
zG7EA+qKh1IC9wsXuwvSVQn0SibRpS3yr601j2uSB5EMs90tVhrW/dxuGlsmhGkRWJStUtnGB/9l
SO01l4WWXIuK5g9Y2ocKSALyZQdi0+A8kZXaPgtBVK2Arbwp3Gble3O2qpfA3ZZwe/BgV9G10TvI
xAW3/5KZz5VRETLaMGJNRmyS0sQH4XH0512oREduwwZ2YigRc5Kk5Q1I37np5tx79DT3cjAbXLRj
+1Ob2nPb/UhW9rZrr1ZxlMkETTNqc4FwnuoY08y1idjMoenBDF9ZeP4UAfkydRpYu8ZHMlh2nt+G
eq+vhioVfYCt09p9Off9JoMN7GnADu+Ras+jHgojP5iFmkDCxvpgNvK2z//ySgqnAVGP42pA9NTb
3WnyPGllxNnvzT5/Is0hX6nlODMm/MzkJED7mmZ9+9sGfv269/2XGMrrKkV78T//zfn39NMxiGED
RxDNTPh0HBxbAsktHSbqMifZOB1+GTRaaw1J6KQ5+Fn5vEWxnLcdq9v7L21xLP/ztYGYYJVDgPHH
7JIAq2khQUXsu7K1wgxu3DUeaPq1nX5ONzbfgxZ5njpJVMo0jods7HhuA4G3AZ9BAiw7Fsv5EBNs
RujDPghKYhSHdmP60/nkEqgDxlV5nbhXq+wo3HZb4vmRZfyg4wILXWlfYvfGQV3h7nScqv4SoxZe
E6Q1h+9/0n+4hdCw6KZDt5xJ0+no3yzSoKxMW+wTs9valX6tB8t1uQAY/OB1/umK2lhZ6E/S/qdd
+PYOCiYDTr2v7tWgsM84Sl3PkMY2Os0JiukAW6iP7jc2yptinK9pnJY3Scweai/xz0aZ7FSpgtwU
X6opz2ONrJxgGu60AD5BO+5QNvWEiabE+MaJu2ukKR9jx5x3ZWzWKpA2PR/0trsVuXyQLdv+YKb2
oU/9cjMR0nJOXPDPCInHSuSFcqj41U5qmIlwnvhEBSILZfOm4Z/MjIUTgQUfjhOwcYn0ByWhOSzX
3txYKwIwjC1xwF9bB2msZ1BjvX8h/2GFgfniB3RzGOMTdPD2Oi7wyjDvW2K/TMZLOSFZ2ZzadBH5
Wfv3X0v1hd7WpEx4mOfwbcFEAsLy9rVaHB1eYc9i7+TjLSKXQ1l9tGC+DFVPXoMZomkDNDboUZz2
pojZzftC18W+CsZ626XSXNvR8qxW+nRBrYFl+5Cb9j7QzEvMH8nGE8UBAuvnLsu++XB8V2Y5tvCw
MmvPaJhNNmB1Ag9xpOHzc3Ena0OudL4vLBfhqWNNgCOX7qJI3c3o1/coOJW70o/P7Dmd16RmQucw
SFikvVRvzZYRjhXgSBskPSvdTH864ETJ+kIQJfND7sCGB5dAgWpwhHUMZGacxdej3t9Wwkw2trV8
oAiz/+GJ/TUsZx22/5DUChMeCY53sTcKDgpjUmIZ7AcqeC3nMxPDsyJyJwuL2b9kMoKyumv1FU2L
K1j0Dz4pALAkmWFP0TLRfDcqWmT645TVVujrnKnz0b2MBixuQ+RcJnQGQ6dlJaor1NGESj1gPXte
On2VeuknaVEdBg0fuNXkLk/0B0xH/aqGmbKziok0tOk2dlyVU8X9adcsfJ2L3i7Q7Ax/PJYn01ke
grodP5DB/sNDwp6h/kP/lNOb+fbGneKGOfg0iv3ki5ASR668ibeDD34V1fEH34hxIhx42R0RUEG0
wiQBFen0mWxsa6YNNIh9a3ZiY7hdFfpRdojYqQKD72epuCWXmQPSaLJMMeJ6pENxdHMKwKGKXBKf
kA+T1IPlmn7firDgHmyt/63LjQuIhFcF/lccrVT7UqCqteruucyWW1nQdGV2vlK3WWzlT9GkqtTJ
XGeLfmwGlCSyMteUq5sRx8O25yt9OV4utoQM5/AXgxazK1TTdVZP47aOBmRUuDnPJDm/L4egSKCH
nfq8Oohhukt7DpI+nd/10nDUc5bpru1jfTWrASc2PjM3rhstJVSUas0gPgHqDRZL/o9W8k+iUd2Q
9TBuDbvtNuox6qRzWXnTHYYWDhBOrvE8kdleNFRLepQdJVTW0Kv52y19oybDv894t7kIHPnc9j1M
Ei4w47FjyhSVCHpKcbuwH7NkvJ1Q7K6tytmPgkiQkeAy3KckwvAA931x4FC8KyN2ljQeuTF5Otyp
PxaG8zXpJnHIDedy7MidNlt8iRyMADOnuwmy1zky7Muitx9NiHQf7MfuPzze1DoOrG8HyvsfLrBi
trLGhHa177z5WXQYz3X2vZFjVuTwWKv66+WoDZcFy/MLp0E98wJl8Dx1YIgyfoyGVpgDpwGTFIT+
2Foe0clxs8ZsJDaBxMZUGJ3GAS0vycojoawRRfyMyyY41m2QhAup4xtAdcEFbAWqfI9JgcYak/Xz
w2hRbumtxYxMT4e1hGADG5XKOuZgyH6YWBVfSEyZ7WXDXT+ygrZmf9v6HEmDoTiOw3BrO0NKEo8r
NyRgWWEDnoDM7jtIXQA/DG0hdmR+drsFv33d3wJXyRjDg+VgE+GQOdxZrrxW1Xzv/b2//mcW9sEs
DMMELax3ZmF3zMJ+oJv+8Xt77ddP/Wqv+cZfOGoQcP0SePxqrQX6X8zngfCpGRkVvZqP/Z1m4P5F
Ww0bim1ygnnRfvzvEMz+C7GISo7CfQfijsrg32iwYX84LWYAQ6IIQWGK4RES4kkBihydnOTJEWcY
Ijqj3o1exMhmA/tgMlewZ30DsYZnThe9Oc/rsgOibXTS2sGZ8/ZNaac8gBGUdqIEjMuusd07meuo
sVNdhHHsds56arFlxa58ZHbfABxG1v0UgFI7M2u9WA+BM62bJLapR7zvg6j7s9Hq4h3hhnFI1n2z
NsDTrpcFLP6Mqxp/NBhg4Puy20KIKNHD+gyOMqJi7Lrxn0TblWcDIoGtnrrboSOFU+85EY9ZGl8Z
LSHOYk6LO7DRIK/HzmaAQWu6ekyModmZo7YcuhFpKuIP1/1GdE6drGRJt5BUkjg+Vu3c3+dZ719I
9pLbYWrNUBRImAcjOOrgz0K/jOOvpDiD/bbycQ+gaoTXy1E7yvR216JK2E+pvc5pGNxU0DzOWsIu
t66GKmQZRuMKrfkhFnnooHK7hjOKPDEyqe7nyd8QUVqthrxxPrWEuW6mxtbXjAfsiyCT3dnQLRqE
o8U42HmiHSiDatD3DWlAhMNAu9erY+Ni19lATCUVa+KYYKS1vQGR6V3EUens7Noot2ZjOfzWbrmp
R7M7eqmG9Xsw71xZSrzig6v8Hxg+vLy7WXJGhNPsFlt3qKAy1xI2eZp534ZIrmsxf9XLtNsZtZXt
hzE2dwihoocR+tIWMYD7nRimfKZINLNjzIyL9bKWiOllX278shjDNPH9fee27bZxTeZs6O02vuOY
SklTIDNpg29+K6afMZCN7aILwE1NVIoNz419Y7PuFxdzVuNHMLJ7XNLzk8Zpj3PV4uhHoLHjua/B
ZK5IK8NHEyT1po6VPcSM/DBZcv8Q6a64goFXHQl2vgdqRBXHObvZ+0OV38iq0Q4AVsYrAG4kqTcp
Aa91YZM8k2IT9vaDNqTztu1y0ucDRCwgvGF6HUivgdRkEmSzyNbaJnbtr02D5EpOvWa5h2HDaHIJ
nHhF8aSLdWEOZWgR6WGShR6TW0DttJLmUl5rGodoBlGrZBDNsXXNp6povOiiwaWVnIMl/+ymrYcg
3NmRMGpoZx24scjcFb2V5d5qDDDTPy/YxGmnR/OCcER2191g+uUzh/ZoubCh8Qm/H+4dUh6uW4Js
22FTkD9rRx27aDsYm7gQwWGqPJMo0qgr5hBXUn1bSw3jImrgMd7XNsKee7OYYP+EDjPa/8feeS3H
baxr+1b+G4ALoZFOJw9nSHGYJOoERYkycmqkBq5+Pz2y/2XJa8u19vEqV9lW4GAAdPj6e1OfbCrP
r/0bkjuCziCkLbNNGDgez70cm2WHZxyHf4zLI/N1SdqpX5sNhjXtDH/3I5wbu5Xbzp2tSwWtKnrP
Ihp7Lp7wK1Y42CHC4AA91I+MXJdwjxDOKA13YeVrNerYdbMPsy++Ec2YMlQjiaBuXUzGqg4GRC7j
IAkvilD+i1ssAMKXcm7ct9yiB4TzDVGaRyvpTURF7aTuyawV77MAJtvT/IXyymHXrzajkYYUUxZx
etvKzbkkbt+SqDRlWk8OGXblOu8KylZzgj7P2scV+5zUrJUddvCpyzjNSF1Iw6r+4IMX1t56hsjj
9KecKBFzU9cjjUlf+fEWo3HvA84OaueKiV+axZitpMszXntWND8VU2Cf4LB1EpaUxEBtKcOJdqbj
3VahaI95GjLvlRttXCzse07sjr8foGfvK38M9nUi83vtDbrEIESQtd36rBI3OUVN45OFqeWxON/7
TKoxxYJ9wLqRtAzPvgl8uQcFRBZCwi3rV+ylWxnXjrEz/dR89At4C54NbLx2JtfAOqGqaPUP9UMw
+lQwXju+ksxpz5gCoeuCSQ/FW2J9rkTM4bdfutWyDDhZQU3G0W1uv7BHyTtqR4+094iYATJQg5Vt
tuZjvGAxpMhseXZF3F0E6QlsDlVxLGK/+1D3gQFZajZvxsqMvi7QN2lqWZvOB8Vg6YwOJR/1KfdR
wnRlGLyOVoszVg9Z95C5rTph4rPcciANVnGrQJumOfucQG65cdt6vBOx2vVGJYAmTDgHvZNY8LZG
R2yzOcKZJMzgbwCTdEXV4BpV90dI3MMeW75l746li5+JBS6/dAStTZD2PiCWo+CVyg5OqcMSjyKD
4FgJE57znXpUoXBXtoVuAUua5J6wrwmqQpJvMeQB8eYGSPIB5VlZk0hYGhfxyXFayV6IqOdtDOz+
Ft6f9W0ErtmhqUZUaEXWweta5yM+GA10jDreNFYX77K0abay6ou7HBOol4F5eIuIR96jng/PdE2r
9YJN5xlL7nQPaXK8y2t3Wbs01A/FMn5uA5GeZ9zwP0b1YN5FkRXyIZ1HJVAucEGC2lzXpWPedSop
e+0AFNwjlVV7aEXyjaYZxBsv3zjAFhe6napciTLwjiX2ekQMarwGHueXiZDnVaNKc5vPtXlMzPgj
pxtvbVXkfhSV7+vIVwcoMUfualrGJ1VF5nZK6vZWVSF+MQYyG737txtlOM1GAGhx4LT6Z8Me8Bkh
JxCdgPDVNkRPihJAeTCCaKGuF7D+dFXFNm2TUndyV2buWTGfZmKP4ARMaoklTk2D7c1WATWFwClx
5WPNy+4m8xAoa/TmxH90ZBbEbHlxmcbJU+fNTXq5Fq3/re//qb4XMNB+Vd8/92/JD6X99x/4o7RH
kvobglRAahPGPzIxeoF/lPdg45C+gQWQ8F3zXyFc/wU7J+FMq93/RW7zCTAzTUczs5Hf/4fA+bU/
+Jf+oRngZeDQe9GZaCiRfxYO1q1OcZpJ1g6rxVjydTA187wjB5wNrRTOMVdYU67HOG5OnSu6d2ue
072igrmf20oeJGk6HFtruh3axKbET+QhmWf3vmTmU0LVMGYiAjOdyRzG5VCWnogmiL0zZkCU9COc
gmcMBMOyOQwlsaJePI3wus0iMj6EJT5tNzBwZQeRlliVABa3P6fDYQJ5UOMx9uH/RMeIpI8MYDJo
x8dm5CE/Grhg2ECziS22cTZJZriPfT4xppSbJpe9ioo8ponNnI/FAiVclqIEpy/Su6gsk33r24uD
iZAHM6W0yZQkcPLATYEqQgT4MtE3fAoyIYnqKZOMGo9ISqxEjwuxnbukjoY35B7pikMGlW+ay5Tj
fuasw3rEaZw+C15i1U1GLixypxXJu+RST5M5tifbX8rKWkOsUXcJlmTGUU31hNAMLvD8aMwWJpMb
jPUyHQvSYFCzt8mNHQjnMOu+PeAYEFl6HdJCcvVA/EgqbxvyUTn9rEoQjHL8rrr+74rwTysCdvXM
4v+d/fqSyjj9ifnKmVX/0J98Gvc3XIH4LVs3QTnYc+j+Y1UICCTUCkAU7S5JCqG2D/jz0B/+JhCO
wOk2Hc/Tavd/LQ7eb3yaQ6fZ81ErcvT8Tw79GBr9fOjn8o6PFQI0ceT0P6MLwejVdQ317RAEc1VA
SaiJaUZ9v16quT2ngANsgp/nKnD1Nhwnz+bQxGthOvUpTeLhzqm9lJJ6dHauj3/jVoJu3Sczi4n0
quKprmb0mvRDjm3UP0UjfoK6gH0znYYZs5E84OdOGhWmhSw4TTmx3422Id/dqKpPdRKHZzErHHpN
sgTXyu7cN6fBzXmFRjp8wVzC+JYrXz3nTl2qb3RKQj+7ScnyvMO1eCtpCgexyk4m9Phg740R0nhH
wFpZxRjn3Q34g1o4htfGkyFcjnQUKeO2CciT9Vu0tV2p2QBYhKo7S6pC8wKCz0VeUEh3/RjwWGrb
PgBhxaQvWphy5p5e2mwdkBrgnrqzWhJroy7/IsqlOsUT9b8bLALEQOSfMMjkgGpFYmOQZbkuImd6
IfV91qc0Dhei0y3ApmzuyTQz/b2KEnFkUTRe+65IKTaUeoYSn9BTIE1p1S5j6780XTr2KHAUIbIL
8s0G2mBktrso1FAhkvze/tCmOCzuDLLNnySF19vAMgrEU0zNq4hFcNa+KE9qcvRTzi2eRVKH1lOY
u5yQZ3uynpB3YwxaNC4f3ztkeKxk3dPyQTA/rLF9ajpwv6rg6O6OnJWCBAc5THBajA+maqhPlizI
MLv+bwEzEq4wykq844eKvzcnJT/jOvARzk2lmlc7JCYP360yeslEgCGGO5Dc249CkykTKnpcEN3w
JahzZ9Cd7/DFGgx6OTIYa07bnPae6GtwGyVujvvJr1F1kARJFDBxnG+NKtpuL/qAuleqbjmFFZqZ
1Vxa7Hqxxc6YIQHp6DXxUDhtiuzU57hV35D5yxeYOAHEW6jNPN1yjJpXYv9Q5Mf4dpYbl45atgkU
EOEG627PvsOfc4p2WNaY8bHX7obEEmb9e5YBExEmxa+F0h9LySmLPaaNWuBqVHTZORaZ/IEIKj5e
efrmgwXAarXgbrGs5aT4naX1naPwSnFUKuG1LCRDvUKhNtbCaLiJaLDN+yAdvfP1ip6P28puNDzn
iO8nY7MddeR6NsXRyyTzPlgjY6PNICZ7XPZSWuLNJBczWHOSqU+eKZvXlkTucdVi933gpOqKS5xR
JOSODtpOnRRQIvIGx1m3NgykVewU3NZcUuAmhD9+FD1pii/Xb4lN8hAfilmkFcH0Ll/WbTxGmcHx
6Q4fxIqeUN5xtOkALAecZMZ2eewhkuSw2fQrhZehn0k2m91dP4c6Cq+rT7Os+XU4pxyxgzDuAIHr
BZ16DaUbwVmb7v2pYIVCbC4PojSteZe2TfH7sriMyMwz9JiybKLoYjTo5b4eRsoh3yoVvhY4MKwV
YQnTpg/thbhND6LcBC40ZnPzCucG/ZhZD1bAOK1KaxWKsDn3wbCuGzeYCWA2WsLfbehWQ1nFznqW
IPhYS0SnLJzDF14mufVatvAA6wlZTCG75rUXQxdhS20rYgFDZ59NQblboF+uzTF2L0Pad18zAyIX
PTSmRREW6jEgEmDt25KBbctJcjM8gLNnCoO7K3EcJlUMl9w1th4FdsphRT4hj4xyTuFedJis0P+K
Tt2H0l3VAW7yEa7RK7vLxTGOM3F0Kv18ZxhQLxKPjrM3cN7lguX0YbJcsSU41UYw1YMtQzVC4V9K
0RwdpZNOiyBJ1pBC4ktlNdVDgc0noG1eZPXKzxP7OawXfwcXaf4m/NLBYKVPD9kYWO+F61+pB8rf
4ZufnVvppd+cVk1PsKfmY1NWBHBmRbRG6fUMJVK+UCx2mwo4HTfmMEj3xCDCDlRGcbZUNfF7qtqZ
QYnFZ2wu38iHz5kBU9Gd4LH72WrM/FmsdDrVK4GZ3amfIr+F1uZbx2GBH0nt5W7caZK6adRDck5x
Wj27cYtyUJbfQLQSsV3QQxcrNbfzDeZxwR3tpgerRFgIdRxbpHUejJ11LmgUtpdFOFgnmeG+112d
hdiqTdfm6NHhk65yY4ju8dxmNZl9jO+x7nmwquqTE2Ovuu7Dbon3Izap5yYnfvs5apz6ZUqwEqf7
dp+4Y/uAcWVMp6CzHiKOKI+V39PBGVQffGgRoiMKKZqtGYN9x/akTiIKnhZa4R8HtHD7muhOujpT
VYfMD3RXh1EqPfGng2pCyuzGvu+6WNuGN4m7JYDdPE/1Qtpt1PbmpUvqeqtswr+LTFpAi45UsNV6
Gq/FZFYmfmvJ9BkT7pKYCTG42Q6DgIGOaFsUw9qwRLElug+3AGX2T3aVB68pNgsdW6GDoCEj47w0
jeY4eg6jenKyz4rt/UTc7nDX2+bnSQbtbUO7CJuRSTUeLhNRfybxKNuMIrQfZ/B3/HYy65JjkfX7
SGTr5xlfwfaN1k0xXlJPRvEJon1+jIu8Wjet/GTPS3RJcDHHpzuPVpSC6jz2yFkK9DI0suTN0DnG
Byl72uY2zN4VPcxvgPDq3C5pto3c2b5kaT++0guPNjH56fdhE7of1DARDJlXCUik6frNHf3K/NaM
WrvaoNEwLoJeysYXw7TlcdHLFZ66abqy+pwOvVjDjXqOhsa8wZvjpWdL3CYZ4xQQ4NWy42M2Zd0Z
dyDxaZpiPHX9fJbgLJ0F7pMkpy4WKCKDergdfEmzGyA19204JKYFV8GvGyXO2DAI7jCwCB0TTrGB
Jzn0bH7GnScYKiah0uUUwIwrrI9RJvxVXHglkGct1igJcshcRbGxONexFgJCYBcUslOE0bKJRQvf
yGML3yGdNhXkoca5BLHw7oNQ9o+1JJpgJSu4fV2WIGpZ1A5JKZGdMseFaYifPbNFd0umMi7GCjsZ
XFl2+F6Xj2lGaCoNtazY2ZV2trGLDK6viSf90Hv02khzS+7huzo7hBXzkynleJo7x/yI/IIFinzl
W1ag8ZAqMlI3PQlKDs3gfVMNCb+0RXNyyqV9SFzgi/VcddMW4QS9uGSqrZsB/+dLmnrmRkbekbYo
Ga54Cz+bHdbrK7ccXpIh+QTaG2ElbpEwHasxfh6bsF35Hc64q7ZzbrwGtxdlxsRIwgMEd/F4Dz1y
VtrLJSy1deAPEOfmPHGZCWWP9kW57Q7KOLtjAVli1fplsW8m8kqbkBsfifl9jLLa33WqjbIt2+F0
CDAV3uAeS/s8wvdPSeshIWSlW6FMQ7Y2x90JerNwVmYyDyclBZ4wtq2cHT+jbv2SeNe1z3rzjk2P
93uAHSrka89dDviPF18b328PoQyjbaFLq6bs5Ap6G0RWYZX1uigzb5sabbPN6CqvgyEYcOOw7E00
F6TJji2IGpa0pzwrx7ulCxrnmf0NmlwFzXNcIy4r77M+ddZd7tYP0JNj76EgrJvWoxFKjGYyyoJq
El9yeJ3xLiR+lQlkUgvSnss/xGyy8Vioc5Wj05uHPFTrrAuiS0cZcGujQ2LlnZ34k1+OpHEvTkaN
JcLXGAHhwxLBGSKuL9m1+TCf3c517/CubOUqbFtjM9Qu5td10Z+U1c77oCIbCVf+7imZypt2ak9N
sKhNG9rth5IA9a/4gpj7sW/lDZrXaC/j4IVCbdr5ndyMvhSXjL4DmQNjniO2gylZ3JA8Dxc8DRdS
Sichm2xdY+mVwVb2lofBMZsvCof6mOFjF+OqqVBYO8A8AFkAPvkgjfLrrHEgPNuXD0YCu2MbE6k2
fAn65qkZ5grkSH7HkRAyYoIfKYiFieM/1ABOzRV6qq4wlFOZbziJNbcKhfIK1ns7HPMpjTRhec63
QZ4l2lBIIMNLS/5PTgjzquheO+jtXJod2jHfbaaPSyLqtXBkEPv38Bbbe3a/Y1+yg07/QO37mSGl
jUcB1S2sVoUlMHH4kSEVw52c0dbLgy+lOE4OJ1Fyk+ynZfa791Ba6f4vnYN/Q+Z1f+a1YAnnoIiz
tacJGIH7EyWrSJCVu2ZXHyowxHOfULp3LMxvudEDBCFi+YrEVIg7OLMDMhXpOdG8Ri6alLeZmxWs
fEzsLeaVQn4o5WjdlYa3NDfSppc+Jn24HfOaAlAsVUTZVnrduxmbTsiBXvTLo+0ZOJeDWshDOgyU
mU3mvsGkn/rHDnlPB8HTsjAUrzzajJ8XzhO5Jm5zYIsj16HWjzmLkJ9tPZW+07xOxdy9M2Sq34Nl
rB4d0n7IxG47/r5nm82rWeIWfo45Gxl67TQ5YFlGdFnQPnaE5XBw2AdxjVM+f1F+EHVjeXuZWPBh
OlyCXq9n4dJrrf/IjZOkNRPXUaGlRhDGac789NJzKmRC2s364M76vOymGWeDAf1+/L2l9r/a1ukP
+ktT9vuFEC5TBmAGYv88ushbJDm94EJFUvCKm6CETlS1vB/mnnjr0oCzdVwrDiEgQc3rr8fa368e
mDj4oK0WpIuG2oTkr+7QDT1G35yJtJdZA5w/QVlL23SmfizkoVZIc1de73MIMKaSY9uvL25BZvnp
3nETJpuLvBfUwn+7dwwSDfwrZH2AZMKnj1MMwOrnrf1UZR3HZmF53PwoZsQ5MURzuFTVwMGviv3i
EAv1h5PQf9ub/9jeDATv5n9vb3586xK4NSSA/AB7QE/nx/6EPSzvNxZJ1/vT7QZs40/Ywxa/6cYi
Y9xmsfsT8QAmMWEz6/WVqYYw8P/3NnHAcQWnHGRG2LCx6lr/SW/zx/UUwxyGN3YS4B7Qp2ym2Y+D
XAdmIW0evEs5Eim8Zn8dLmRz9t6KgMDu818ezL9ZvX+cUdeLQaXVuo9QQNP+efGOXaVF+L24JAZH
/0rU9tOMZ8kLzFI9mfSSF5u+eAtH8vj+D5dGLgn0pB2Cfp7MpNZaqq8tcYEIxaVD8jS3OrxKbSn/
IBkEilWlMyUtN+R99Eh+ffkf90l9574taFETZUvugPYm+mEtsR0iq3BCcS4FPlSUaAT/tWuzH9h6
0lpfTul2z6+vaf+4hPxxUYaKADrzWEV+2iurpoqGuAnti2tXLBtwAo526dHVxG8vfGl6NziL1OHi
gzWwlST90L979Eb3hYHhxbrFlHjf0LVTh86QcbRdFhZdPCBZ8iJ3NK3T2ESztUmXmj5HBxcqwdmy
oo/16/vQRkv/2gW+38a18Q48AN3oZ6fNgGCgQfmJfaFjyVgZ0H2oQvfkgo5VDkGhTrxyu/dfXxXw
4O9XxU0OAIGJwX9/fGM0Ev1MudK6ZNZoPVUG/TCoKsnvZqbay2wt6sEVjXWHrSRt4TmhC/3r6/99
YvoUOljkwcFh3Pw8V8YwrHKQK+viGZ56IPepeZ3DQd3H4z/u5z/tNdcnjHcIM0tveEAPPy0C0eyT
FmcO1kWkoXowGpzSd0Rv0tqOHKd7V7kQb6Pp6dlp0mVu/InJYsAsuM9gzv3D6/53N46CmdUSMNL5
26i1hVETwReZl6FvmSTCj4r6bPelOa7SKg//D5NEM02Zl/zj/02cYjWZmRrOaMOIgJxQkWm7fO/c
Dr6Jj7fUjbuRHmnbpozysFgoGcdQxWvsgXDlsbKlPhneqB5i+rsYS5k2bfd8DLdWD1aTJFg78akZ
s8xF7DvdhMj8i92vx8pVD/jTFMHw2de2p3iN/83fl+D3aAjm0LpEsCbb3UI1friOG6iBzaskrXpd
gGi/IjoJz2WARDZOF0q3bg7bAyIXyoc0F22xX6alkBsrMrv3QJrq4dff89+sgj6QP/UUdSPHlJ9E
RwQED6MXCevioj+iTa8b5FZDg9wyI+upJabqHypVvYP+MIuxlmBU4zAHJxjq7c9XJN7Dzsx87i4T
nb0T8Ij7RmqY/pdDa3swHXUvHY+Gd5RGVPZ4QyTwgqBHPqaD5qE5xC+/O+TK3eMrke5NEjxeUwf4
R+gxcX1EHbuGhxsELHcCtGimW/j0GkYqjravUyiJRvgHpcj3Cvuv75vNmkMHkCReu5DVf8YjlyAP
fUrR+FLzU+uwmReCRH0j+wCTce4P1ZiM0zrzx6zf2K5R0GTFYjHZhQnwwwqZlGOuZzqQ5KPZ49Ys
e383LoQFHRKvGyxalfGsc4tcmkums9ACMZPJeG4M3Oc3+LETKTmRaOGuQU1p45g2QYSrrJuGLVsA
5td5BhIggqa6DPDqTkFXZme7DOo7TD99GL+1RECDTNj4ZM1+/sGq5+KrCZl6U1AHIEKfl4W4TzUm
7zMEfu+mJ4p4k/bs3zdgrgj9sJ1t7lsTGx/0xCEySVF35sb1k4CcMN83mpehKrJp40S+/xiiLDLR
M8S5RzuNZgjwfyzJa/NCmnhebwdfUCzIgB5/1xPCBDvKBmUbBBZcLaZrx4jTydmOB8rtZoxuTLjm
j/M0gmT6tOzlBcGcJdCEaYfgtrMhX5dk8DT3flwWcg2/LIk2hL2EL3EysO3mjBGfLklM+uUcYhqS
wEOkNCBMA1cvvl3tum9dKCgTqoDVhhJQw70Nu0CXzvwYR2tyYCMHKTq6VkBNRX/OPwe5nw/szFZi
BQ3A9GD6zY0TIzu/9Zy6PZO0GVi7eCakE2FbqoKjIFThbkTjTxgLjmwQ4BKTRmQmN7g36LxDIXcS
3TbkGM6qprl8sroAB4IxUBtsLuwvc1/XHP+ABn08xXcwRerPsMlIKHcMHMa8JnlnoKhv8RBlGjaO
q4058HrIiuzxaIkbF5mGP64ZWKXpAAhUSgUrgsHmFbrvd9Ga3lpBJGmeDDdIc2z3AtCUm6pCyPTk
j1FthgwAnBX8TemXgXbAmxE9eiiZsIqz+a9lTzZSn1ykBoJ7zHZnr0R4ZIXNJyOh8c3XzbNKbkAa
ymBnmLr4WXC9qekPxcjJsT4w44BiiBVcvLUBlvFbnHybmZZVVDwro+ONzRG4bjmTKbAe/VBDZho9
S2dGJUHolnayx8oO0ovlN68h/GZIMNbCS6W9aqxNU5LASrRnA/UN5B6yIUt2KuLL4ANerpfZE28R
iAmG4Sb1al9oTVU5oXuPlvCFNmL33tHxOdLaZOERrEO+KOEgSfT7NC8ToEjC4/j4udUALycOkkyR
I7yQBBRs8rmsT3mV208tomH+Ul3QV+mh5ELN82lmFiIs441l9fxOvCjuCeaqdfcdSVx8jS0GhPi+
SZudGg9/h79BEyK7g2PNEsO5OjjHbRmeQ79WD1iisamnBivqdY2khgvOkcsmegUXIyJm3ttQP8or
Jt3hLjlQcPBtgTaAzxwcAu5ryk4be610vm+vtUheeDRAAOkAWGOaOuj3LWQ+VIazhuJH/He2V9LA
kHLccIh2QCRksz33qpk2s64eZ5tnb5UaV2ZKcqU8Gbv3tGYwIALr3kc505wBwoZekI/uGzEfOJ7p
8qgp2G3bMG5fs7yk+iVnaX64FgoLrtjzjcoK7ztfEW8/Xm3Ll4GNmr0DAwCNpSQZHaHGm3dwkw0c
oiMInER812eGEe+OljvFe92y8XT0erqIb2RmJkV4XZPW61p58xoN2idkzuGEbCNCPd4QPYGAgxIS
LtF2km8+8jNkkUKhAkoxJC2ma4Ez6FIlX4DXvx9+HL0nz1mYlRtErAKTFyNvMzIuPc3vxncKnzNX
vCW+ozHqRfIFGxttxyoggjfbNqUVfcGqgYtX1ylkRS6xrSOUMMogdp5+I6dLICYiFsKOd9REAcUd
vwxjHQpIRhhrW62PKjnUsr01QyhgGXCOHm/6ruoc/8jt1CcHQP6BFLt5XuFoybcFxdPJ6+y4vR6e
blVYd2acsTPlYuCTs5FyVYB8D7fNFBvJoUywykBlWTFqMSsBsKXhxZeJXAYwRqK6FWcF4YsaU/8p
y4O22Patme7RZDBGrh2ppISqtsLklPu/LgKIvnHMSiueSgFT/OzNdP1apPGnxtOXLyfoAldWAa7l
zWtm1SDwuoNHud8e2sjhraY2CSYFGznPYaIEDas0esG9S90rIqPfZIDMPEfvjoQoXQxcV11mvJQd
3+Q6EgWIXHeaUpYA16JG334nkoi4jbv7UEX2dAxq/YKyFiOOnV1H7aGUtD/TflHhquc42mFI0lMU
2cFADWRD63+cTTqdTpZB7wDhRyGZcQwRKrCgCtF2RhM0W+OKdT4scCoNNaGiYaK3IIf31ztkJ6JG
7jxWIDKp4U7qA+8yGc3rQnf5ifRf+yll6SZrmSPt09DymzWaLmfb6yptwR6PpOQrpUJvm/NiMqIa
EkKOTnBlcbgNMkM7MLA1ssuNHAZOMvqpSfxNQ/zJrGLZSP11Eo+7yEl7eWuGnvlaaf4UACXTapmd
aOM7i4MQqoCR4MJVfkdeyuTCB4TVMemk66wShjxCD1iUD+Sqe852GgFo5tSFzeMiTnQflJwqCXAn
oMYY0nTf/mCspBBvCMTg2FoM4pi3tVFvEZlNxU05evx0MSR2+4jRwkTFHuU8aBxxrLs0u659ys6M
fR1bOjK9gYvKkVz0nFdge9cnHOHD8/e1SB/cx8xmXdALq4x9dpzr2I1iciBh1jfyoPx0/iLZhi7X
8SnsIdpnNAL2Y9Xq8MYhYIgEJu44Atn+TRLP0L2/D4hyKoPfG3/MwY7kKA8GedjbQss+Yo9eynVU
eHiO0+q2Iwt8s2Iit5V1h26eqZN3Bi5+gEgWbivulc20oNf1W5smBJpz+D2pvqHvbVVU6LgwiYk/
mymE5Iazp3WHjxxmuXpxcBOvnjZWETOzfCIYHmyYaM6ubhg0Q1az2jup9QGXw+XCSZ1BbeITOWgS
B4m3+oiH9zLt1Dryedh9dGW8IMBA5eZPuhnEBoRPfOzME0a5PYtCHcsx2rUG2Oq2GvS3zQYEpFun
nblu3MzqoZwFR4KGoxrmrnBUYvcaSjMTyrOaMHY2NjBmsbeU1ELL42gFqTr0w1glHywtOztWLKN3
0iS0jENjr/lPac1oN61okU+9O1CExEYevlzlMBVSI+7XDyf8EW3/cQhU+QGNw9fEiIx1HmbdwS1a
dICSlX3K4+z32EEW52s7G8fjSL0ea4cJrODUoVBgR5rTaVn3tDxDKpTZe8mzmeeckl60qt1pUXuD
6JadWQXzuIrbGpx7VOURcUN2SyK6Za3ZNcsjJ3t10GwV7BCaprqNaqf+PVQF9YJn49sBIZsRJju7
D7ZKdb15g0MRlLEswhNjTZgJNdUg8EuyC6QnRJLThaHLNqzbAmLNI0HmvB5ZNvy7DS0ekuMu6p4O
IHZkziQPaABYl9qRGoe0BPXQJoF6yOOeCk+1xABrxvb1oJyDMJwmJ2SqhokOzjAlXw9WCs0mu6Y+
gMjDN1XXzSRCjvK6uGmdf6upMdldoB9sIf04R3gy0UuEYj9eXQ+GsYnZENYyWcOS17Om1Z6CtUQ/
DbgMtuA5DWMwsya07q7cPMvou3d7mYON52jOEMMJO0SyqRVO9mxuQxmzWi1eaj+NXHl9XTfDLGdx
hDbrbK9EdOgDLOpNFAbnUgZpuYmgDDxNShBsVKByrnvWPQkh7a4v0FKlkZHfGLW782K9Mi9LzQ7E
2S452G6SfhOjZ3YntxmYcb3W/rl5G56N7xVGW58GzYor8yoQR9+HfnnkwKZ6rTkHIB0Gua+xByep
y7YDzioQCc18sZ6CANqgckNWJfo8PBI/M9g2osjmJHHFqzxQvqeEjvXmStZrXMV8WGI2o+8ls2uW
v3vgziu6ZKW5i/PSD7be3Ns7rpw8obpTzxhLLecEO45nKA75pmOGsDpz2ll2MCsHf+V7BCATgt4Y
92TR1PirL2EVbB3pqIMNke2rzgF9z8Jh+VZQVf4Oh7+j3J7AgqmrbDoXnXkm7KHeFzRXPkFU9uRm
QJWGMBHjrnbb1qq9cSFw3eFKR8Bu5qUfy6aPH4lhH9V6KFH/5Z1r7ufAne/wuIyeE1xdv9btzCe5
FQlaVMpVGN8vBMXDbMNjzoI6akoka+Hofce7/ovw/BPCA7BAx/MXCM+3rv9//5bF/v0n/2Sx+7/5
MM3J/bCu0hZNVf+TxW6jaCe0ANTjirXY9Kn+RHrM30jas0iVwejQAZygS/+nf7P/G45VngmLHdgb
VUr4nyA9XvBjMwxqPRm0uB5raT3xSH9LR41nAYszixN83/zhVAcVpQw+MN3JmYmPR81I4ZsPjvUA
Xg63l3QhM1XpBl/26ZAn0oB+haXLTvahfKSXYKDYLigb0Rbvk9Bgx7xyZiC9tTsccGHSKE2qAU7x
5W7IhkjzSQS8G4T6hbsSOUlYYzgj3dYUnTbiYB/kAzTpOZZIUoL42aq6kFMMCUxrAkU/4aj7Qt4w
3B/ktPMzuXy0asHQd+lomJtes4VizRsCqoNCpDSbiA0dYtFiRBjiItuFEL1YzUaaPhyk2rikUZN1
m0Rl00HClLtdJgKflOYvYZc/njLNaYqa2dlBOk3uEZtiLRcu+s6h2nZb0JQUW3rYUbi4wXdKprl8
jBPX3UGGx1W54499E24V+9NzDQFNizvH20DMu2CEmmO0mAfHsM0wBU5F/5jDHr2Pasu5RFciV30l
ddVkdeNeTZb5BvVuiLfdiAidZX3lwfTb8J3R9HWQ2ESNAs42UOhFyvk45HlzoC1JNwB+mTUkH2JY
BmynsymKjY9X/Fq4k1hh2bGIcw9hC/eSyiNhwFv6FcnIB+TO/bPoZug/TbpYW2O05VpkMwQ42VUu
78MdzktgH3pocqnmyw2aOZdH/UtUoQ8NJ/k857NYh6Q/fMb+e76xEshA5UxGBr5W29jqXbxz4/ih
E5WDDtivi9sgK3H7uxL5wqJM/FVT1t6HeOi8+9wxIuyQ/fE1kpF9IW4927qxRzDF0nzrr3TBal68
bdSmrJlw9m4U+4rMPGeNOZw6F5pzWFgQB4cKHoXl9J9wCKigzfv5MbnSFacrdVFdaYwYGHSfzakd
fk+zESCmbNwTjiTOY+5hPGS41QBfqWu9dT+WPLKpKeUt3PHP7LbDnYEd49aezG8k63zGNqgm0IbA
ieOoeZeFZmAigLK6zf+wd2ZNaiPbFv4rjn6H0Dw8nBNxoaCKwlXdntrDiwJX0UhIQrOE+PXnS0nY
QJXddstxj+LGld8MlZKSHHauvdbaYVpbH5GMFG8PoyKabksngJ7iQOCkdg9kTqkhdjoGhQhQX1bV
J8j8kXQl1xzNZtkoyfbgrbBDkaUrM93ECoDjZym9KgWP1BeM0jgBSZ7u5dp5VUI4rXT54yGzP0op
xaRAmRGjSMjObMMDrdFMqFfX2NDBSBQ0Vh0+68aJ1xLHg3pC7VkErIL2qgfEVb+7gQZoBUkYk01D
wZKNtYMW0IWomYu5hbe0DLta7JGOEjcbmsumt8kq5S5riLeWg8PjtEjjj2FDzE0FRzeVsvlWsHZL
wd9NBZO3bji9gt1bQPOFRecu/Ib6qxyQ3t8UjhzasN7q7RIS4tafeRm6isleivS7TFedmalG7oIT
rzxL4ryaGCb1j+TYsN5TKJCqXflhuZPM0c0mz9xr32J7dwxlNNcdwltbqqv5TtsCfeFn/oFKr/VV
uE2qpeWZoHp5iEsVUjRc5TQqEqdb/RWgtD+LDR8tAuK4qVX6GrX3wuR266tUpIA1dF3igTYt5XBz
V5V6RQ9sDweyH5K+0FFY3MHWHf1ZbaCtBpjN+ZurMMhiwMJNRKA8UsP5Nl4a9f4DCnrjKiKAXuwP
zmGm861loEvRnRyoCekmbbSnSkqUKEDjBZm2hQ/ex0qVJq9UO1XfYpeC6N0gMnGpVVZN6/hQ43vg
ROjyAt//eCD0QWlhVktEWNsJCwSqHmtLtF+4GPGadjoHzZMn+0N5Hxw29V+gKCWfmubc1TfY2pte
XCDIyR40x0iuDNOFHukaO/kqUqRi4YR1AITlpJTFKj4Jr7B5RUm0m90hqZilToR/Tx5XlQF66eUP
yo7dZmZqZvZSC6k7U27kNxtSIzfUg5OWIKM4+u6s7XVgUh8OFt5NFnPaktlgscbHpFYGzL1R0p20
kGpTnjq27y6MStvPRAJ4aeSVNGHHtuZZLCkvC1O2l/ud6QHUBa8d44AHX7YxrwnWM4s6ot5fBdhT
BBRvwXWPWXsruQyAzZUEuEcOORNu/ORKEiYQcjQdRXulnupM0Ts33hAOSgi8/AB/Kjx07SudIie3
dZ4486pIlvswTGbSYZ89Qh7fYxAYV6QHAjQRKhD5odDcRXrAyAOCLkXiUtBS3P8Lv/qMTrWYSSBm
M/zL30Vy6i6sNNvcIOZUsUmz7kvZeZ1nO/VeDRWMEItSf4U9cDhPR9n9pt6+LqRs9Kpyt3/s6ddb
zHkVZmNwvzHDw3xv+DZbo0cByYlRZsZcP0Cp1HyMaWBTFpQMAOF4p/ngcVVBv75OCm9j3AIsArjV
mbSJZkiUKNuDShPbdDAdSsNOtEoYqhvkOaSZ61DQ703oSfboQ5UJG3YPlcQBfzE8EzkLC6f2vS8H
Ac43sOzqm0TevPH9yKRIb3kglMkwZCCdAdw1RRqGh+IWpA2FOqqCOpL3+oRKNcnvCuWq3at4mx7e
q3Gxfx9G0v7WzLfyskh22XVSj7DPKEMTX2a5BviQDL9i6Q929AEEwZs6lCj1RDXgG8sfGat6izkx
8dz2FglCoU4QooavrUOByaEUZuhS9BmeiNW8VqzNY6IUo+sspyBEVlvJnOo/mM6m+XY3CXcsrz6Y
F7YTNdQGVPebP6mhFGOWhzV+GgOaoMTBCc5LD1p5JeFbPKlQzVQTdrcD5zotVpdpXITuLFdSRMek
0Qrb4rxUSnMdTxjAnNrFKSUzCyRQPgftOpOxDDpYWVksGlpy4PqjxShJDAI/R8KnCzKG/busj4x8
GuWHxJv7OohzZNmkG121oIIC5Ww+Zjoe+VcY729fWW6avAY8rjLSa7VH2UFbv848hxMsLIubg+zu
YWX7+1LCPjo14TPiD/Q+wIDvysls+WW4tYRBOD/+ByyBtTl2SNdqTgGGiYefEVmhXUX2D+yOIhBq
iZhqVFFaycs2M3U/ovgVNTZxgRmZSTANsZFaUAVDeu84FM7cxNRToFqCanE6rrUdkiI/l6Ye3m8f
WLwPM5VOwm9c/oz7is/E5og54ReFfBv4sAAnONzh/5wX23qSFroyzXF8jKea4WKZnGTQ+g3fLWZY
zN7FehXP7SrMX1aFqS8M14rrKewb/VUWpIWPE8suuNaEYYvNj3ZrFRkE7WCn1Y97x3I/2cTc76ij
ZC4dDbMS4QljvsyoRmZcORt5Y99heq1Oldr8kFOQ5X3tgBIZG13Dk+OwmSp7XVqkpFApiYVB4Ec1
1kgFw/mGsQrZgr1Ese+CbV2vlZGDAibx5BXrqXfrVSMZCEEzPpQYW9UYLoWmMx8leApd4cSBh1Ae
QpPf5epreNvqTDeonxiRv52RXLOv4ZAXM31flmAqZXVfZ9ihZ/jYiPKB0MF1HzcYii+t6qTaJ5iN
R9pc9iJoZrEcw6hVypyKIHsPYmeezEaGa8yVknqNEJf2L6EkHe4t3KnfxBWckSnr+favKJezt/ZO
Cj5sZCnYoKTY2rdodJ1bJDnSLdWv4TkxXpdSsjFeqYe8mlZSHC0UgOPZ6ICFCn698YxqrjKxv2TM
dN1Bc4a8x2dpDnfzyoj1620w2i32EqKK2A6qtxHKL7KE6SyPE2q5bMhWbwWpfivo9SwSJbaJKCwi
E++hrGTlU4Xi3RXUfF+Q9OuGr+8L6n4kSPx+Q+f3iFGCUEoIoCD7uw3v32wkAEIMUOZR9Wg0CoFY
iAXKRjdQCQlBc6j9//P/357/UZ999/xPThyG5xm902j+5kjvFPUKdVWBqwUigAyMM/yR3inLfCTy
FF/qFR4P/vqYYz81bQ3N1CB5CbigO/hr0pglD2teyYKyiCZI/ZmDP7r6Ew4MtBdJhxcEgVmGUMq5
X8ACJ/beTlHJnu4k1X0RPm6y4MoNPp/0xh8t7+TUYfucoPf0BhdUuXSvBmG85wbW1iDhTc09e+WV
955NYuJvWHkN7e0r84V7ybDOYb6qbD3QYC8JPbWcyYEeaDJs/oCcFNIRtK+SUQMqKBi9fcq2+431
gPGElcNliJVsdEDPoZOTu4X1kmzCR9gMFgXsoFO7km1eO+lGAHC7Yu1ZEoDpyyLVMoRt0N0OiyCz
t06KwYVUL+GiR87bOsnnW8XTbzNChj+2nEA9KtU5yQ4rKOooAD2nuMwrpUHRhklVqjYaryBMXP8N
IpVNCeGEvceMrngI9nUPHDGb7ArlNoXl/a6G17gMnKTACwedSjXHSSlQw6VJ3cArfW+wCsqU1Pk0
iiQDaSPuNhNKJKZT+Pq4emgjMz4st7ntjt5UyHy13UwtN1Qgiqc5Fnx759oMUi9reYr/Z1aN7kWu
Vvlq1pSIeVWs0/r1OqMmd3Z0ghSfNv7xb6N/9qXvN/Ri/SPFaWAhWiwcZzhk81DNE3+vjWCV4838
SNFWSr5BsMbBAWvK9vrtRRDt8BpoPh5ZxhiiObGWzdQRF4sFNzzppG91w/ffsO3P73/n7A0eomKX
i9+B1NUZcZ416sf64KKFsz7QIbGYQiLUXLh5nPaBDbceZq1BjZy2i/5bffDNCrukQ8B6+40ETR5z
1pBxLQFAFhdD66IX4EMKpjelA8XFtvBfGQnf7AW2P365ftNBGYuKT4oiNvjTt2cewELFagO/qeM8
Gdjb4zvX9+21sQLkINRT7TtedIJMbELvwG3X2zHS6lz+9xeDbw8Bgpb+nYDkAmK7rLedQJh1OhJs
ykartqzjLjTQeUBY+cRg6Wf3BVYDzrt4q9EXzXXRC5QtQyHNvsBoaK525g1oKCCfgi7ebzWwxuTR
RDjNin86Bky85GRD2L513TO4HYFaz8KUqtfra9qY92PJ19qaBvbFGCApSJbSVsE7B7cXYPvRd0NU
zTH2YqRnUbo0FyvL6SAACh6jkmLPPPZP098DmgJIrZ9IEX96ITDHGoVHdJFubq7LPUGRxjqSQ8Sn
7L9cg9sTUO9xwOw1E1QWApLMuhDYHl/ybChIQmNpihhxcGPgGbLCz44BXp+YiCFApZznxgDVpg0C
R0qetEOgC8MGNBOAzFm8eo0BER+bOvUEKE303BgwCR2bIgOCq8GdBvT2VPjsHRUJfTHaQniA7RBg
dT2dAaY+1gyQKSSI7eeD6wQZAXHvXrDGiNE4A5ndSfFiS7AtdkzOipwmv0yUYQ0FGUFsX8xAsca6
rYMOqheDwCI0xooc+wUhnOYa3GqI30yHYLSeEl9wnJ+BTOBmUWcRA+ButbsYBDiQApuqiCu7A8Lg
egHZvihN1W85NMYgqgIm7t7yohdsTXDRcEhW2jsNaDkEN3vC3/vZLRHEHXQc9azeAWcXsbFlj7kN
vgEo+dtraJsC7py9BwGBARRBDsJd7PcEM2JBaFxwj8fINhAb1FhAxN13Kihj1MlUIKKM93HZO90b
bXUsQgYDB+3288H1giKB9/fvBQ5DLHtmt/hfLAggBoirgdC6/h7SIBDHl56vz2kR+FTFlvpyJcCr
mjKWeEih8xXX8LACmw277+uTgRRyefQ67VtehAa2TJl7GWttq1svB9gLALw9ewGrHeqfgImdxH+n
K4FhjxXiUGFm0PbS4HoBAp7SdyywN1o2uEkXGDSQwGkvgJ7hU0IpWfPr3jmsKJmicL13BYEZiBVB
v5gJpjE2qaOFQVg3BgYYHsrCvaZfeKiNLbYCrEWexw4tndMy6XJh79Rcw9sTUWX0jgyIEkFFbAgI
7c5/kVMzAVBNrHqk46I5vPUAG5S+RwUVZATFDC/abQ0XM4JYmYQSc07p0LUhjgWDcKbfjFDGzHl8
KMkhNhfz/mxV1Mm4kFVlexjqjJCp/923F8icgKDh6fZ8rCzq/bB/ygp+l82tBhQmwgsSXKheowC+
RWfQ93XvOx0FskxlUl0nSCa5Jq522A2pFzSGaM9e0FTmAo4vIPPdknA+F4BpSCpY5B2G9/pi1+r/
+ojtiJSPUPLlUiCgZrBWdo5mDHQr8IAGgYpDUe+pIAMZq5bGz9y+Jb/16VSAdoNgWWCtXdahRfAH
1AsUyegNpqraGJ9HYczV0W4uxgIi4DF2fkQRonzxwMJk1RDWgP0WRDJnWJPi3NctiBf5RRMgDQKn
hU62HSXDCw40NoaevcCRSYNSAqL6PAUNZJ3DEmgittLtNbSxwIIg9+0FlW0BASHzoVsRLuYCeUbq
2jERSL031xDHgs1D954R1E8GUGwHvAgBztZFkKaW591l5NuYbEDrohgLvdOtrIssL0J83v7WF+sC
I2TMvCMF0XGdhvT+z9S0/9kEg6pDOGTjw3/4SwxwOgogJKqagBtP9o1h7Q4gYU8qf/50LxADgCkT
C3WT4eIA3TASza5i38B2x65kYb+1gLkuK9iRGt0suACXTZgZ4GwaavR2lgwu7U6I22UA/3nGFSIa
igSFfxcbApwLCjkaWJKrQ339VvfTaxBoIAdUFVAogNu+5cUggJXNaYlqGsyR9guDCw6MxnK2Xy+A
lfErU6aze8mnKBLpF3gJePc2V7sP/9C28ANf+iL9mLpe8NiIPrx19pw25FtfOIodnn7eCR0Wj//6
TagZzr4otGjtvb9qQv59xn9umEYnHx6ZR819uj/vXvDprc/udXyr43/eeOt0lT64lGZDL1J3j3m/
ChGO/E+w+rwKV6caN7Zk+vzrk/zrt7PnPAmL/qbhzL9oVyRmereb4iu/O2+4ocz3b9hf7bJVdnxE
8TMiUyZq69vydBV4f0XpRSncltrau23qN6arx+j4lOKpW6Zk/5Z3u/VD7j0U+VnjDQWvb+NX62BV
rdL1acstva13y16Wp95D/iL66wUKvyL87J0NlpZP3vcuc3rdezxruKNk9W35eh1RNvm85Zbt1Lfl
G3rc8057XFYB7I//8axa9stS/72pvnhcuWcDsGOt933gBea1u8g7n5Et6ad307tHb3WxirQyvN4t
R9X5j0dNe848fZtdPl2bWiJk74ZpoHjw6+MjNsteS6To2/TLqPCyJ93cshT6tn238nZnqwcstV+x
vdyt0jpY7R5Pu6NLI/d/5CxbPbhFts7zszHd0XZ6t+89uN5mda6qBGL5BTP8zmMvyKL8bGR39MP+
j51RAzLDJvRsbYLXJvDyX9F6VKSXTQvKXO+mo11+sYZQs0uk1vq2fL/+nOL3ft7brTa0f9Pl6nzf
6tJh/RuuXtyswjhzvfNtnfZFpuVXtH+7TrP12UoFdC+y+7+i8bv13ns428a6vMCvaPwjNVWPj9mc
D3BhlI//8c933vsozd0X01UasVOeD5cW0+/97M0Nrlb+5dxXDYXEbt/mf3e98x5vMfjezfoBEcn5
qYYyXALS7d10ut5cCtebRGrfhv9Y73ZZHZSri2NCx+Tq2/xrN3pcv1hkT/a2VmTat/k3UfGNgdgl
FH7NDZ4OxA6j7tv8W3p/nWXrs5BCbfHf/m3vz0+VXda1b7vv8pV7HNBiTemA2r7N/rlOQ3a2s5Zb
8K93yx4nm4vh3aGrfZv+fjHGb7tw/ND55v3f+QD3bd/LHqJd5p1FbmqLtfXumG97GH33qZ9Dmr6I
4Z7iT0cfkOf+7BxcE994CNar9N//AQAA//8=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454099</xdr:colOff>
      <xdr:row>3</xdr:row>
      <xdr:rowOff>110756</xdr:rowOff>
    </xdr:from>
    <xdr:to>
      <xdr:col>25</xdr:col>
      <xdr:colOff>234332</xdr:colOff>
      <xdr:row>39</xdr:row>
      <xdr:rowOff>92756</xdr:rowOff>
    </xdr:to>
    <xdr:sp macro="" textlink="">
      <xdr:nvSpPr>
        <xdr:cNvPr id="2" name="Rectangle: Rounded Corners 1">
          <a:extLst>
            <a:ext uri="{FF2B5EF4-FFF2-40B4-BE49-F238E27FC236}">
              <a16:creationId xmlns:a16="http://schemas.microsoft.com/office/drawing/2014/main" id="{AD303A63-C13A-4594-BE30-6B6E69A003B6}"/>
            </a:ext>
          </a:extLst>
        </xdr:cNvPr>
        <xdr:cNvSpPr/>
      </xdr:nvSpPr>
      <xdr:spPr>
        <a:xfrm>
          <a:off x="1058123" y="668317"/>
          <a:ext cx="14276819" cy="6672732"/>
        </a:xfrm>
        <a:prstGeom prst="roundRect">
          <a:avLst>
            <a:gd name="adj" fmla="val 3046"/>
          </a:avLst>
        </a:prstGeom>
        <a:solidFill>
          <a:srgbClr val="122C4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95250</xdr:colOff>
      <xdr:row>4</xdr:row>
      <xdr:rowOff>79375</xdr:rowOff>
    </xdr:from>
    <xdr:to>
      <xdr:col>24</xdr:col>
      <xdr:colOff>555625</xdr:colOff>
      <xdr:row>37</xdr:row>
      <xdr:rowOff>111125</xdr:rowOff>
    </xdr:to>
    <xdr:sp macro="" textlink="">
      <xdr:nvSpPr>
        <xdr:cNvPr id="3" name="Rectangle: Rounded Corners 2">
          <a:extLst>
            <a:ext uri="{FF2B5EF4-FFF2-40B4-BE49-F238E27FC236}">
              <a16:creationId xmlns:a16="http://schemas.microsoft.com/office/drawing/2014/main" id="{E5F466B6-3811-44A6-8EBA-881BFEB886FB}"/>
            </a:ext>
          </a:extLst>
        </xdr:cNvPr>
        <xdr:cNvSpPr/>
      </xdr:nvSpPr>
      <xdr:spPr>
        <a:xfrm>
          <a:off x="1303299" y="822790"/>
          <a:ext cx="13748911" cy="6164920"/>
        </a:xfrm>
        <a:prstGeom prst="roundRect">
          <a:avLst>
            <a:gd name="adj" fmla="val 7009"/>
          </a:avLst>
        </a:prstGeom>
        <a:solidFill>
          <a:srgbClr val="1B426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375634</xdr:colOff>
      <xdr:row>9</xdr:row>
      <xdr:rowOff>4919</xdr:rowOff>
    </xdr:from>
    <xdr:to>
      <xdr:col>8</xdr:col>
      <xdr:colOff>389049</xdr:colOff>
      <xdr:row>14</xdr:row>
      <xdr:rowOff>147794</xdr:rowOff>
    </xdr:to>
    <xdr:sp macro="" textlink="">
      <xdr:nvSpPr>
        <xdr:cNvPr id="5" name="Rectangle: Rounded Corners 4">
          <a:extLst>
            <a:ext uri="{FF2B5EF4-FFF2-40B4-BE49-F238E27FC236}">
              <a16:creationId xmlns:a16="http://schemas.microsoft.com/office/drawing/2014/main" id="{8A118D78-A8D5-4910-A232-398427A952F4}"/>
            </a:ext>
          </a:extLst>
        </xdr:cNvPr>
        <xdr:cNvSpPr/>
      </xdr:nvSpPr>
      <xdr:spPr>
        <a:xfrm>
          <a:off x="1583683" y="1677602"/>
          <a:ext cx="3637561" cy="1072143"/>
        </a:xfrm>
        <a:prstGeom prst="roundRect">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269680</xdr:colOff>
      <xdr:row>15</xdr:row>
      <xdr:rowOff>58964</xdr:rowOff>
    </xdr:from>
    <xdr:to>
      <xdr:col>8</xdr:col>
      <xdr:colOff>434781</xdr:colOff>
      <xdr:row>37</xdr:row>
      <xdr:rowOff>27214</xdr:rowOff>
    </xdr:to>
    <xdr:sp macro="" textlink="">
      <xdr:nvSpPr>
        <xdr:cNvPr id="7" name="Rectangle: Rounded Corners 6">
          <a:extLst>
            <a:ext uri="{FF2B5EF4-FFF2-40B4-BE49-F238E27FC236}">
              <a16:creationId xmlns:a16="http://schemas.microsoft.com/office/drawing/2014/main" id="{05B71150-053A-455C-A582-5381A266DD1C}"/>
            </a:ext>
          </a:extLst>
        </xdr:cNvPr>
        <xdr:cNvSpPr/>
      </xdr:nvSpPr>
      <xdr:spPr>
        <a:xfrm>
          <a:off x="1477729" y="2846769"/>
          <a:ext cx="3789247" cy="4057030"/>
        </a:xfrm>
        <a:prstGeom prst="roundRect">
          <a:avLst>
            <a:gd name="adj" fmla="val 8166"/>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14445</xdr:colOff>
      <xdr:row>9</xdr:row>
      <xdr:rowOff>88900</xdr:rowOff>
    </xdr:from>
    <xdr:to>
      <xdr:col>17</xdr:col>
      <xdr:colOff>67078</xdr:colOff>
      <xdr:row>22</xdr:row>
      <xdr:rowOff>127000</xdr:rowOff>
    </xdr:to>
    <xdr:sp macro="" textlink="">
      <xdr:nvSpPr>
        <xdr:cNvPr id="8" name="Rectangle: Rounded Corners 7">
          <a:extLst>
            <a:ext uri="{FF2B5EF4-FFF2-40B4-BE49-F238E27FC236}">
              <a16:creationId xmlns:a16="http://schemas.microsoft.com/office/drawing/2014/main" id="{A76CF5D9-F041-40F0-8A81-42E9FFA0C39A}"/>
            </a:ext>
          </a:extLst>
        </xdr:cNvPr>
        <xdr:cNvSpPr/>
      </xdr:nvSpPr>
      <xdr:spPr>
        <a:xfrm>
          <a:off x="5450665" y="1761583"/>
          <a:ext cx="4884828" cy="2454197"/>
        </a:xfrm>
        <a:prstGeom prst="roundRect">
          <a:avLst>
            <a:gd name="adj" fmla="val 10175"/>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85012</xdr:colOff>
      <xdr:row>23</xdr:row>
      <xdr:rowOff>28173</xdr:rowOff>
    </xdr:from>
    <xdr:to>
      <xdr:col>17</xdr:col>
      <xdr:colOff>174403</xdr:colOff>
      <xdr:row>37</xdr:row>
      <xdr:rowOff>5948</xdr:rowOff>
    </xdr:to>
    <xdr:sp macro="" textlink="">
      <xdr:nvSpPr>
        <xdr:cNvPr id="9" name="Rectangle: Rounded Corners 8">
          <a:extLst>
            <a:ext uri="{FF2B5EF4-FFF2-40B4-BE49-F238E27FC236}">
              <a16:creationId xmlns:a16="http://schemas.microsoft.com/office/drawing/2014/main" id="{9E5999E4-82CA-4478-BF20-B2B8A280FDD6}"/>
            </a:ext>
          </a:extLst>
        </xdr:cNvPr>
        <xdr:cNvSpPr/>
      </xdr:nvSpPr>
      <xdr:spPr>
        <a:xfrm>
          <a:off x="5518287" y="4347962"/>
          <a:ext cx="4918968" cy="2607211"/>
        </a:xfrm>
        <a:prstGeom prst="roundRect">
          <a:avLst>
            <a:gd name="adj" fmla="val 7405"/>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375634</xdr:colOff>
      <xdr:row>9</xdr:row>
      <xdr:rowOff>50800</xdr:rowOff>
    </xdr:from>
    <xdr:to>
      <xdr:col>24</xdr:col>
      <xdr:colOff>406400</xdr:colOff>
      <xdr:row>37</xdr:row>
      <xdr:rowOff>0</xdr:rowOff>
    </xdr:to>
    <xdr:sp macro="" textlink="">
      <xdr:nvSpPr>
        <xdr:cNvPr id="10" name="Rectangle: Rounded Corners 9">
          <a:extLst>
            <a:ext uri="{FF2B5EF4-FFF2-40B4-BE49-F238E27FC236}">
              <a16:creationId xmlns:a16="http://schemas.microsoft.com/office/drawing/2014/main" id="{F88D6AD3-562F-4B7B-9F25-6182A09E20F8}"/>
            </a:ext>
          </a:extLst>
        </xdr:cNvPr>
        <xdr:cNvSpPr/>
      </xdr:nvSpPr>
      <xdr:spPr>
        <a:xfrm>
          <a:off x="10638486" y="1741152"/>
          <a:ext cx="4256646" cy="5208073"/>
        </a:xfrm>
        <a:prstGeom prst="roundRect">
          <a:avLst>
            <a:gd name="adj" fmla="val 7212"/>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496374</xdr:colOff>
      <xdr:row>9</xdr:row>
      <xdr:rowOff>50531</xdr:rowOff>
    </xdr:from>
    <xdr:to>
      <xdr:col>4</xdr:col>
      <xdr:colOff>295141</xdr:colOff>
      <xdr:row>14</xdr:row>
      <xdr:rowOff>94444</xdr:rowOff>
    </xdr:to>
    <xdr:sp macro="" textlink="">
      <xdr:nvSpPr>
        <xdr:cNvPr id="11" name="Rectangle: Rounded Corners 10">
          <a:extLst>
            <a:ext uri="{FF2B5EF4-FFF2-40B4-BE49-F238E27FC236}">
              <a16:creationId xmlns:a16="http://schemas.microsoft.com/office/drawing/2014/main" id="{45BB9CE1-624D-4E73-A774-5AD418F9CF77}"/>
            </a:ext>
          </a:extLst>
        </xdr:cNvPr>
        <xdr:cNvSpPr/>
      </xdr:nvSpPr>
      <xdr:spPr>
        <a:xfrm>
          <a:off x="1704423" y="1723214"/>
          <a:ext cx="1006816" cy="973181"/>
        </a:xfrm>
        <a:prstGeom prst="roundRect">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492351</xdr:colOff>
      <xdr:row>9</xdr:row>
      <xdr:rowOff>50531</xdr:rowOff>
    </xdr:from>
    <xdr:to>
      <xdr:col>6</xdr:col>
      <xdr:colOff>291119</xdr:colOff>
      <xdr:row>14</xdr:row>
      <xdr:rowOff>94444</xdr:rowOff>
    </xdr:to>
    <xdr:sp macro="" textlink="">
      <xdr:nvSpPr>
        <xdr:cNvPr id="12" name="Rectangle: Rounded Corners 11">
          <a:extLst>
            <a:ext uri="{FF2B5EF4-FFF2-40B4-BE49-F238E27FC236}">
              <a16:creationId xmlns:a16="http://schemas.microsoft.com/office/drawing/2014/main" id="{DA041251-F417-4355-B59C-4EEA17F9F5CF}"/>
            </a:ext>
          </a:extLst>
        </xdr:cNvPr>
        <xdr:cNvSpPr/>
      </xdr:nvSpPr>
      <xdr:spPr>
        <a:xfrm>
          <a:off x="2908449" y="1723214"/>
          <a:ext cx="1006816" cy="973181"/>
        </a:xfrm>
        <a:prstGeom prst="roundRect">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407835</xdr:colOff>
      <xdr:row>9</xdr:row>
      <xdr:rowOff>50531</xdr:rowOff>
    </xdr:from>
    <xdr:to>
      <xdr:col>8</xdr:col>
      <xdr:colOff>206603</xdr:colOff>
      <xdr:row>14</xdr:row>
      <xdr:rowOff>94444</xdr:rowOff>
    </xdr:to>
    <xdr:sp macro="" textlink="">
      <xdr:nvSpPr>
        <xdr:cNvPr id="13" name="Rectangle: Rounded Corners 12">
          <a:extLst>
            <a:ext uri="{FF2B5EF4-FFF2-40B4-BE49-F238E27FC236}">
              <a16:creationId xmlns:a16="http://schemas.microsoft.com/office/drawing/2014/main" id="{BA16A2BA-1105-4653-A97D-4B97CBB4C7C3}"/>
            </a:ext>
          </a:extLst>
        </xdr:cNvPr>
        <xdr:cNvSpPr/>
      </xdr:nvSpPr>
      <xdr:spPr>
        <a:xfrm>
          <a:off x="4030018" y="1740883"/>
          <a:ext cx="1006162" cy="982998"/>
        </a:xfrm>
        <a:prstGeom prst="roundRect">
          <a:avLst/>
        </a:prstGeom>
        <a:solidFill>
          <a:srgbClr val="17184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362218</xdr:colOff>
      <xdr:row>4</xdr:row>
      <xdr:rowOff>134155</xdr:rowOff>
    </xdr:from>
    <xdr:to>
      <xdr:col>13</xdr:col>
      <xdr:colOff>107324</xdr:colOff>
      <xdr:row>8</xdr:row>
      <xdr:rowOff>67078</xdr:rowOff>
    </xdr:to>
    <xdr:sp macro="" textlink="">
      <xdr:nvSpPr>
        <xdr:cNvPr id="4" name="TextBox 3">
          <a:extLst>
            <a:ext uri="{FF2B5EF4-FFF2-40B4-BE49-F238E27FC236}">
              <a16:creationId xmlns:a16="http://schemas.microsoft.com/office/drawing/2014/main" id="{D80E6888-2C22-4897-A60B-0C46CB553AED}"/>
            </a:ext>
          </a:extLst>
        </xdr:cNvPr>
        <xdr:cNvSpPr txBox="1"/>
      </xdr:nvSpPr>
      <xdr:spPr>
        <a:xfrm>
          <a:off x="1570267" y="877570"/>
          <a:ext cx="6389374" cy="676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3200">
              <a:ln>
                <a:noFill/>
              </a:ln>
              <a:solidFill>
                <a:schemeClr val="bg1"/>
              </a:solidFill>
            </a:rPr>
            <a:t>FURNITURE</a:t>
          </a:r>
          <a:r>
            <a:rPr lang="en-GB" sz="3200" baseline="0">
              <a:ln>
                <a:noFill/>
              </a:ln>
              <a:solidFill>
                <a:schemeClr val="bg1"/>
              </a:solidFill>
            </a:rPr>
            <a:t> SALES OVERVIEW</a:t>
          </a:r>
          <a:endParaRPr lang="en-GB" sz="3200">
            <a:ln>
              <a:noFill/>
            </a:ln>
            <a:solidFill>
              <a:schemeClr val="bg1"/>
            </a:solidFill>
          </a:endParaRPr>
        </a:p>
      </xdr:txBody>
    </xdr:sp>
    <xdr:clientData/>
  </xdr:twoCellAnchor>
  <xdr:twoCellAnchor>
    <xdr:from>
      <xdr:col>2</xdr:col>
      <xdr:colOff>375635</xdr:colOff>
      <xdr:row>7</xdr:row>
      <xdr:rowOff>40247</xdr:rowOff>
    </xdr:from>
    <xdr:to>
      <xdr:col>13</xdr:col>
      <xdr:colOff>241480</xdr:colOff>
      <xdr:row>9</xdr:row>
      <xdr:rowOff>26831</xdr:rowOff>
    </xdr:to>
    <xdr:sp macro="" textlink="">
      <xdr:nvSpPr>
        <xdr:cNvPr id="6" name="TextBox 5">
          <a:extLst>
            <a:ext uri="{FF2B5EF4-FFF2-40B4-BE49-F238E27FC236}">
              <a16:creationId xmlns:a16="http://schemas.microsoft.com/office/drawing/2014/main" id="{01BA266F-B1A2-4977-AAFC-E3F286018240}"/>
            </a:ext>
          </a:extLst>
        </xdr:cNvPr>
        <xdr:cNvSpPr txBox="1"/>
      </xdr:nvSpPr>
      <xdr:spPr>
        <a:xfrm>
          <a:off x="1583684" y="1341223"/>
          <a:ext cx="6510113" cy="358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n>
                <a:noFill/>
              </a:ln>
              <a:solidFill>
                <a:schemeClr val="bg1"/>
              </a:solidFill>
            </a:rPr>
            <a:t>A</a:t>
          </a:r>
          <a:r>
            <a:rPr lang="en-GB" sz="1200" baseline="0">
              <a:ln>
                <a:noFill/>
              </a:ln>
              <a:solidFill>
                <a:schemeClr val="bg1"/>
              </a:solidFill>
            </a:rPr>
            <a:t> summary of sales overview, shipping trends and regional distribution accross the US</a:t>
          </a:r>
          <a:endParaRPr lang="en-GB" sz="1100">
            <a:ln>
              <a:noFill/>
            </a:ln>
            <a:solidFill>
              <a:schemeClr val="bg1"/>
            </a:solidFill>
          </a:endParaRPr>
        </a:p>
      </xdr:txBody>
    </xdr:sp>
    <xdr:clientData/>
  </xdr:twoCellAnchor>
  <xdr:twoCellAnchor>
    <xdr:from>
      <xdr:col>3</xdr:col>
      <xdr:colOff>120738</xdr:colOff>
      <xdr:row>9</xdr:row>
      <xdr:rowOff>50531</xdr:rowOff>
    </xdr:from>
    <xdr:to>
      <xdr:col>4</xdr:col>
      <xdr:colOff>174401</xdr:colOff>
      <xdr:row>10</xdr:row>
      <xdr:rowOff>104193</xdr:rowOff>
    </xdr:to>
    <xdr:sp macro="" textlink="">
      <xdr:nvSpPr>
        <xdr:cNvPr id="14" name="TextBox 13">
          <a:extLst>
            <a:ext uri="{FF2B5EF4-FFF2-40B4-BE49-F238E27FC236}">
              <a16:creationId xmlns:a16="http://schemas.microsoft.com/office/drawing/2014/main" id="{795C96F9-1D18-40CD-AA11-B49A74F8F589}"/>
            </a:ext>
          </a:extLst>
        </xdr:cNvPr>
        <xdr:cNvSpPr txBox="1"/>
      </xdr:nvSpPr>
      <xdr:spPr>
        <a:xfrm>
          <a:off x="1932811" y="1723214"/>
          <a:ext cx="657688" cy="23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solidFill>
                <a:schemeClr val="bg1"/>
              </a:solidFill>
            </a:rPr>
            <a:t>Sales</a:t>
          </a:r>
        </a:p>
      </xdr:txBody>
    </xdr:sp>
    <xdr:clientData/>
  </xdr:twoCellAnchor>
  <xdr:twoCellAnchor>
    <xdr:from>
      <xdr:col>17</xdr:col>
      <xdr:colOff>375634</xdr:colOff>
      <xdr:row>10</xdr:row>
      <xdr:rowOff>138985</xdr:rowOff>
    </xdr:from>
    <xdr:to>
      <xdr:col>22</xdr:col>
      <xdr:colOff>187817</xdr:colOff>
      <xdr:row>12</xdr:row>
      <xdr:rowOff>160986</xdr:rowOff>
    </xdr:to>
    <xdr:sp macro="" textlink="">
      <xdr:nvSpPr>
        <xdr:cNvPr id="15" name="TextBox 14">
          <a:extLst>
            <a:ext uri="{FF2B5EF4-FFF2-40B4-BE49-F238E27FC236}">
              <a16:creationId xmlns:a16="http://schemas.microsoft.com/office/drawing/2014/main" id="{FEDD5B20-B718-4D0F-A514-59B214A3642E}"/>
            </a:ext>
          </a:extLst>
        </xdr:cNvPr>
        <xdr:cNvSpPr txBox="1"/>
      </xdr:nvSpPr>
      <xdr:spPr>
        <a:xfrm>
          <a:off x="10638486" y="2017154"/>
          <a:ext cx="2830669" cy="39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n>
                <a:noFill/>
              </a:ln>
              <a:solidFill>
                <a:schemeClr val="bg1"/>
              </a:solidFill>
            </a:rPr>
            <a:t>Shipping</a:t>
          </a:r>
          <a:r>
            <a:rPr lang="en-GB" sz="1100" baseline="0">
              <a:ln>
                <a:noFill/>
              </a:ln>
              <a:solidFill>
                <a:schemeClr val="bg1"/>
              </a:solidFill>
            </a:rPr>
            <a:t> Distribution by State</a:t>
          </a:r>
          <a:endParaRPr lang="en-GB" sz="1100">
            <a:ln>
              <a:noFill/>
            </a:ln>
            <a:solidFill>
              <a:schemeClr val="bg1"/>
            </a:solidFill>
          </a:endParaRPr>
        </a:p>
      </xdr:txBody>
    </xdr:sp>
    <xdr:clientData/>
  </xdr:twoCellAnchor>
  <xdr:twoCellAnchor>
    <xdr:from>
      <xdr:col>9</xdr:col>
      <xdr:colOff>98427</xdr:colOff>
      <xdr:row>24</xdr:row>
      <xdr:rowOff>93908</xdr:rowOff>
    </xdr:from>
    <xdr:to>
      <xdr:col>12</xdr:col>
      <xdr:colOff>21692</xdr:colOff>
      <xdr:row>26</xdr:row>
      <xdr:rowOff>134156</xdr:rowOff>
    </xdr:to>
    <xdr:sp macro="" textlink="">
      <xdr:nvSpPr>
        <xdr:cNvPr id="16" name="TextBox 15">
          <a:extLst>
            <a:ext uri="{FF2B5EF4-FFF2-40B4-BE49-F238E27FC236}">
              <a16:creationId xmlns:a16="http://schemas.microsoft.com/office/drawing/2014/main" id="{5EB729BE-1A35-4F8D-9D06-334358337660}"/>
            </a:ext>
          </a:extLst>
        </xdr:cNvPr>
        <xdr:cNvSpPr txBox="1"/>
      </xdr:nvSpPr>
      <xdr:spPr>
        <a:xfrm>
          <a:off x="5531702" y="4601514"/>
          <a:ext cx="1734356" cy="415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n>
                <a:noFill/>
              </a:ln>
              <a:solidFill>
                <a:schemeClr val="bg1"/>
              </a:solidFill>
            </a:rPr>
            <a:t>Shipping Duration</a:t>
          </a:r>
        </a:p>
      </xdr:txBody>
    </xdr:sp>
    <xdr:clientData/>
  </xdr:twoCellAnchor>
  <xdr:twoCellAnchor>
    <xdr:from>
      <xdr:col>2</xdr:col>
      <xdr:colOff>279399</xdr:colOff>
      <xdr:row>16</xdr:row>
      <xdr:rowOff>147570</xdr:rowOff>
    </xdr:from>
    <xdr:to>
      <xdr:col>5</xdr:col>
      <xdr:colOff>318572</xdr:colOff>
      <xdr:row>18</xdr:row>
      <xdr:rowOff>80493</xdr:rowOff>
    </xdr:to>
    <xdr:sp macro="" textlink="">
      <xdr:nvSpPr>
        <xdr:cNvPr id="17" name="TextBox 16">
          <a:extLst>
            <a:ext uri="{FF2B5EF4-FFF2-40B4-BE49-F238E27FC236}">
              <a16:creationId xmlns:a16="http://schemas.microsoft.com/office/drawing/2014/main" id="{BB38001E-E47C-4372-8C3B-788357BCBFFB}"/>
            </a:ext>
          </a:extLst>
        </xdr:cNvPr>
        <xdr:cNvSpPr txBox="1"/>
      </xdr:nvSpPr>
      <xdr:spPr>
        <a:xfrm>
          <a:off x="1486793" y="3152640"/>
          <a:ext cx="1850265" cy="308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n>
                <a:noFill/>
              </a:ln>
              <a:solidFill>
                <a:schemeClr val="bg1"/>
              </a:solidFill>
            </a:rPr>
            <a:t>Shipping Mode</a:t>
          </a:r>
        </a:p>
      </xdr:txBody>
    </xdr:sp>
    <xdr:clientData/>
  </xdr:twoCellAnchor>
  <xdr:twoCellAnchor>
    <xdr:from>
      <xdr:col>9</xdr:col>
      <xdr:colOff>14445</xdr:colOff>
      <xdr:row>10</xdr:row>
      <xdr:rowOff>46150</xdr:rowOff>
    </xdr:from>
    <xdr:to>
      <xdr:col>14</xdr:col>
      <xdr:colOff>403493</xdr:colOff>
      <xdr:row>13</xdr:row>
      <xdr:rowOff>53663</xdr:rowOff>
    </xdr:to>
    <xdr:sp macro="" textlink="">
      <xdr:nvSpPr>
        <xdr:cNvPr id="18" name="TextBox 17">
          <a:extLst>
            <a:ext uri="{FF2B5EF4-FFF2-40B4-BE49-F238E27FC236}">
              <a16:creationId xmlns:a16="http://schemas.microsoft.com/office/drawing/2014/main" id="{FFCF78DB-C8BE-4D4E-BECA-6C52F4493636}"/>
            </a:ext>
          </a:extLst>
        </xdr:cNvPr>
        <xdr:cNvSpPr txBox="1"/>
      </xdr:nvSpPr>
      <xdr:spPr>
        <a:xfrm>
          <a:off x="5447720" y="1924319"/>
          <a:ext cx="3407534" cy="570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n>
                <a:noFill/>
              </a:ln>
              <a:solidFill>
                <a:schemeClr val="bg1"/>
              </a:solidFill>
            </a:rPr>
            <a:t>Sales Trend</a:t>
          </a:r>
        </a:p>
      </xdr:txBody>
    </xdr:sp>
    <xdr:clientData/>
  </xdr:twoCellAnchor>
  <xdr:twoCellAnchor>
    <xdr:from>
      <xdr:col>5</xdr:col>
      <xdr:colOff>37563</xdr:colOff>
      <xdr:row>9</xdr:row>
      <xdr:rowOff>50531</xdr:rowOff>
    </xdr:from>
    <xdr:to>
      <xdr:col>6</xdr:col>
      <xdr:colOff>91226</xdr:colOff>
      <xdr:row>10</xdr:row>
      <xdr:rowOff>128341</xdr:rowOff>
    </xdr:to>
    <xdr:sp macro="" textlink="">
      <xdr:nvSpPr>
        <xdr:cNvPr id="19" name="TextBox 18">
          <a:extLst>
            <a:ext uri="{FF2B5EF4-FFF2-40B4-BE49-F238E27FC236}">
              <a16:creationId xmlns:a16="http://schemas.microsoft.com/office/drawing/2014/main" id="{C7F7CA5A-6D20-4D8F-9258-492FDCB2FD8C}"/>
            </a:ext>
          </a:extLst>
        </xdr:cNvPr>
        <xdr:cNvSpPr txBox="1"/>
      </xdr:nvSpPr>
      <xdr:spPr>
        <a:xfrm rot="10800000" flipV="1">
          <a:off x="3057685" y="1723214"/>
          <a:ext cx="657687" cy="263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noFill/>
              </a:ln>
              <a:solidFill>
                <a:schemeClr val="bg1"/>
              </a:solidFill>
            </a:rPr>
            <a:t>Profit</a:t>
          </a:r>
        </a:p>
      </xdr:txBody>
    </xdr:sp>
    <xdr:clientData/>
  </xdr:twoCellAnchor>
  <xdr:twoCellAnchor>
    <xdr:from>
      <xdr:col>6</xdr:col>
      <xdr:colOff>456127</xdr:colOff>
      <xdr:row>9</xdr:row>
      <xdr:rowOff>50531</xdr:rowOff>
    </xdr:from>
    <xdr:to>
      <xdr:col>8</xdr:col>
      <xdr:colOff>136302</xdr:colOff>
      <xdr:row>11</xdr:row>
      <xdr:rowOff>34969</xdr:rowOff>
    </xdr:to>
    <xdr:sp macro="" textlink="">
      <xdr:nvSpPr>
        <xdr:cNvPr id="20" name="TextBox 19">
          <a:extLst>
            <a:ext uri="{FF2B5EF4-FFF2-40B4-BE49-F238E27FC236}">
              <a16:creationId xmlns:a16="http://schemas.microsoft.com/office/drawing/2014/main" id="{5A28F04B-EABA-4898-80EB-876301B5FEDB}"/>
            </a:ext>
          </a:extLst>
        </xdr:cNvPr>
        <xdr:cNvSpPr txBox="1"/>
      </xdr:nvSpPr>
      <xdr:spPr>
        <a:xfrm>
          <a:off x="4080273" y="1723214"/>
          <a:ext cx="888224" cy="356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noFill/>
              </a:ln>
              <a:solidFill>
                <a:schemeClr val="bg1"/>
              </a:solidFill>
            </a:rPr>
            <a:t>Quantity</a:t>
          </a:r>
        </a:p>
      </xdr:txBody>
    </xdr:sp>
    <xdr:clientData/>
  </xdr:twoCellAnchor>
  <xdr:twoCellAnchor>
    <xdr:from>
      <xdr:col>2</xdr:col>
      <xdr:colOff>580258</xdr:colOff>
      <xdr:row>10</xdr:row>
      <xdr:rowOff>142328</xdr:rowOff>
    </xdr:from>
    <xdr:to>
      <xdr:col>4</xdr:col>
      <xdr:colOff>262758</xdr:colOff>
      <xdr:row>13</xdr:row>
      <xdr:rowOff>21897</xdr:rowOff>
    </xdr:to>
    <xdr:sp macro="" textlink="sales">
      <xdr:nvSpPr>
        <xdr:cNvPr id="21" name="TextBox 20">
          <a:extLst>
            <a:ext uri="{FF2B5EF4-FFF2-40B4-BE49-F238E27FC236}">
              <a16:creationId xmlns:a16="http://schemas.microsoft.com/office/drawing/2014/main" id="{599E6D1C-9804-4382-B68D-23B8B6327D50}"/>
            </a:ext>
          </a:extLst>
        </xdr:cNvPr>
        <xdr:cNvSpPr txBox="1"/>
      </xdr:nvSpPr>
      <xdr:spPr>
        <a:xfrm>
          <a:off x="1788307" y="2000865"/>
          <a:ext cx="890549" cy="43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62D527-440C-479C-8D70-F376BAD78D95}" type="TxLink">
            <a:rPr lang="en-US" sz="2000" b="0" i="0" u="none" strike="noStrike">
              <a:ln>
                <a:noFill/>
              </a:ln>
              <a:solidFill>
                <a:schemeClr val="bg1"/>
              </a:solidFill>
              <a:latin typeface="Calibri"/>
              <a:ea typeface="Calibri"/>
              <a:cs typeface="Calibri"/>
            </a:rPr>
            <a:pPr algn="ctr"/>
            <a:t>$742k</a:t>
          </a:fld>
          <a:endParaRPr lang="en-GB" sz="2000">
            <a:ln>
              <a:noFill/>
            </a:ln>
            <a:solidFill>
              <a:schemeClr val="bg1"/>
            </a:solidFill>
          </a:endParaRPr>
        </a:p>
      </xdr:txBody>
    </xdr:sp>
    <xdr:clientData/>
  </xdr:twoCellAnchor>
  <xdr:twoCellAnchor>
    <xdr:from>
      <xdr:col>4</xdr:col>
      <xdr:colOff>568435</xdr:colOff>
      <xdr:row>10</xdr:row>
      <xdr:rowOff>130503</xdr:rowOff>
    </xdr:from>
    <xdr:to>
      <xdr:col>6</xdr:col>
      <xdr:colOff>250935</xdr:colOff>
      <xdr:row>13</xdr:row>
      <xdr:rowOff>10072</xdr:rowOff>
    </xdr:to>
    <xdr:sp macro="" textlink="Profit">
      <xdr:nvSpPr>
        <xdr:cNvPr id="22" name="TextBox 21">
          <a:extLst>
            <a:ext uri="{FF2B5EF4-FFF2-40B4-BE49-F238E27FC236}">
              <a16:creationId xmlns:a16="http://schemas.microsoft.com/office/drawing/2014/main" id="{53E84191-6F13-4522-ADB4-DE664105C4B6}"/>
            </a:ext>
          </a:extLst>
        </xdr:cNvPr>
        <xdr:cNvSpPr txBox="1"/>
      </xdr:nvSpPr>
      <xdr:spPr>
        <a:xfrm>
          <a:off x="2984533" y="1989040"/>
          <a:ext cx="890548" cy="43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AE76F3-1C3E-44B1-8D97-DAED20E97D6D}" type="TxLink">
            <a:rPr lang="en-US" sz="1800" b="0" i="0" u="none" strike="noStrike">
              <a:ln>
                <a:noFill/>
              </a:ln>
              <a:solidFill>
                <a:schemeClr val="bg1"/>
              </a:solidFill>
              <a:latin typeface="Calibri"/>
              <a:ea typeface="Calibri"/>
              <a:cs typeface="Calibri"/>
            </a:rPr>
            <a:pPr algn="ctr"/>
            <a:t>$18k</a:t>
          </a:fld>
          <a:endParaRPr lang="en-GB" sz="1800">
            <a:ln>
              <a:noFill/>
            </a:ln>
            <a:solidFill>
              <a:schemeClr val="bg1"/>
            </a:solidFill>
          </a:endParaRPr>
        </a:p>
      </xdr:txBody>
    </xdr:sp>
    <xdr:clientData/>
  </xdr:twoCellAnchor>
  <xdr:twoCellAnchor>
    <xdr:from>
      <xdr:col>6</xdr:col>
      <xdr:colOff>403334</xdr:colOff>
      <xdr:row>10</xdr:row>
      <xdr:rowOff>120430</xdr:rowOff>
    </xdr:from>
    <xdr:to>
      <xdr:col>8</xdr:col>
      <xdr:colOff>85834</xdr:colOff>
      <xdr:row>13</xdr:row>
      <xdr:rowOff>42041</xdr:rowOff>
    </xdr:to>
    <xdr:sp macro="" textlink="Quantity">
      <xdr:nvSpPr>
        <xdr:cNvPr id="23" name="TextBox 22">
          <a:extLst>
            <a:ext uri="{FF2B5EF4-FFF2-40B4-BE49-F238E27FC236}">
              <a16:creationId xmlns:a16="http://schemas.microsoft.com/office/drawing/2014/main" id="{1BC758AF-4554-4DD1-8493-FE129A534D41}"/>
            </a:ext>
          </a:extLst>
        </xdr:cNvPr>
        <xdr:cNvSpPr txBox="1"/>
      </xdr:nvSpPr>
      <xdr:spPr>
        <a:xfrm>
          <a:off x="4027480" y="1978967"/>
          <a:ext cx="890549" cy="47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96CC23-34F7-488C-A9BA-13235FF57DFA}" type="TxLink">
            <a:rPr lang="en-US" sz="1800" b="0" i="0" u="none" strike="noStrike">
              <a:ln>
                <a:noFill/>
              </a:ln>
              <a:solidFill>
                <a:schemeClr val="bg1"/>
              </a:solidFill>
              <a:latin typeface="Calibri"/>
              <a:ea typeface="Calibri"/>
              <a:cs typeface="Calibri"/>
            </a:rPr>
            <a:pPr algn="ctr"/>
            <a:t>$8k</a:t>
          </a:fld>
          <a:endParaRPr lang="en-GB" sz="1800">
            <a:ln>
              <a:noFill/>
            </a:ln>
            <a:solidFill>
              <a:schemeClr val="bg1"/>
            </a:solidFill>
          </a:endParaRPr>
        </a:p>
      </xdr:txBody>
    </xdr:sp>
    <xdr:clientData/>
  </xdr:twoCellAnchor>
  <xdr:twoCellAnchor>
    <xdr:from>
      <xdr:col>6</xdr:col>
      <xdr:colOff>426981</xdr:colOff>
      <xdr:row>12</xdr:row>
      <xdr:rowOff>164224</xdr:rowOff>
    </xdr:from>
    <xdr:to>
      <xdr:col>8</xdr:col>
      <xdr:colOff>240862</xdr:colOff>
      <xdr:row>14</xdr:row>
      <xdr:rowOff>98534</xdr:rowOff>
    </xdr:to>
    <xdr:sp macro="" textlink="Quantityyoy">
      <xdr:nvSpPr>
        <xdr:cNvPr id="24" name="TextBox 23">
          <a:extLst>
            <a:ext uri="{FF2B5EF4-FFF2-40B4-BE49-F238E27FC236}">
              <a16:creationId xmlns:a16="http://schemas.microsoft.com/office/drawing/2014/main" id="{D036DA16-2FA0-486A-A31E-971F12CDF791}"/>
            </a:ext>
          </a:extLst>
        </xdr:cNvPr>
        <xdr:cNvSpPr txBox="1"/>
      </xdr:nvSpPr>
      <xdr:spPr>
        <a:xfrm>
          <a:off x="4051127" y="2394468"/>
          <a:ext cx="1021930" cy="306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39EB0B-BD72-4C8D-AEA2-24B6063503CF}" type="TxLink">
            <a:rPr lang="en-US" sz="1100" b="0" i="0" u="none" strike="noStrike">
              <a:solidFill>
                <a:schemeClr val="bg1"/>
              </a:solidFill>
              <a:latin typeface="Calibri"/>
              <a:ea typeface="Calibri"/>
              <a:cs typeface="Calibri"/>
            </a:rPr>
            <a:pPr algn="ctr"/>
            <a:t>🔼11%YOY</a:t>
          </a:fld>
          <a:endParaRPr lang="en-GB" sz="1100">
            <a:solidFill>
              <a:schemeClr val="bg1"/>
            </a:solidFill>
          </a:endParaRPr>
        </a:p>
      </xdr:txBody>
    </xdr:sp>
    <xdr:clientData/>
  </xdr:twoCellAnchor>
  <xdr:twoCellAnchor>
    <xdr:from>
      <xdr:col>4</xdr:col>
      <xdr:colOff>503620</xdr:colOff>
      <xdr:row>12</xdr:row>
      <xdr:rowOff>141451</xdr:rowOff>
    </xdr:from>
    <xdr:to>
      <xdr:col>6</xdr:col>
      <xdr:colOff>240862</xdr:colOff>
      <xdr:row>14</xdr:row>
      <xdr:rowOff>130502</xdr:rowOff>
    </xdr:to>
    <xdr:sp macro="" textlink="profityoy">
      <xdr:nvSpPr>
        <xdr:cNvPr id="25" name="TextBox 24">
          <a:extLst>
            <a:ext uri="{FF2B5EF4-FFF2-40B4-BE49-F238E27FC236}">
              <a16:creationId xmlns:a16="http://schemas.microsoft.com/office/drawing/2014/main" id="{8CA780C2-95BB-45DC-9FDF-5B8FA1D97B0A}"/>
            </a:ext>
          </a:extLst>
        </xdr:cNvPr>
        <xdr:cNvSpPr txBox="1"/>
      </xdr:nvSpPr>
      <xdr:spPr>
        <a:xfrm>
          <a:off x="2919718" y="2371695"/>
          <a:ext cx="945290" cy="360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29C77F-D790-46FE-877A-7CE91BE0B8AB}" type="TxLink">
            <a:rPr lang="en-US" sz="1200" b="0" i="0" u="none" strike="noStrike">
              <a:ln>
                <a:noFill/>
              </a:ln>
              <a:solidFill>
                <a:schemeClr val="bg1"/>
              </a:solidFill>
              <a:latin typeface="Calibri"/>
              <a:ea typeface="Calibri"/>
              <a:cs typeface="Calibri"/>
            </a:rPr>
            <a:pPr/>
            <a:t>🔽57%YOY</a:t>
          </a:fld>
          <a:endParaRPr lang="en-GB" sz="1200">
            <a:ln>
              <a:noFill/>
            </a:ln>
            <a:solidFill>
              <a:schemeClr val="bg1"/>
            </a:solidFill>
          </a:endParaRPr>
        </a:p>
      </xdr:txBody>
    </xdr:sp>
    <xdr:clientData/>
  </xdr:twoCellAnchor>
  <xdr:twoCellAnchor>
    <xdr:from>
      <xdr:col>2</xdr:col>
      <xdr:colOff>569310</xdr:colOff>
      <xdr:row>12</xdr:row>
      <xdr:rowOff>153276</xdr:rowOff>
    </xdr:from>
    <xdr:to>
      <xdr:col>4</xdr:col>
      <xdr:colOff>229912</xdr:colOff>
      <xdr:row>14</xdr:row>
      <xdr:rowOff>65688</xdr:rowOff>
    </xdr:to>
    <xdr:sp macro="" textlink="salesyoy">
      <xdr:nvSpPr>
        <xdr:cNvPr id="26" name="TextBox 25">
          <a:extLst>
            <a:ext uri="{FF2B5EF4-FFF2-40B4-BE49-F238E27FC236}">
              <a16:creationId xmlns:a16="http://schemas.microsoft.com/office/drawing/2014/main" id="{CC7CF410-B146-4D97-8889-9CFC9CE14866}"/>
            </a:ext>
          </a:extLst>
        </xdr:cNvPr>
        <xdr:cNvSpPr txBox="1"/>
      </xdr:nvSpPr>
      <xdr:spPr>
        <a:xfrm>
          <a:off x="1777359" y="2383520"/>
          <a:ext cx="868651" cy="28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6A8C98-B2C8-469A-828A-416C60050FBF}" type="TxLink">
            <a:rPr lang="en-US" sz="1200" b="0" i="0" u="none" strike="noStrike">
              <a:ln>
                <a:noFill/>
              </a:ln>
              <a:solidFill>
                <a:schemeClr val="bg1"/>
              </a:solidFill>
              <a:latin typeface="Calibri"/>
              <a:ea typeface="Calibri"/>
              <a:cs typeface="Calibri"/>
            </a:rPr>
            <a:pPr algn="ctr"/>
            <a:t>🔼8%YOY</a:t>
          </a:fld>
          <a:endParaRPr lang="en-GB" sz="1200">
            <a:ln>
              <a:noFill/>
            </a:ln>
            <a:solidFill>
              <a:schemeClr val="bg1"/>
            </a:solidFill>
          </a:endParaRPr>
        </a:p>
      </xdr:txBody>
    </xdr:sp>
    <xdr:clientData/>
  </xdr:twoCellAnchor>
  <xdr:twoCellAnchor>
    <xdr:from>
      <xdr:col>8</xdr:col>
      <xdr:colOff>542892</xdr:colOff>
      <xdr:row>9</xdr:row>
      <xdr:rowOff>104166</xdr:rowOff>
    </xdr:from>
    <xdr:to>
      <xdr:col>17</xdr:col>
      <xdr:colOff>48597</xdr:colOff>
      <xdr:row>22</xdr:row>
      <xdr:rowOff>21897</xdr:rowOff>
    </xdr:to>
    <xdr:graphicFrame macro="">
      <xdr:nvGraphicFramePr>
        <xdr:cNvPr id="28" name="Chart 27">
          <a:extLst>
            <a:ext uri="{FF2B5EF4-FFF2-40B4-BE49-F238E27FC236}">
              <a16:creationId xmlns:a16="http://schemas.microsoft.com/office/drawing/2014/main" id="{BA7A0B59-98F2-49DE-8898-10AB29AF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29157</xdr:colOff>
      <xdr:row>10</xdr:row>
      <xdr:rowOff>184667</xdr:rowOff>
    </xdr:from>
    <xdr:to>
      <xdr:col>14</xdr:col>
      <xdr:colOff>136071</xdr:colOff>
      <xdr:row>12</xdr:row>
      <xdr:rowOff>38877</xdr:rowOff>
    </xdr:to>
    <xdr:sp macro="" textlink="salestrend">
      <xdr:nvSpPr>
        <xdr:cNvPr id="29" name="TextBox 28">
          <a:extLst>
            <a:ext uri="{FF2B5EF4-FFF2-40B4-BE49-F238E27FC236}">
              <a16:creationId xmlns:a16="http://schemas.microsoft.com/office/drawing/2014/main" id="{6A73AC62-2F55-4198-A5C5-F7A9605306A3}"/>
            </a:ext>
          </a:extLst>
        </xdr:cNvPr>
        <xdr:cNvSpPr txBox="1"/>
      </xdr:nvSpPr>
      <xdr:spPr>
        <a:xfrm>
          <a:off x="5540050" y="2128545"/>
          <a:ext cx="3168521" cy="24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A12CE-B3CB-4705-946A-79E1EBB85008}" type="TxLink">
            <a:rPr lang="en-US" sz="1000" b="0" i="0" u="none" strike="noStrike">
              <a:ln>
                <a:noFill/>
              </a:ln>
              <a:solidFill>
                <a:schemeClr val="bg1">
                  <a:lumMod val="75000"/>
                </a:schemeClr>
              </a:solidFill>
              <a:latin typeface="Calibri"/>
              <a:ea typeface="Calibri"/>
              <a:cs typeface="Calibri"/>
            </a:rPr>
            <a:pPr/>
            <a:t>Peak Sales Month: Dec with $121,818 in Sales</a:t>
          </a:fld>
          <a:endParaRPr lang="en-GB" sz="1000">
            <a:ln>
              <a:noFill/>
            </a:ln>
            <a:solidFill>
              <a:schemeClr val="bg1">
                <a:lumMod val="75000"/>
              </a:schemeClr>
            </a:solidFill>
          </a:endParaRPr>
        </a:p>
      </xdr:txBody>
    </xdr:sp>
    <xdr:clientData/>
  </xdr:twoCellAnchor>
  <xdr:twoCellAnchor>
    <xdr:from>
      <xdr:col>9</xdr:col>
      <xdr:colOff>204107</xdr:colOff>
      <xdr:row>26</xdr:row>
      <xdr:rowOff>9719</xdr:rowOff>
    </xdr:from>
    <xdr:to>
      <xdr:col>17</xdr:col>
      <xdr:colOff>9719</xdr:colOff>
      <xdr:row>35</xdr:row>
      <xdr:rowOff>145791</xdr:rowOff>
    </xdr:to>
    <xdr:graphicFrame macro="">
      <xdr:nvGraphicFramePr>
        <xdr:cNvPr id="30" name="Chart 29">
          <a:extLst>
            <a:ext uri="{FF2B5EF4-FFF2-40B4-BE49-F238E27FC236}">
              <a16:creationId xmlns:a16="http://schemas.microsoft.com/office/drawing/2014/main" id="{260E61A2-30C5-4D34-A4A2-8C6AEFD9C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97193</xdr:colOff>
      <xdr:row>25</xdr:row>
      <xdr:rowOff>58318</xdr:rowOff>
    </xdr:from>
    <xdr:to>
      <xdr:col>15</xdr:col>
      <xdr:colOff>311020</xdr:colOff>
      <xdr:row>26</xdr:row>
      <xdr:rowOff>155512</xdr:rowOff>
    </xdr:to>
    <xdr:sp macro="" textlink="Mostorder">
      <xdr:nvSpPr>
        <xdr:cNvPr id="27" name="TextBox 26">
          <a:extLst>
            <a:ext uri="{FF2B5EF4-FFF2-40B4-BE49-F238E27FC236}">
              <a16:creationId xmlns:a16="http://schemas.microsoft.com/office/drawing/2014/main" id="{60D82F36-DD02-42D7-AF66-FE0A36CA0E5C}"/>
            </a:ext>
          </a:extLst>
        </xdr:cNvPr>
        <xdr:cNvSpPr txBox="1"/>
      </xdr:nvSpPr>
      <xdr:spPr>
        <a:xfrm>
          <a:off x="5608086" y="4918012"/>
          <a:ext cx="3887755" cy="29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E7AD70-3920-4BA0-B3F4-0C9D267DD7C8}" type="TxLink">
            <a:rPr lang="en-US" sz="1000" b="0" i="0" u="none" strike="noStrike">
              <a:ln>
                <a:noFill/>
              </a:ln>
              <a:solidFill>
                <a:schemeClr val="bg1">
                  <a:lumMod val="65000"/>
                </a:schemeClr>
              </a:solidFill>
              <a:latin typeface="Calibri"/>
              <a:ea typeface="Calibri"/>
              <a:cs typeface="Calibri"/>
            </a:rPr>
            <a:pPr/>
            <a:t>Most Order Used: Standard Class(59%)</a:t>
          </a:fld>
          <a:endParaRPr lang="en-GB" sz="1000">
            <a:ln>
              <a:noFill/>
            </a:ln>
            <a:solidFill>
              <a:schemeClr val="bg1">
                <a:lumMod val="65000"/>
              </a:schemeClr>
            </a:solidFill>
          </a:endParaRPr>
        </a:p>
      </xdr:txBody>
    </xdr:sp>
    <xdr:clientData/>
  </xdr:twoCellAnchor>
  <xdr:twoCellAnchor>
    <xdr:from>
      <xdr:col>16</xdr:col>
      <xdr:colOff>431947</xdr:colOff>
      <xdr:row>11</xdr:row>
      <xdr:rowOff>188284</xdr:rowOff>
    </xdr:from>
    <xdr:to>
      <xdr:col>24</xdr:col>
      <xdr:colOff>379056</xdr:colOff>
      <xdr:row>24</xdr:row>
      <xdr:rowOff>77528</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4C1B2249-0DF1-4EF5-952D-606E3838DF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229090" y="2326549"/>
              <a:ext cx="4845680" cy="241628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512097</xdr:colOff>
      <xdr:row>25</xdr:row>
      <xdr:rowOff>102420</xdr:rowOff>
    </xdr:from>
    <xdr:to>
      <xdr:col>24</xdr:col>
      <xdr:colOff>389193</xdr:colOff>
      <xdr:row>37</xdr:row>
      <xdr:rowOff>10241</xdr:rowOff>
    </xdr:to>
    <xdr:graphicFrame macro="">
      <xdr:nvGraphicFramePr>
        <xdr:cNvPr id="34" name="Chart 33">
          <a:extLst>
            <a:ext uri="{FF2B5EF4-FFF2-40B4-BE49-F238E27FC236}">
              <a16:creationId xmlns:a16="http://schemas.microsoft.com/office/drawing/2014/main" id="{8F1EF30A-68C8-4469-9574-C62B6F5D6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512097</xdr:colOff>
      <xdr:row>24</xdr:row>
      <xdr:rowOff>51209</xdr:rowOff>
    </xdr:from>
    <xdr:to>
      <xdr:col>24</xdr:col>
      <xdr:colOff>10242</xdr:colOff>
      <xdr:row>25</xdr:row>
      <xdr:rowOff>133146</xdr:rowOff>
    </xdr:to>
    <xdr:sp macro="" textlink="Topcities">
      <xdr:nvSpPr>
        <xdr:cNvPr id="35" name="TextBox 34">
          <a:extLst>
            <a:ext uri="{FF2B5EF4-FFF2-40B4-BE49-F238E27FC236}">
              <a16:creationId xmlns:a16="http://schemas.microsoft.com/office/drawing/2014/main" id="{F490DA4F-CB01-4DE1-94FD-A854B333D593}"/>
            </a:ext>
          </a:extLst>
        </xdr:cNvPr>
        <xdr:cNvSpPr txBox="1"/>
      </xdr:nvSpPr>
      <xdr:spPr>
        <a:xfrm>
          <a:off x="10958871" y="4721532"/>
          <a:ext cx="3799758" cy="276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F61A2D-83E4-47FC-8A58-B60A84709EF8}" type="TxLink">
            <a:rPr lang="en-US" sz="1100" b="0" i="0" u="none" strike="noStrike">
              <a:ln>
                <a:noFill/>
              </a:ln>
              <a:solidFill>
                <a:schemeClr val="bg1">
                  <a:lumMod val="65000"/>
                </a:schemeClr>
              </a:solidFill>
              <a:latin typeface="Calibri"/>
              <a:ea typeface="Calibri"/>
              <a:cs typeface="Calibri"/>
            </a:rPr>
            <a:t>Top Selling Cities: New York City with $75,691 in Sales</a:t>
          </a:fld>
          <a:endParaRPr lang="en-GB" sz="1100">
            <a:ln>
              <a:noFill/>
            </a:ln>
            <a:solidFill>
              <a:schemeClr val="bg1">
                <a:lumMod val="65000"/>
              </a:schemeClr>
            </a:solidFill>
          </a:endParaRPr>
        </a:p>
      </xdr:txBody>
    </xdr:sp>
    <xdr:clientData/>
  </xdr:twoCellAnchor>
  <xdr:twoCellAnchor>
    <xdr:from>
      <xdr:col>2</xdr:col>
      <xdr:colOff>301301</xdr:colOff>
      <xdr:row>19</xdr:row>
      <xdr:rowOff>21007</xdr:rowOff>
    </xdr:from>
    <xdr:to>
      <xdr:col>8</xdr:col>
      <xdr:colOff>437372</xdr:colOff>
      <xdr:row>26</xdr:row>
      <xdr:rowOff>155510</xdr:rowOff>
    </xdr:to>
    <xdr:graphicFrame macro="">
      <xdr:nvGraphicFramePr>
        <xdr:cNvPr id="36" name="Chart 35">
          <a:extLst>
            <a:ext uri="{FF2B5EF4-FFF2-40B4-BE49-F238E27FC236}">
              <a16:creationId xmlns:a16="http://schemas.microsoft.com/office/drawing/2014/main" id="{01F650B6-4706-49AE-9236-6D5183136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281862</xdr:colOff>
      <xdr:row>17</xdr:row>
      <xdr:rowOff>174949</xdr:rowOff>
    </xdr:from>
    <xdr:to>
      <xdr:col>8</xdr:col>
      <xdr:colOff>19439</xdr:colOff>
      <xdr:row>19</xdr:row>
      <xdr:rowOff>48598</xdr:rowOff>
    </xdr:to>
    <xdr:sp macro="" textlink="Mostorder">
      <xdr:nvSpPr>
        <xdr:cNvPr id="37" name="TextBox 36">
          <a:extLst>
            <a:ext uri="{FF2B5EF4-FFF2-40B4-BE49-F238E27FC236}">
              <a16:creationId xmlns:a16="http://schemas.microsoft.com/office/drawing/2014/main" id="{52F189E2-423A-4C5F-B236-FE96CEE1B1C7}"/>
            </a:ext>
          </a:extLst>
        </xdr:cNvPr>
        <xdr:cNvSpPr txBox="1"/>
      </xdr:nvSpPr>
      <xdr:spPr>
        <a:xfrm>
          <a:off x="1506505" y="3479541"/>
          <a:ext cx="3411505" cy="26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A58E3B-8153-4433-AE0B-FF208650BB1C}" type="TxLink">
            <a:rPr lang="en-US" sz="1000" b="0" i="0" u="none" strike="noStrike">
              <a:ln>
                <a:noFill/>
              </a:ln>
              <a:solidFill>
                <a:schemeClr val="bg1">
                  <a:lumMod val="65000"/>
                </a:schemeClr>
              </a:solidFill>
              <a:latin typeface="Calibri"/>
              <a:ea typeface="Calibri"/>
              <a:cs typeface="Calibri"/>
            </a:rPr>
            <a:t>Most Order Used: Standard Class(59%)</a:t>
          </a:fld>
          <a:endParaRPr lang="en-GB" sz="1000">
            <a:ln>
              <a:noFill/>
            </a:ln>
            <a:solidFill>
              <a:schemeClr val="bg1">
                <a:lumMod val="65000"/>
              </a:schemeClr>
            </a:solidFill>
          </a:endParaRPr>
        </a:p>
      </xdr:txBody>
    </xdr:sp>
    <xdr:clientData/>
  </xdr:twoCellAnchor>
  <xdr:twoCellAnchor>
    <xdr:from>
      <xdr:col>1</xdr:col>
      <xdr:colOff>417935</xdr:colOff>
      <xdr:row>28</xdr:row>
      <xdr:rowOff>9721</xdr:rowOff>
    </xdr:from>
    <xdr:to>
      <xdr:col>8</xdr:col>
      <xdr:colOff>136073</xdr:colOff>
      <xdr:row>36</xdr:row>
      <xdr:rowOff>12053</xdr:rowOff>
    </xdr:to>
    <xdr:graphicFrame macro="">
      <xdr:nvGraphicFramePr>
        <xdr:cNvPr id="38" name="Chart 37">
          <a:extLst>
            <a:ext uri="{FF2B5EF4-FFF2-40B4-BE49-F238E27FC236}">
              <a16:creationId xmlns:a16="http://schemas.microsoft.com/office/drawing/2014/main" id="{1CF3B012-B633-484A-89AF-9E7FF254D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301301</xdr:colOff>
      <xdr:row>27</xdr:row>
      <xdr:rowOff>48596</xdr:rowOff>
    </xdr:from>
    <xdr:to>
      <xdr:col>8</xdr:col>
      <xdr:colOff>349899</xdr:colOff>
      <xdr:row>28</xdr:row>
      <xdr:rowOff>155509</xdr:rowOff>
    </xdr:to>
    <xdr:sp macro="" textlink="salescategory">
      <xdr:nvSpPr>
        <xdr:cNvPr id="39" name="TextBox 38">
          <a:extLst>
            <a:ext uri="{FF2B5EF4-FFF2-40B4-BE49-F238E27FC236}">
              <a16:creationId xmlns:a16="http://schemas.microsoft.com/office/drawing/2014/main" id="{DD278734-48CF-4BB8-82E2-A0A82AA30148}"/>
            </a:ext>
          </a:extLst>
        </xdr:cNvPr>
        <xdr:cNvSpPr txBox="1"/>
      </xdr:nvSpPr>
      <xdr:spPr>
        <a:xfrm>
          <a:off x="1525944" y="5297065"/>
          <a:ext cx="3722526" cy="30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EA59B2-7D8C-418E-9330-D31B13AAC439}" type="TxLink">
            <a:rPr lang="en-US" sz="1000" b="0" i="0" u="none" strike="noStrike">
              <a:solidFill>
                <a:schemeClr val="bg1">
                  <a:lumMod val="65000"/>
                </a:schemeClr>
              </a:solidFill>
              <a:latin typeface="Calibri"/>
              <a:ea typeface="Calibri"/>
              <a:cs typeface="Calibri"/>
            </a:rPr>
            <a:t>Highest Sales From Category: Chairs($328,449)</a:t>
          </a:fld>
          <a:endParaRPr lang="en-GB" sz="1000">
            <a:solidFill>
              <a:schemeClr val="bg1">
                <a:lumMod val="65000"/>
              </a:schemeClr>
            </a:solidFill>
          </a:endParaRPr>
        </a:p>
      </xdr:txBody>
    </xdr:sp>
    <xdr:clientData/>
  </xdr:twoCellAnchor>
  <xdr:twoCellAnchor editAs="oneCell">
    <xdr:from>
      <xdr:col>19</xdr:col>
      <xdr:colOff>225135</xdr:colOff>
      <xdr:row>6</xdr:row>
      <xdr:rowOff>103910</xdr:rowOff>
    </xdr:from>
    <xdr:to>
      <xdr:col>24</xdr:col>
      <xdr:colOff>159224</xdr:colOff>
      <xdr:row>8</xdr:row>
      <xdr:rowOff>69274</xdr:rowOff>
    </xdr:to>
    <mc:AlternateContent xmlns:mc="http://schemas.openxmlformats.org/markup-compatibility/2006">
      <mc:Choice xmlns:a14="http://schemas.microsoft.com/office/drawing/2010/main" Requires="a14">
        <xdr:graphicFrame macro="">
          <xdr:nvGraphicFramePr>
            <xdr:cNvPr id="41" name="Segment">
              <a:extLst>
                <a:ext uri="{FF2B5EF4-FFF2-40B4-BE49-F238E27FC236}">
                  <a16:creationId xmlns:a16="http://schemas.microsoft.com/office/drawing/2014/main" id="{02AF0AF4-CC48-466E-8ABC-2982FBBABC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686885" y="1246910"/>
              <a:ext cx="2950339" cy="3463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554181</xdr:colOff>
      <xdr:row>6</xdr:row>
      <xdr:rowOff>86591</xdr:rowOff>
    </xdr:from>
    <xdr:to>
      <xdr:col>18</xdr:col>
      <xdr:colOff>571500</xdr:colOff>
      <xdr:row>8</xdr:row>
      <xdr:rowOff>99477</xdr:rowOff>
    </xdr:to>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577FA0F8-AAA8-4F45-BD0F-5CC35CC604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96431" y="1229591"/>
              <a:ext cx="3033569" cy="3938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3.893419444445" createdVersion="6" refreshedVersion="6" minRefreshableVersion="3" recordCount="2121" xr:uid="{6153DC41-EC90-4025-88D1-E20A76D6746B}">
  <cacheSource type="worksheet">
    <worksheetSource name="Furniture_Sales"/>
  </cacheSource>
  <cacheFields count="23">
    <cacheField name="Order ID" numFmtId="0">
      <sharedItems/>
    </cacheField>
    <cacheField name="Order Date" numFmtId="22">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base="1">
        <rangePr groupBy="months" startDate="2014-01-06T00:00:00" endDate="2017-12-31T00:00:00"/>
        <groupItems count="14">
          <s v="&lt;06/01/2014"/>
          <s v="Jan"/>
          <s v="Feb"/>
          <s v="Mar"/>
          <s v="Apr"/>
          <s v="May"/>
          <s v="Jun"/>
          <s v="Jul"/>
          <s v="Aug"/>
          <s v="Sep"/>
          <s v="Oct"/>
          <s v="Nov"/>
          <s v="Dec"/>
          <s v="&gt;31/12/2017"/>
        </groupItems>
      </fieldGroup>
    </cacheField>
    <cacheField name="Ship Date" numFmtId="22">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ame"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06/01/2014"/>
          <s v="Qtr1"/>
          <s v="Qtr2"/>
          <s v="Qtr3"/>
          <s v="Qtr4"/>
          <s v="&gt;31/12/2017"/>
        </groupItems>
      </fieldGroup>
    </cacheField>
    <cacheField name="Years"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333978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s v="Furniture"/>
    <x v="0"/>
    <s v="Bush Somerset Collection Bookcase"/>
    <n v="261.95999999999998"/>
    <n v="2"/>
    <n v="0"/>
    <n v="41.913600000000002"/>
    <x v="0"/>
    <x v="0"/>
  </r>
  <r>
    <s v="CA-2016-152156"/>
    <x v="0"/>
    <d v="2016-11-11T00:00:00"/>
    <x v="0"/>
    <s v="CG-12520"/>
    <s v="Claire Gute"/>
    <x v="0"/>
    <s v="United States"/>
    <x v="0"/>
    <x v="0"/>
    <x v="0"/>
    <s v="FUR-CH-10000454"/>
    <s v="Furniture"/>
    <x v="1"/>
    <s v="Hon Deluxe Fabric Upholstered Stacking Chairs, Rounded Back"/>
    <n v="731.94"/>
    <n v="3"/>
    <n v="0"/>
    <n v="219.58199999999999"/>
    <x v="0"/>
    <x v="0"/>
  </r>
  <r>
    <s v="US-2015-108966"/>
    <x v="1"/>
    <d v="2015-10-18T00:00:00"/>
    <x v="1"/>
    <s v="SO-20335"/>
    <s v="Sean O'Donnell"/>
    <x v="0"/>
    <s v="United States"/>
    <x v="1"/>
    <x v="1"/>
    <x v="0"/>
    <s v="FUR-TA-10000577"/>
    <s v="Furniture"/>
    <x v="2"/>
    <s v="Bretford CR4500 Series Slim Rectangular Table"/>
    <n v="957.57749999999999"/>
    <n v="5"/>
    <n v="0.45"/>
    <n v="-383.03100000000001"/>
    <x v="1"/>
    <x v="1"/>
  </r>
  <r>
    <s v="CA-2014-115812"/>
    <x v="2"/>
    <d v="2014-06-14T00:00:00"/>
    <x v="1"/>
    <s v="BH-11710"/>
    <s v="Brosina Hoffman"/>
    <x v="0"/>
    <s v="United States"/>
    <x v="2"/>
    <x v="2"/>
    <x v="1"/>
    <s v="FUR-FU-10001487"/>
    <s v="Furniture"/>
    <x v="3"/>
    <s v="Eldon Expressions Wood and Plastic Desk Accessories, Cherry Wood"/>
    <n v="48.86"/>
    <n v="7"/>
    <n v="0"/>
    <n v="14.1694"/>
    <x v="2"/>
    <x v="2"/>
  </r>
  <r>
    <s v="CA-2014-115812"/>
    <x v="2"/>
    <d v="2014-06-14T00:00:00"/>
    <x v="1"/>
    <s v="BH-11710"/>
    <s v="Brosina Hoffman"/>
    <x v="0"/>
    <s v="United States"/>
    <x v="2"/>
    <x v="2"/>
    <x v="1"/>
    <s v="FUR-TA-10001539"/>
    <s v="Furniture"/>
    <x v="2"/>
    <s v="Chromcraft Rectangular Conference Tables"/>
    <n v="1706.184"/>
    <n v="9"/>
    <n v="0.2"/>
    <n v="85.309200000000004"/>
    <x v="2"/>
    <x v="2"/>
  </r>
  <r>
    <s v="US-2017-156909"/>
    <x v="3"/>
    <d v="2017-07-18T00:00:00"/>
    <x v="0"/>
    <s v="SF-20065"/>
    <s v="Sandra Flanagan"/>
    <x v="0"/>
    <s v="United States"/>
    <x v="3"/>
    <x v="3"/>
    <x v="2"/>
    <s v="FUR-CH-10002774"/>
    <s v="Furniture"/>
    <x v="1"/>
    <s v="Global Deluxe Stacking Chair, Gray"/>
    <n v="71.372"/>
    <n v="2"/>
    <n v="0.3"/>
    <n v="-1.0196000000000001"/>
    <x v="3"/>
    <x v="3"/>
  </r>
  <r>
    <s v="CA-2015-106320"/>
    <x v="4"/>
    <d v="2015-09-30T00:00:00"/>
    <x v="1"/>
    <s v="EB-13870"/>
    <s v="Emily Burns"/>
    <x v="0"/>
    <s v="United States"/>
    <x v="4"/>
    <x v="4"/>
    <x v="1"/>
    <s v="FUR-TA-10000577"/>
    <s v="Furniture"/>
    <x v="2"/>
    <s v="Bretford CR4500 Series Slim Rectangular Table"/>
    <n v="1044.6300000000001"/>
    <n v="3"/>
    <n v="0"/>
    <n v="240.26490000000001"/>
    <x v="2"/>
    <x v="4"/>
  </r>
  <r>
    <s v="US-2015-150630"/>
    <x v="5"/>
    <d v="2015-09-21T00:00:00"/>
    <x v="1"/>
    <s v="TB-21520"/>
    <s v="Tracy Blumstein"/>
    <x v="0"/>
    <s v="United States"/>
    <x v="3"/>
    <x v="3"/>
    <x v="2"/>
    <s v="FUR-BO-10004834"/>
    <s v="Furniture"/>
    <x v="0"/>
    <s v="Riverside Palais Royal Lawyers Bookcase, Royale Cherry Finish"/>
    <n v="3083.43"/>
    <n v="7"/>
    <n v="0.5"/>
    <n v="-1665.0522000000001"/>
    <x v="4"/>
    <x v="4"/>
  </r>
  <r>
    <s v="US-2015-150630"/>
    <x v="5"/>
    <d v="2015-09-21T00:00:00"/>
    <x v="1"/>
    <s v="TB-21520"/>
    <s v="Tracy Blumstein"/>
    <x v="0"/>
    <s v="United States"/>
    <x v="3"/>
    <x v="3"/>
    <x v="2"/>
    <s v="FUR-FU-10004848"/>
    <s v="Furniture"/>
    <x v="3"/>
    <s v="Howard Miller 13-3/4&quot; Diameter Brushed Chrome Round Wall Clock"/>
    <n v="124.2"/>
    <n v="3"/>
    <n v="0.2"/>
    <n v="15.525"/>
    <x v="4"/>
    <x v="4"/>
  </r>
  <r>
    <s v="CA-2016-117590"/>
    <x v="6"/>
    <d v="2016-12-10T00:00:00"/>
    <x v="2"/>
    <s v="GH-14485"/>
    <s v="Gene Hale"/>
    <x v="1"/>
    <s v="United States"/>
    <x v="5"/>
    <x v="5"/>
    <x v="3"/>
    <s v="FUR-FU-10003664"/>
    <s v="Furniture"/>
    <x v="3"/>
    <s v="Electrix Architect's Clamp-On Swing Arm Lamp, Black"/>
    <n v="190.92"/>
    <n v="5"/>
    <n v="0.6"/>
    <n v="-147.96299999999999"/>
    <x v="3"/>
    <x v="5"/>
  </r>
  <r>
    <s v="CA-2015-117415"/>
    <x v="7"/>
    <d v="2015-12-31T00:00:00"/>
    <x v="1"/>
    <s v="SN-20710"/>
    <s v="Steve Nguyen"/>
    <x v="2"/>
    <s v="United States"/>
    <x v="6"/>
    <x v="5"/>
    <x v="3"/>
    <s v="FUR-BO-10002545"/>
    <s v="Furniture"/>
    <x v="0"/>
    <s v="Atlantic Metals Mobile 3-Shelf Bookcases, Custom Colors"/>
    <n v="532.39919999999995"/>
    <n v="3"/>
    <n v="0.32"/>
    <n v="-46.976399999999998"/>
    <x v="4"/>
    <x v="5"/>
  </r>
  <r>
    <s v="CA-2015-117415"/>
    <x v="7"/>
    <d v="2015-12-31T00:00:00"/>
    <x v="1"/>
    <s v="SN-20710"/>
    <s v="Steve Nguyen"/>
    <x v="2"/>
    <s v="United States"/>
    <x v="6"/>
    <x v="5"/>
    <x v="3"/>
    <s v="FUR-CH-10004218"/>
    <s v="Furniture"/>
    <x v="1"/>
    <s v="Global Fabric Manager's Chair, Dark Gray"/>
    <n v="212.05799999999999"/>
    <n v="3"/>
    <n v="0.3"/>
    <n v="-15.147"/>
    <x v="4"/>
    <x v="5"/>
  </r>
  <r>
    <s v="CA-2015-115742"/>
    <x v="8"/>
    <d v="2015-04-22T00:00:00"/>
    <x v="1"/>
    <s v="DP-13000"/>
    <s v="Darren Powers"/>
    <x v="0"/>
    <s v="United States"/>
    <x v="7"/>
    <x v="6"/>
    <x v="3"/>
    <s v="FUR-FU-10001706"/>
    <s v="Furniture"/>
    <x v="3"/>
    <s v="Longer-Life Soft White Bulbs"/>
    <n v="6.16"/>
    <n v="2"/>
    <n v="0"/>
    <n v="2.9567999999999999"/>
    <x v="4"/>
    <x v="6"/>
  </r>
  <r>
    <s v="CA-2015-115742"/>
    <x v="8"/>
    <d v="2015-04-22T00:00:00"/>
    <x v="1"/>
    <s v="DP-13000"/>
    <s v="Darren Powers"/>
    <x v="0"/>
    <s v="United States"/>
    <x v="7"/>
    <x v="6"/>
    <x v="3"/>
    <s v="FUR-CH-10003061"/>
    <s v="Furniture"/>
    <x v="1"/>
    <s v="Global Leather Task Chair, Black"/>
    <n v="89.99"/>
    <n v="1"/>
    <n v="0"/>
    <n v="17.098099999999999"/>
    <x v="4"/>
    <x v="6"/>
  </r>
  <r>
    <s v="CA-2016-111682"/>
    <x v="9"/>
    <d v="2016-06-18T00:00:00"/>
    <x v="2"/>
    <s v="TB-21055"/>
    <s v="Ted Butterfield"/>
    <x v="0"/>
    <s v="United States"/>
    <x v="8"/>
    <x v="7"/>
    <x v="2"/>
    <s v="FUR-CH-10003968"/>
    <s v="Furniture"/>
    <x v="1"/>
    <s v="Novimex Turbo Task Chair"/>
    <n v="319.41000000000003"/>
    <n v="5"/>
    <n v="0.1"/>
    <n v="7.0979999999999999"/>
    <x v="5"/>
    <x v="2"/>
  </r>
  <r>
    <s v="CA-2015-135545"/>
    <x v="10"/>
    <d v="2015-11-30T00:00:00"/>
    <x v="1"/>
    <s v="KM-16720"/>
    <s v="Kunst Miller"/>
    <x v="0"/>
    <s v="United States"/>
    <x v="2"/>
    <x v="2"/>
    <x v="1"/>
    <s v="FUR-FU-10000397"/>
    <s v="Furniture"/>
    <x v="3"/>
    <s v="Luxo Economy Swing Arm Lamp"/>
    <n v="79.760000000000005"/>
    <n v="4"/>
    <n v="0"/>
    <n v="22.332799999999999"/>
    <x v="6"/>
    <x v="0"/>
  </r>
  <r>
    <s v="US-2015-164175"/>
    <x v="11"/>
    <d v="2015-05-05T00:00:00"/>
    <x v="1"/>
    <s v="PS-18970"/>
    <s v="Paul Stevenson"/>
    <x v="2"/>
    <s v="United States"/>
    <x v="9"/>
    <x v="8"/>
    <x v="3"/>
    <s v="FUR-CH-10001146"/>
    <s v="Furniture"/>
    <x v="1"/>
    <s v="Global Value Mid-Back Manager's Chair, Gray"/>
    <n v="213.11500000000001"/>
    <n v="5"/>
    <n v="0.3"/>
    <n v="-15.2225"/>
    <x v="2"/>
    <x v="6"/>
  </r>
  <r>
    <s v="US-2015-134026"/>
    <x v="12"/>
    <d v="2015-05-02T00:00:00"/>
    <x v="1"/>
    <s v="JE-15745"/>
    <s v="Joel Eaton"/>
    <x v="0"/>
    <s v="United States"/>
    <x v="10"/>
    <x v="9"/>
    <x v="0"/>
    <s v="FUR-CH-10000513"/>
    <s v="Furniture"/>
    <x v="1"/>
    <s v="High-Back Leather Manager's Chair"/>
    <n v="831.93600000000004"/>
    <n v="8"/>
    <n v="0.2"/>
    <n v="-114.3912"/>
    <x v="6"/>
    <x v="6"/>
  </r>
  <r>
    <s v="US-2015-134026"/>
    <x v="12"/>
    <d v="2015-05-02T00:00:00"/>
    <x v="1"/>
    <s v="JE-15745"/>
    <s v="Joel Eaton"/>
    <x v="0"/>
    <s v="United States"/>
    <x v="10"/>
    <x v="9"/>
    <x v="0"/>
    <s v="FUR-FU-10003708"/>
    <s v="Furniture"/>
    <x v="3"/>
    <s v="Tenex Traditional Chairmats for Medium Pile Carpet, Standard Lip, 36&quot; x 48&quot;"/>
    <n v="97.04"/>
    <n v="2"/>
    <n v="0.2"/>
    <n v="1.2130000000000001"/>
    <x v="6"/>
    <x v="6"/>
  </r>
  <r>
    <s v="US-2017-118038"/>
    <x v="13"/>
    <d v="2017-12-11T00:00:00"/>
    <x v="2"/>
    <s v="KB-16600"/>
    <s v="Ken Brennan"/>
    <x v="1"/>
    <s v="United States"/>
    <x v="6"/>
    <x v="5"/>
    <x v="3"/>
    <s v="FUR-FU-10000260"/>
    <s v="Furniture"/>
    <x v="3"/>
    <s v="6&quot; Cubicle Wall Clock, Black"/>
    <n v="9.7080000000000002"/>
    <n v="3"/>
    <n v="0.6"/>
    <n v="-5.8247999999999998"/>
    <x v="3"/>
    <x v="5"/>
  </r>
  <r>
    <s v="US-2014-147606"/>
    <x v="14"/>
    <d v="2014-12-01T00:00:00"/>
    <x v="0"/>
    <s v="JE-15745"/>
    <s v="Joel Eaton"/>
    <x v="0"/>
    <s v="United States"/>
    <x v="6"/>
    <x v="5"/>
    <x v="3"/>
    <s v="FUR-FU-10003194"/>
    <s v="Furniture"/>
    <x v="3"/>
    <s v="Eldon Expressions Desk Accessory, Wood Pencil Holder, Oak"/>
    <n v="19.3"/>
    <n v="5"/>
    <n v="0.6"/>
    <n v="-14.475"/>
    <x v="2"/>
    <x v="0"/>
  </r>
  <r>
    <s v="CA-2017-140088"/>
    <x v="15"/>
    <d v="2017-05-30T00:00:00"/>
    <x v="0"/>
    <s v="PO-18865"/>
    <s v="Patrick O'Donnell"/>
    <x v="0"/>
    <s v="United States"/>
    <x v="11"/>
    <x v="10"/>
    <x v="0"/>
    <s v="FUR-CH-10000863"/>
    <s v="Furniture"/>
    <x v="1"/>
    <s v="Novimex Swivel Fabric Task Chair"/>
    <n v="301.95999999999998"/>
    <n v="2"/>
    <n v="0"/>
    <n v="33.215600000000002"/>
    <x v="3"/>
    <x v="7"/>
  </r>
  <r>
    <s v="CA-2015-149587"/>
    <x v="16"/>
    <d v="2015-02-05T00:00:00"/>
    <x v="0"/>
    <s v="KB-16315"/>
    <s v="Karl Braun"/>
    <x v="0"/>
    <s v="United States"/>
    <x v="12"/>
    <x v="11"/>
    <x v="3"/>
    <s v="FUR-FU-10003799"/>
    <s v="Furniture"/>
    <x v="3"/>
    <s v="Seth Thomas 13 1/2&quot; Wall Clock"/>
    <n v="53.34"/>
    <n v="3"/>
    <n v="0"/>
    <n v="16.535399999999999"/>
    <x v="2"/>
    <x v="8"/>
  </r>
  <r>
    <s v="CA-2017-161018"/>
    <x v="17"/>
    <d v="2017-11-11T00:00:00"/>
    <x v="0"/>
    <s v="PN-18775"/>
    <s v="Parhena Norris"/>
    <x v="2"/>
    <s v="United States"/>
    <x v="13"/>
    <x v="7"/>
    <x v="2"/>
    <s v="FUR-FU-10000629"/>
    <s v="Furniture"/>
    <x v="3"/>
    <s v="9-3/4 Diameter Round Wall Clock"/>
    <n v="96.53"/>
    <n v="7"/>
    <n v="0"/>
    <n v="40.5426"/>
    <x v="3"/>
    <x v="0"/>
  </r>
  <r>
    <s v="US-2015-156867"/>
    <x v="18"/>
    <d v="2015-11-17T00:00:00"/>
    <x v="1"/>
    <s v="LC-16870"/>
    <s v="Lena Cacioppo"/>
    <x v="0"/>
    <s v="United States"/>
    <x v="14"/>
    <x v="12"/>
    <x v="1"/>
    <s v="FUR-FU-10004006"/>
    <s v="Furniture"/>
    <x v="3"/>
    <s v="Deflect-o DuraMat Lighweight, Studded, Beveled Mat for Low Pile Carpeting"/>
    <n v="102.36"/>
    <n v="3"/>
    <n v="0.2"/>
    <n v="-3.8384999999999998"/>
    <x v="4"/>
    <x v="0"/>
  </r>
  <r>
    <s v="CA-2017-146780"/>
    <x v="19"/>
    <d v="2017-12-30T00:00:00"/>
    <x v="1"/>
    <s v="CV-12805"/>
    <s v="Cynthia Voltz"/>
    <x v="1"/>
    <s v="United States"/>
    <x v="13"/>
    <x v="7"/>
    <x v="2"/>
    <s v="FUR-FU-10001934"/>
    <s v="Furniture"/>
    <x v="3"/>
    <s v="Magnifier Swing Arm Lamp"/>
    <n v="41.96"/>
    <n v="2"/>
    <n v="0"/>
    <n v="10.909599999999999"/>
    <x v="2"/>
    <x v="5"/>
  </r>
  <r>
    <s v="CA-2015-110457"/>
    <x v="20"/>
    <d v="2015-03-06T00:00:00"/>
    <x v="1"/>
    <s v="DK-13090"/>
    <s v="Dave Kipp"/>
    <x v="0"/>
    <s v="United States"/>
    <x v="15"/>
    <x v="13"/>
    <x v="1"/>
    <s v="FUR-TA-10001768"/>
    <s v="Furniture"/>
    <x v="2"/>
    <s v="Hon Racetrack Conference Tables"/>
    <n v="787.53"/>
    <n v="3"/>
    <n v="0"/>
    <n v="165.38130000000001"/>
    <x v="4"/>
    <x v="9"/>
  </r>
  <r>
    <s v="CA-2016-103730"/>
    <x v="21"/>
    <d v="2016-06-15T00:00:00"/>
    <x v="2"/>
    <s v="SC-20725"/>
    <s v="Steven Cartwright"/>
    <x v="0"/>
    <s v="United States"/>
    <x v="16"/>
    <x v="14"/>
    <x v="2"/>
    <s v="FUR-FU-10002157"/>
    <s v="Furniture"/>
    <x v="3"/>
    <s v="Artistic Insta-Plaque"/>
    <n v="47.04"/>
    <n v="3"/>
    <n v="0"/>
    <n v="18.345600000000001"/>
    <x v="0"/>
    <x v="2"/>
  </r>
  <r>
    <s v="US-2014-152030"/>
    <x v="22"/>
    <d v="2014-12-28T00:00:00"/>
    <x v="0"/>
    <s v="AD-10180"/>
    <s v="Alan Dominguez"/>
    <x v="2"/>
    <s v="United States"/>
    <x v="6"/>
    <x v="5"/>
    <x v="3"/>
    <s v="FUR-CH-10004063"/>
    <s v="Furniture"/>
    <x v="1"/>
    <s v="Global Deluxe High-Back Manager's Chair"/>
    <n v="600.55799999999999"/>
    <n v="3"/>
    <n v="0.3"/>
    <n v="-8.5793999999999997"/>
    <x v="3"/>
    <x v="5"/>
  </r>
  <r>
    <s v="US-2014-134614"/>
    <x v="23"/>
    <d v="2014-09-25T00:00:00"/>
    <x v="1"/>
    <s v="PF-19165"/>
    <s v="Philip Fox"/>
    <x v="0"/>
    <s v="United States"/>
    <x v="17"/>
    <x v="8"/>
    <x v="3"/>
    <s v="FUR-TA-10004534"/>
    <s v="Furniture"/>
    <x v="2"/>
    <s v="Bevis 44 x 96 Conference Tables"/>
    <n v="617.70000000000005"/>
    <n v="6"/>
    <n v="0.5"/>
    <n v="-407.68200000000002"/>
    <x v="2"/>
    <x v="4"/>
  </r>
  <r>
    <s v="US-2016-125969"/>
    <x v="24"/>
    <d v="2016-11-10T00:00:00"/>
    <x v="0"/>
    <s v="LS-16975"/>
    <s v="Lindsay Shagiari"/>
    <x v="2"/>
    <s v="United States"/>
    <x v="2"/>
    <x v="2"/>
    <x v="1"/>
    <s v="FUR-CH-10001146"/>
    <s v="Furniture"/>
    <x v="1"/>
    <s v="Global Task Chair, Black"/>
    <n v="81.424000000000007"/>
    <n v="2"/>
    <n v="0.2"/>
    <n v="-9.1601999999999997"/>
    <x v="4"/>
    <x v="0"/>
  </r>
  <r>
    <s v="US-2016-125969"/>
    <x v="24"/>
    <d v="2016-11-10T00:00:00"/>
    <x v="0"/>
    <s v="LS-16975"/>
    <s v="Lindsay Shagiari"/>
    <x v="2"/>
    <s v="United States"/>
    <x v="2"/>
    <x v="2"/>
    <x v="1"/>
    <s v="FUR-FU-10003773"/>
    <s v="Furniture"/>
    <x v="3"/>
    <s v="Eldon Cleatmat Plus Chair Mats for High Pile Carpets"/>
    <n v="238.56"/>
    <n v="3"/>
    <n v="0"/>
    <n v="26.241599999999998"/>
    <x v="4"/>
    <x v="0"/>
  </r>
  <r>
    <s v="CA-2016-145583"/>
    <x v="25"/>
    <d v="2016-10-19T00:00:00"/>
    <x v="1"/>
    <s v="LC-16885"/>
    <s v="Lena Creighton"/>
    <x v="0"/>
    <s v="United States"/>
    <x v="18"/>
    <x v="2"/>
    <x v="1"/>
    <s v="FUR-FU-10001706"/>
    <s v="Furniture"/>
    <x v="3"/>
    <s v="Longer-Life Soft White Bulbs"/>
    <n v="43.12"/>
    <n v="14"/>
    <n v="0"/>
    <n v="20.697600000000001"/>
    <x v="6"/>
    <x v="1"/>
  </r>
  <r>
    <s v="CA-2016-110366"/>
    <x v="26"/>
    <d v="2016-09-07T00:00:00"/>
    <x v="0"/>
    <s v="JD-15895"/>
    <s v="Jonathan Doherty"/>
    <x v="1"/>
    <s v="United States"/>
    <x v="3"/>
    <x v="3"/>
    <x v="2"/>
    <s v="FUR-FU-10004848"/>
    <s v="Furniture"/>
    <x v="3"/>
    <s v="Howard Miller 13-3/4&quot; Diameter Brushed Chrome Round Wall Clock"/>
    <n v="82.8"/>
    <n v="2"/>
    <n v="0.2"/>
    <n v="10.35"/>
    <x v="3"/>
    <x v="4"/>
  </r>
  <r>
    <s v="CA-2014-110072"/>
    <x v="27"/>
    <d v="2014-10-28T00:00:00"/>
    <x v="1"/>
    <s v="MG-17680"/>
    <s v="Maureen Gastineau"/>
    <x v="2"/>
    <s v="United States"/>
    <x v="19"/>
    <x v="15"/>
    <x v="2"/>
    <s v="FUR-FU-10000521"/>
    <s v="Furniture"/>
    <x v="3"/>
    <s v="Seth Thomas 14&quot; Putty-Colored Wall Clock"/>
    <n v="93.888000000000005"/>
    <n v="4"/>
    <n v="0.2"/>
    <n v="12.909599999999999"/>
    <x v="6"/>
    <x v="1"/>
  </r>
  <r>
    <s v="CA-2016-114489"/>
    <x v="28"/>
    <d v="2016-12-09T00:00:00"/>
    <x v="1"/>
    <s v="JE-16165"/>
    <s v="Justin Ellison"/>
    <x v="1"/>
    <s v="United States"/>
    <x v="20"/>
    <x v="16"/>
    <x v="3"/>
    <s v="FUR-CH-10000454"/>
    <s v="Furniture"/>
    <x v="1"/>
    <s v="Hon Deluxe Fabric Upholstered Stacking Chairs, Rounded Back"/>
    <n v="1951.84"/>
    <n v="8"/>
    <n v="0"/>
    <n v="585.55200000000002"/>
    <x v="4"/>
    <x v="5"/>
  </r>
  <r>
    <s v="CA-2014-104269"/>
    <x v="29"/>
    <d v="2014-03-06T00:00:00"/>
    <x v="0"/>
    <s v="DB-13060"/>
    <s v="Dave Brooks"/>
    <x v="0"/>
    <s v="United States"/>
    <x v="15"/>
    <x v="13"/>
    <x v="1"/>
    <s v="FUR-CH-10004063"/>
    <s v="Furniture"/>
    <x v="1"/>
    <s v="Global Deluxe High-Back Manager's Chair"/>
    <n v="457.56799999999998"/>
    <n v="2"/>
    <n v="0.2"/>
    <n v="51.476399999999998"/>
    <x v="2"/>
    <x v="9"/>
  </r>
  <r>
    <s v="CA-2014-139892"/>
    <x v="30"/>
    <d v="2014-09-12T00:00:00"/>
    <x v="1"/>
    <s v="BM-11140"/>
    <s v="Becky Martin"/>
    <x v="0"/>
    <s v="United States"/>
    <x v="21"/>
    <x v="5"/>
    <x v="3"/>
    <s v="FUR-CH-10004287"/>
    <s v="Furniture"/>
    <x v="1"/>
    <s v="SAFCO Arco Folding Chair"/>
    <n v="1740.06"/>
    <n v="9"/>
    <n v="0.3"/>
    <n v="-24.858000000000001"/>
    <x v="4"/>
    <x v="4"/>
  </r>
  <r>
    <s v="CA-2014-118962"/>
    <x v="31"/>
    <d v="2014-08-09T00:00:00"/>
    <x v="1"/>
    <s v="CS-12130"/>
    <s v="Chad Sievert"/>
    <x v="0"/>
    <s v="United States"/>
    <x v="2"/>
    <x v="2"/>
    <x v="1"/>
    <s v="FUR-CH-10003817"/>
    <s v="Furniture"/>
    <x v="1"/>
    <s v="Global Value Steno Chair, Gray"/>
    <n v="340.14400000000001"/>
    <n v="7"/>
    <n v="0.2"/>
    <n v="21.259"/>
    <x v="4"/>
    <x v="10"/>
  </r>
  <r>
    <s v="US-2015-101511"/>
    <x v="32"/>
    <d v="2015-11-23T00:00:00"/>
    <x v="0"/>
    <s v="JE-15745"/>
    <s v="Joel Eaton"/>
    <x v="0"/>
    <s v="United States"/>
    <x v="19"/>
    <x v="15"/>
    <x v="2"/>
    <s v="FUR-CH-10004698"/>
    <s v="Furniture"/>
    <x v="1"/>
    <s v="Padded Folding Chairs, Black, 4/Carton"/>
    <n v="396.80200000000002"/>
    <n v="7"/>
    <n v="0.3"/>
    <n v="-11.337199999999999"/>
    <x v="3"/>
    <x v="0"/>
  </r>
  <r>
    <s v="CA-2015-102281"/>
    <x v="33"/>
    <d v="2015-10-14T00:00:00"/>
    <x v="2"/>
    <s v="MP-17470"/>
    <s v="Mark Packer"/>
    <x v="2"/>
    <s v="United States"/>
    <x v="13"/>
    <x v="7"/>
    <x v="2"/>
    <s v="FUR-BO-10002613"/>
    <s v="Furniture"/>
    <x v="0"/>
    <s v="Atlantic Metals Mobile 4-Shelf Bookcases, Custom Colors"/>
    <n v="899.13599999999997"/>
    <n v="4"/>
    <n v="0.2"/>
    <n v="112.392"/>
    <x v="3"/>
    <x v="1"/>
  </r>
  <r>
    <s v="CA-2015-102281"/>
    <x v="33"/>
    <d v="2015-10-14T00:00:00"/>
    <x v="2"/>
    <s v="MP-17470"/>
    <s v="Mark Packer"/>
    <x v="2"/>
    <s v="United States"/>
    <x v="13"/>
    <x v="7"/>
    <x v="2"/>
    <s v="FUR-BO-10002545"/>
    <s v="Furniture"/>
    <x v="0"/>
    <s v="Atlantic Metals Mobile 3-Shelf Bookcases, Custom Colors"/>
    <n v="626.35199999999998"/>
    <n v="3"/>
    <n v="0.2"/>
    <n v="46.976399999999998"/>
    <x v="3"/>
    <x v="1"/>
  </r>
  <r>
    <s v="CA-2014-133690"/>
    <x v="34"/>
    <d v="2014-08-05T00:00:00"/>
    <x v="2"/>
    <s v="BS-11755"/>
    <s v="Bruce Stewart"/>
    <x v="0"/>
    <s v="United States"/>
    <x v="22"/>
    <x v="12"/>
    <x v="1"/>
    <s v="FUR-TA-10004289"/>
    <s v="Furniture"/>
    <x v="2"/>
    <s v="BoxOffice By Design Rectangular and Half-Moon Meeting Room Tables"/>
    <n v="218.75"/>
    <n v="2"/>
    <n v="0.5"/>
    <n v="-161.875"/>
    <x v="3"/>
    <x v="10"/>
  </r>
  <r>
    <s v="CA-2017-126382"/>
    <x v="35"/>
    <d v="2017-06-07T00:00:00"/>
    <x v="1"/>
    <s v="HK-14890"/>
    <s v="Heather Kirkland"/>
    <x v="1"/>
    <s v="United States"/>
    <x v="20"/>
    <x v="9"/>
    <x v="0"/>
    <s v="FUR-FU-10002960"/>
    <s v="Furniture"/>
    <x v="3"/>
    <s v="Eldon 200 Class Desk Accessories, Burgundy"/>
    <n v="35.167999999999999"/>
    <n v="7"/>
    <n v="0.2"/>
    <n v="9.6712000000000007"/>
    <x v="4"/>
    <x v="2"/>
  </r>
  <r>
    <s v="CA-2015-146262"/>
    <x v="36"/>
    <d v="2015-01-09T00:00:00"/>
    <x v="1"/>
    <s v="VW-21775"/>
    <s v="Victoria Wilson"/>
    <x v="1"/>
    <s v="United States"/>
    <x v="23"/>
    <x v="15"/>
    <x v="2"/>
    <s v="FUR-BO-10004695"/>
    <s v="Furniture"/>
    <x v="0"/>
    <s v="O'Sullivan 2-Door Barrister Bookcase in Odessa Pine"/>
    <n v="452.45"/>
    <n v="5"/>
    <n v="0.5"/>
    <n v="-244.32300000000001"/>
    <x v="1"/>
    <x v="8"/>
  </r>
  <r>
    <s v="CA-2015-169397"/>
    <x v="37"/>
    <d v="2015-12-27T00:00:00"/>
    <x v="2"/>
    <s v="JB-15925"/>
    <s v="Joni Blumstein"/>
    <x v="0"/>
    <s v="United States"/>
    <x v="24"/>
    <x v="15"/>
    <x v="2"/>
    <s v="FUR-FU-10000087"/>
    <s v="Furniture"/>
    <x v="3"/>
    <s v="Executive Impressions 14&quot; Two-Color Numerals Wall Clock"/>
    <n v="72.703999999999994"/>
    <n v="4"/>
    <n v="0.2"/>
    <n v="19.084800000000001"/>
    <x v="0"/>
    <x v="5"/>
  </r>
  <r>
    <s v="CA-2015-163055"/>
    <x v="38"/>
    <d v="2015-08-16T00:00:00"/>
    <x v="1"/>
    <s v="DS-13180"/>
    <s v="David Smith"/>
    <x v="1"/>
    <s v="United States"/>
    <x v="25"/>
    <x v="17"/>
    <x v="3"/>
    <s v="FUR-TA-10003748"/>
    <s v="Furniture"/>
    <x v="2"/>
    <s v="Bevis 36 x 72 Conference Tables"/>
    <n v="622.45000000000005"/>
    <n v="5"/>
    <n v="0"/>
    <n v="136.93899999999999"/>
    <x v="1"/>
    <x v="10"/>
  </r>
  <r>
    <s v="US-2015-145436"/>
    <x v="39"/>
    <d v="2015-03-04T00:00:00"/>
    <x v="1"/>
    <s v="VD-21670"/>
    <s v="Valerie Dominguez"/>
    <x v="0"/>
    <s v="United States"/>
    <x v="11"/>
    <x v="9"/>
    <x v="0"/>
    <s v="FUR-CH-10004860"/>
    <s v="Furniture"/>
    <x v="1"/>
    <s v="Global Low Back Tilter Chair"/>
    <n v="161.56800000000001"/>
    <n v="2"/>
    <n v="0.2"/>
    <n v="-28.2744"/>
    <x v="4"/>
    <x v="11"/>
  </r>
  <r>
    <s v="US-2015-145436"/>
    <x v="39"/>
    <d v="2015-03-04T00:00:00"/>
    <x v="1"/>
    <s v="VD-21670"/>
    <s v="Valerie Dominguez"/>
    <x v="0"/>
    <s v="United States"/>
    <x v="11"/>
    <x v="9"/>
    <x v="0"/>
    <s v="FUR-CH-10004477"/>
    <s v="Furniture"/>
    <x v="1"/>
    <s v="Global Push Button Manager's Chair, Indigo"/>
    <n v="389.69600000000003"/>
    <n v="8"/>
    <n v="0.2"/>
    <n v="43.840800000000002"/>
    <x v="4"/>
    <x v="11"/>
  </r>
  <r>
    <s v="US-2017-100930"/>
    <x v="40"/>
    <d v="2017-04-12T00:00:00"/>
    <x v="1"/>
    <s v="CS-12400"/>
    <s v="Christopher Schild"/>
    <x v="2"/>
    <s v="United States"/>
    <x v="26"/>
    <x v="1"/>
    <x v="0"/>
    <s v="FUR-TA-10001705"/>
    <s v="Furniture"/>
    <x v="2"/>
    <s v="Bush Advantage Collection Round Conference Table"/>
    <n v="233.86"/>
    <n v="2"/>
    <n v="0.45"/>
    <n v="-102.048"/>
    <x v="2"/>
    <x v="6"/>
  </r>
  <r>
    <s v="US-2017-100930"/>
    <x v="40"/>
    <d v="2017-04-12T00:00:00"/>
    <x v="1"/>
    <s v="CS-12400"/>
    <s v="Christopher Schild"/>
    <x v="2"/>
    <s v="United States"/>
    <x v="26"/>
    <x v="1"/>
    <x v="0"/>
    <s v="FUR-TA-10003473"/>
    <s v="Furniture"/>
    <x v="2"/>
    <s v="Bretford Rectangular Conference Table Tops"/>
    <n v="620.61450000000002"/>
    <n v="3"/>
    <n v="0.45"/>
    <n v="-248.2458"/>
    <x v="2"/>
    <x v="6"/>
  </r>
  <r>
    <s v="US-2017-100930"/>
    <x v="40"/>
    <d v="2017-04-12T00:00:00"/>
    <x v="1"/>
    <s v="CS-12400"/>
    <s v="Christopher Schild"/>
    <x v="2"/>
    <s v="United States"/>
    <x v="26"/>
    <x v="1"/>
    <x v="0"/>
    <s v="FUR-FU-10004017"/>
    <s v="Furniture"/>
    <x v="3"/>
    <s v="Tenex Contemporary Contur Chairmats for Low and Medium Pile Carpet, Computer, 39&quot; x 49&quot;"/>
    <n v="258.072"/>
    <n v="3"/>
    <n v="0.2"/>
    <n v="0"/>
    <x v="2"/>
    <x v="6"/>
  </r>
  <r>
    <s v="CA-2016-157749"/>
    <x v="41"/>
    <d v="2016-06-09T00:00:00"/>
    <x v="0"/>
    <s v="KL-16645"/>
    <s v="Ken Lonsdale"/>
    <x v="0"/>
    <s v="United States"/>
    <x v="9"/>
    <x v="8"/>
    <x v="3"/>
    <s v="FUR-FU-10000576"/>
    <s v="Furniture"/>
    <x v="3"/>
    <s v="Luxo Professional Fluorescent Magnifier Lamp with Clamp-Mount Base"/>
    <n v="419.68"/>
    <n v="5"/>
    <n v="0.6"/>
    <n v="-356.72800000000001"/>
    <x v="2"/>
    <x v="2"/>
  </r>
  <r>
    <s v="CA-2016-157749"/>
    <x v="41"/>
    <d v="2016-06-09T00:00:00"/>
    <x v="0"/>
    <s v="KL-16645"/>
    <s v="Ken Lonsdale"/>
    <x v="0"/>
    <s v="United States"/>
    <x v="9"/>
    <x v="8"/>
    <x v="3"/>
    <s v="FUR-FU-10004351"/>
    <s v="Furniture"/>
    <x v="3"/>
    <s v="Staple-based wall hangings"/>
    <n v="11.688000000000001"/>
    <n v="3"/>
    <n v="0.6"/>
    <n v="-4.6752000000000002"/>
    <x v="2"/>
    <x v="2"/>
  </r>
  <r>
    <s v="CA-2016-157749"/>
    <x v="41"/>
    <d v="2016-06-09T00:00:00"/>
    <x v="0"/>
    <s v="KL-16645"/>
    <s v="Ken Lonsdale"/>
    <x v="0"/>
    <s v="United States"/>
    <x v="9"/>
    <x v="8"/>
    <x v="3"/>
    <s v="FUR-TA-10002607"/>
    <s v="Furniture"/>
    <x v="2"/>
    <s v="KI Conference Tables"/>
    <n v="177.22499999999999"/>
    <n v="5"/>
    <n v="0.5"/>
    <n v="-120.51300000000001"/>
    <x v="2"/>
    <x v="2"/>
  </r>
  <r>
    <s v="CA-2016-157749"/>
    <x v="41"/>
    <d v="2016-06-09T00:00:00"/>
    <x v="0"/>
    <s v="KL-16645"/>
    <s v="Ken Lonsdale"/>
    <x v="0"/>
    <s v="United States"/>
    <x v="9"/>
    <x v="8"/>
    <x v="3"/>
    <s v="FUR-FU-10002505"/>
    <s v="Furniture"/>
    <x v="3"/>
    <s v="Eldon 100 Class Desk Accessories"/>
    <n v="4.0439999999999996"/>
    <n v="3"/>
    <n v="0.6"/>
    <n v="-2.8308"/>
    <x v="2"/>
    <x v="2"/>
  </r>
  <r>
    <s v="CA-2014-131926"/>
    <x v="42"/>
    <d v="2014-06-06T00:00:00"/>
    <x v="0"/>
    <s v="DW-13480"/>
    <s v="Dianna Wilson"/>
    <x v="2"/>
    <s v="United States"/>
    <x v="27"/>
    <x v="11"/>
    <x v="3"/>
    <s v="FUR-CH-10004063"/>
    <s v="Furniture"/>
    <x v="1"/>
    <s v="Global Deluxe High-Back Manager's Chair"/>
    <n v="2001.86"/>
    <n v="7"/>
    <n v="0"/>
    <n v="580.5394"/>
    <x v="2"/>
    <x v="2"/>
  </r>
  <r>
    <s v="CA-2016-154739"/>
    <x v="43"/>
    <d v="2016-12-15T00:00:00"/>
    <x v="0"/>
    <s v="LH-17155"/>
    <s v="Logan Haushalter"/>
    <x v="0"/>
    <s v="United States"/>
    <x v="28"/>
    <x v="2"/>
    <x v="1"/>
    <s v="FUR-CH-10002965"/>
    <s v="Furniture"/>
    <x v="1"/>
    <s v="Global Leather Highback Executive Chair with Pneumatic Height Adjustment, Black"/>
    <n v="321.56799999999998"/>
    <n v="2"/>
    <n v="0.2"/>
    <n v="28.1372"/>
    <x v="2"/>
    <x v="5"/>
  </r>
  <r>
    <s v="US-2015-159982"/>
    <x v="44"/>
    <d v="2015-12-04T00:00:00"/>
    <x v="1"/>
    <s v="DR-12880"/>
    <s v="Dan Reichenbach"/>
    <x v="1"/>
    <s v="United States"/>
    <x v="9"/>
    <x v="8"/>
    <x v="3"/>
    <s v="FUR-FU-10002505"/>
    <s v="Furniture"/>
    <x v="3"/>
    <s v="Eldon 100 Class Desk Accessories"/>
    <n v="12.132"/>
    <n v="9"/>
    <n v="0.6"/>
    <n v="-8.4923999999999999"/>
    <x v="6"/>
    <x v="0"/>
  </r>
  <r>
    <s v="CA-2015-155334"/>
    <x v="45"/>
    <d v="2015-07-31T00:00:00"/>
    <x v="2"/>
    <s v="HA-14920"/>
    <s v="Helen Andreada"/>
    <x v="0"/>
    <s v="United States"/>
    <x v="28"/>
    <x v="2"/>
    <x v="1"/>
    <s v="FUR-FU-10003274"/>
    <s v="Furniture"/>
    <x v="3"/>
    <s v="Regeneration Desk Collection"/>
    <n v="5.28"/>
    <n v="3"/>
    <n v="0"/>
    <n v="2.3231999999999999"/>
    <x v="5"/>
    <x v="3"/>
  </r>
  <r>
    <s v="CA-2015-130890"/>
    <x v="46"/>
    <d v="2015-11-06T00:00:00"/>
    <x v="1"/>
    <s v="JO-15280"/>
    <s v="Jas O'Carroll"/>
    <x v="0"/>
    <s v="United States"/>
    <x v="2"/>
    <x v="2"/>
    <x v="1"/>
    <s v="FUR-TA-10002903"/>
    <s v="Furniture"/>
    <x v="2"/>
    <s v="Bevis Round Bullnose 29&quot; High Table Top"/>
    <n v="1038.8399999999999"/>
    <n v="5"/>
    <n v="0.2"/>
    <n v="51.942"/>
    <x v="4"/>
    <x v="0"/>
  </r>
  <r>
    <s v="CA-2016-110772"/>
    <x v="47"/>
    <d v="2016-11-24T00:00:00"/>
    <x v="0"/>
    <s v="NZ-18565"/>
    <s v="Nick Zandusky"/>
    <x v="2"/>
    <s v="United States"/>
    <x v="29"/>
    <x v="15"/>
    <x v="2"/>
    <s v="FUR-BO-10004709"/>
    <s v="Furniture"/>
    <x v="0"/>
    <s v="Bush Westfield Collection Bookcases, Medium Cherry Finish"/>
    <n v="86.97"/>
    <n v="3"/>
    <n v="0.5"/>
    <n v="-48.703200000000002"/>
    <x v="4"/>
    <x v="0"/>
  </r>
  <r>
    <s v="CA-2014-111451"/>
    <x v="22"/>
    <d v="2014-12-28T00:00:00"/>
    <x v="2"/>
    <s v="KL-16555"/>
    <s v="Kelly Lampkin"/>
    <x v="1"/>
    <s v="United States"/>
    <x v="30"/>
    <x v="12"/>
    <x v="1"/>
    <s v="FUR-FU-10004091"/>
    <s v="Furniture"/>
    <x v="3"/>
    <s v="Howard Miller 13&quot; Diameter Goldtone Round Wall Clock"/>
    <n v="300.416"/>
    <n v="8"/>
    <n v="0.2"/>
    <n v="78.859200000000001"/>
    <x v="3"/>
    <x v="5"/>
  </r>
  <r>
    <s v="CA-2014-111451"/>
    <x v="22"/>
    <d v="2014-12-28T00:00:00"/>
    <x v="2"/>
    <s v="KL-16555"/>
    <s v="Kelly Lampkin"/>
    <x v="1"/>
    <s v="United States"/>
    <x v="30"/>
    <x v="12"/>
    <x v="1"/>
    <s v="FUR-CH-10001891"/>
    <s v="Furniture"/>
    <x v="1"/>
    <s v="Global Deluxe Office Fabric Chairs"/>
    <n v="230.352"/>
    <n v="3"/>
    <n v="0.2"/>
    <n v="20.155799999999999"/>
    <x v="3"/>
    <x v="5"/>
  </r>
  <r>
    <s v="CA-2014-111451"/>
    <x v="22"/>
    <d v="2014-12-28T00:00:00"/>
    <x v="2"/>
    <s v="KL-16555"/>
    <s v="Kelly Lampkin"/>
    <x v="1"/>
    <s v="United States"/>
    <x v="30"/>
    <x v="12"/>
    <x v="1"/>
    <s v="FUR-FU-10002918"/>
    <s v="Furniture"/>
    <x v="3"/>
    <s v="Eldon ClusterMat Chair Mat with Cordless Antistatic Protection"/>
    <n v="218.352"/>
    <n v="3"/>
    <n v="0.2"/>
    <n v="-24.564599999999999"/>
    <x v="3"/>
    <x v="5"/>
  </r>
  <r>
    <s v="CA-2016-142545"/>
    <x v="48"/>
    <d v="2016-11-03T00:00:00"/>
    <x v="1"/>
    <s v="JD-15895"/>
    <s v="Jonathan Doherty"/>
    <x v="1"/>
    <s v="United States"/>
    <x v="31"/>
    <x v="18"/>
    <x v="2"/>
    <s v="FUR-FU-10001861"/>
    <s v="Furniture"/>
    <x v="3"/>
    <s v="Floodlight Indoor Halogen Bulbs, 1 Bulb per Pack, 60 Watts"/>
    <n v="77.599999999999994"/>
    <n v="4"/>
    <n v="0"/>
    <n v="38.024000000000001"/>
    <x v="6"/>
    <x v="1"/>
  </r>
  <r>
    <s v="US-2017-152380"/>
    <x v="49"/>
    <d v="2017-11-23T00:00:00"/>
    <x v="1"/>
    <s v="JH-15910"/>
    <s v="Jonathan Howell"/>
    <x v="0"/>
    <s v="United States"/>
    <x v="9"/>
    <x v="8"/>
    <x v="3"/>
    <s v="FUR-TA-10002533"/>
    <s v="Furniture"/>
    <x v="2"/>
    <s v="BPI Conference Tables"/>
    <n v="219.07499999999999"/>
    <n v="3"/>
    <n v="0.5"/>
    <n v="-131.44499999999999"/>
    <x v="4"/>
    <x v="0"/>
  </r>
  <r>
    <s v="CA-2015-144253"/>
    <x v="50"/>
    <d v="2015-05-09T00:00:00"/>
    <x v="0"/>
    <s v="AS-10225"/>
    <s v="Alan Schoenberger"/>
    <x v="1"/>
    <s v="United States"/>
    <x v="13"/>
    <x v="7"/>
    <x v="2"/>
    <s v="FUR-FU-10002671"/>
    <s v="Furniture"/>
    <x v="3"/>
    <s v="Electrix 20W Halogen Replacement Bulb for Zoom-In Desk Lamp"/>
    <n v="26.8"/>
    <n v="2"/>
    <n v="0"/>
    <n v="12.864000000000001"/>
    <x v="2"/>
    <x v="7"/>
  </r>
  <r>
    <s v="CA-2016-142902"/>
    <x v="51"/>
    <d v="2016-09-14T00:00:00"/>
    <x v="0"/>
    <s v="BP-11185"/>
    <s v="Ben Peterman"/>
    <x v="1"/>
    <s v="United States"/>
    <x v="32"/>
    <x v="12"/>
    <x v="1"/>
    <s v="FUR-FU-10001918"/>
    <s v="Furniture"/>
    <x v="3"/>
    <s v="C-Line Cubicle Keepers Polyproplyene Holder With Velcro Backings"/>
    <n v="15.135999999999999"/>
    <n v="4"/>
    <n v="0.2"/>
    <n v="3.5948000000000002"/>
    <x v="3"/>
    <x v="4"/>
  </r>
  <r>
    <s v="CA-2016-142902"/>
    <x v="51"/>
    <d v="2016-09-14T00:00:00"/>
    <x v="0"/>
    <s v="BP-11185"/>
    <s v="Ben Peterman"/>
    <x v="1"/>
    <s v="United States"/>
    <x v="32"/>
    <x v="12"/>
    <x v="1"/>
    <s v="FUR-CH-10004086"/>
    <s v="Furniture"/>
    <x v="1"/>
    <s v="Hon 4070 Series Pagoda Armless Upholstered Stacking Chairs"/>
    <n v="466.76799999999997"/>
    <n v="2"/>
    <n v="0.2"/>
    <n v="52.511400000000002"/>
    <x v="3"/>
    <x v="4"/>
  </r>
  <r>
    <s v="CA-2016-142902"/>
    <x v="51"/>
    <d v="2016-09-14T00:00:00"/>
    <x v="0"/>
    <s v="BP-11185"/>
    <s v="Ben Peterman"/>
    <x v="1"/>
    <s v="United States"/>
    <x v="32"/>
    <x v="12"/>
    <x v="1"/>
    <s v="FUR-FU-10001756"/>
    <s v="Furniture"/>
    <x v="3"/>
    <s v="Eldon Expressions Desk Accessory, Wood Photo Frame, Mahogany"/>
    <n v="15.231999999999999"/>
    <n v="1"/>
    <n v="0.2"/>
    <n v="1.7136"/>
    <x v="3"/>
    <x v="4"/>
  </r>
  <r>
    <s v="CA-2014-120887"/>
    <x v="52"/>
    <d v="2014-10-03T00:00:00"/>
    <x v="1"/>
    <s v="TS-21205"/>
    <s v="Thomas Seio"/>
    <x v="1"/>
    <s v="United States"/>
    <x v="33"/>
    <x v="18"/>
    <x v="2"/>
    <s v="FUR-FU-10001588"/>
    <s v="Furniture"/>
    <x v="3"/>
    <s v="Deflect-o SuperTray Unbreakable Stackable Tray, Letter, Black"/>
    <n v="87.54"/>
    <n v="3"/>
    <n v="0"/>
    <n v="37.642200000000003"/>
    <x v="6"/>
    <x v="4"/>
  </r>
  <r>
    <s v="CA-2014-164973"/>
    <x v="53"/>
    <d v="2014-11-09T00:00:00"/>
    <x v="1"/>
    <s v="NM-18445"/>
    <s v="Nathan Mautz"/>
    <x v="2"/>
    <s v="United States"/>
    <x v="13"/>
    <x v="7"/>
    <x v="2"/>
    <s v="FUR-CH-10002602"/>
    <s v="Furniture"/>
    <x v="1"/>
    <s v="DMI Arturo Collection Mission-style Design Wood Chair"/>
    <n v="135.88200000000001"/>
    <n v="1"/>
    <n v="0.1"/>
    <n v="24.1568"/>
    <x v="2"/>
    <x v="0"/>
  </r>
  <r>
    <s v="CA-2017-153339"/>
    <x v="54"/>
    <d v="2017-11-05T00:00:00"/>
    <x v="0"/>
    <s v="DJ-13510"/>
    <s v="Don Jones"/>
    <x v="1"/>
    <s v="United States"/>
    <x v="34"/>
    <x v="9"/>
    <x v="0"/>
    <s v="FUR-FU-10001967"/>
    <s v="Furniture"/>
    <x v="3"/>
    <s v="Telescoping Adjustable Floor Lamp"/>
    <n v="15.992000000000001"/>
    <n v="1"/>
    <n v="0.2"/>
    <n v="0.99950000000000006"/>
    <x v="3"/>
    <x v="0"/>
  </r>
  <r>
    <s v="US-2016-141544"/>
    <x v="55"/>
    <d v="2016-09-01T00:00:00"/>
    <x v="2"/>
    <s v="PO-18850"/>
    <s v="Patrick O'Brill"/>
    <x v="0"/>
    <s v="United States"/>
    <x v="3"/>
    <x v="3"/>
    <x v="2"/>
    <s v="FUR-CH-10003312"/>
    <s v="Furniture"/>
    <x v="1"/>
    <s v="Hon 2090 ÒPillow SoftÓ Series Mid Back Swivel/Tilt Chairs"/>
    <n v="786.74400000000003"/>
    <n v="4"/>
    <n v="0.3"/>
    <n v="-258.5016"/>
    <x v="3"/>
    <x v="10"/>
  </r>
  <r>
    <s v="CA-2014-129924"/>
    <x v="56"/>
    <d v="2014-07-17T00:00:00"/>
    <x v="1"/>
    <s v="AC-10420"/>
    <s v="Alyssa Crouse"/>
    <x v="1"/>
    <s v="United States"/>
    <x v="28"/>
    <x v="2"/>
    <x v="1"/>
    <s v="FUR-TA-10004575"/>
    <s v="Furniture"/>
    <x v="2"/>
    <s v="Hon 5100 Series Wood Tables"/>
    <n v="698.35199999999998"/>
    <n v="3"/>
    <n v="0.2"/>
    <n v="-17.4588"/>
    <x v="2"/>
    <x v="3"/>
  </r>
  <r>
    <s v="CA-2016-138520"/>
    <x v="57"/>
    <d v="2016-04-13T00:00:00"/>
    <x v="1"/>
    <s v="JL-15505"/>
    <s v="Jeremy Lonsdale"/>
    <x v="0"/>
    <s v="United States"/>
    <x v="13"/>
    <x v="7"/>
    <x v="2"/>
    <s v="FUR-BO-10002268"/>
    <s v="Furniture"/>
    <x v="0"/>
    <s v="Sauder Barrister Bookcases"/>
    <n v="388.70400000000001"/>
    <n v="6"/>
    <n v="0.2"/>
    <n v="-4.8587999999999996"/>
    <x v="2"/>
    <x v="6"/>
  </r>
  <r>
    <s v="CA-2017-144904"/>
    <x v="58"/>
    <d v="2017-10-01T00:00:00"/>
    <x v="1"/>
    <s v="KW-16435"/>
    <s v="Katrina Willman"/>
    <x v="0"/>
    <s v="United States"/>
    <x v="13"/>
    <x v="7"/>
    <x v="2"/>
    <s v="FUR-CH-10000785"/>
    <s v="Furniture"/>
    <x v="1"/>
    <s v="Global Ergonomic Managers Chair"/>
    <n v="488.64600000000002"/>
    <n v="3"/>
    <n v="0.1"/>
    <n v="86.870400000000004"/>
    <x v="6"/>
    <x v="4"/>
  </r>
  <r>
    <s v="CA-2017-144904"/>
    <x v="58"/>
    <d v="2017-10-01T00:00:00"/>
    <x v="1"/>
    <s v="KW-16435"/>
    <s v="Katrina Willman"/>
    <x v="0"/>
    <s v="United States"/>
    <x v="13"/>
    <x v="7"/>
    <x v="2"/>
    <s v="FUR-FU-10000023"/>
    <s v="Furniture"/>
    <x v="3"/>
    <s v="Eldon Wave Desk Accessories"/>
    <n v="47.12"/>
    <n v="8"/>
    <n v="0"/>
    <n v="20.732800000000001"/>
    <x v="6"/>
    <x v="4"/>
  </r>
  <r>
    <s v="CA-2016-155516"/>
    <x v="59"/>
    <d v="2016-10-21T00:00:00"/>
    <x v="3"/>
    <s v="MK-17905"/>
    <s v="Michael Kennedy"/>
    <x v="1"/>
    <s v="United States"/>
    <x v="35"/>
    <x v="19"/>
    <x v="2"/>
    <s v="FUR-BO-10002545"/>
    <s v="Furniture"/>
    <x v="0"/>
    <s v="Atlantic Metals Mobile 3-Shelf Bookcases, Custom Colors"/>
    <n v="1043.92"/>
    <n v="4"/>
    <n v="0"/>
    <n v="271.41919999999999"/>
    <x v="7"/>
    <x v="1"/>
  </r>
  <r>
    <s v="US-2017-134481"/>
    <x v="60"/>
    <d v="2017-09-01T00:00:00"/>
    <x v="1"/>
    <s v="AR-10405"/>
    <s v="Allen Rosenblatt"/>
    <x v="1"/>
    <s v="United States"/>
    <x v="20"/>
    <x v="20"/>
    <x v="2"/>
    <s v="FUR-TA-10004915"/>
    <s v="Furniture"/>
    <x v="2"/>
    <s v="Office Impressions End Table, 20-1/2&quot;H x 24&quot;W x 20&quot;D"/>
    <n v="1488.424"/>
    <n v="7"/>
    <n v="0.3"/>
    <n v="-297.6848"/>
    <x v="2"/>
    <x v="10"/>
  </r>
  <r>
    <s v="US-2015-168935"/>
    <x v="61"/>
    <d v="2015-12-02T00:00:00"/>
    <x v="1"/>
    <s v="DO-13435"/>
    <s v="Denny Ordway"/>
    <x v="0"/>
    <s v="United States"/>
    <x v="36"/>
    <x v="1"/>
    <x v="0"/>
    <s v="FUR-TA-10000617"/>
    <s v="Furniture"/>
    <x v="2"/>
    <s v="Hon Practical Foundations 30 x 60 Training Table, Light Gray/Charcoal"/>
    <n v="375.45749999999998"/>
    <n v="3"/>
    <n v="0.45"/>
    <n v="-157.0095"/>
    <x v="2"/>
    <x v="0"/>
  </r>
  <r>
    <s v="CA-2015-122756"/>
    <x v="62"/>
    <d v="2015-12-07T00:00:00"/>
    <x v="1"/>
    <s v="DK-13225"/>
    <s v="Dean Katz"/>
    <x v="1"/>
    <s v="United States"/>
    <x v="3"/>
    <x v="3"/>
    <x v="2"/>
    <s v="FUR-FU-10001935"/>
    <s v="Furniture"/>
    <x v="3"/>
    <s v="3M Hangers With Command Adhesive"/>
    <n v="2.96"/>
    <n v="1"/>
    <n v="0.2"/>
    <n v="0.77700000000000002"/>
    <x v="4"/>
    <x v="5"/>
  </r>
  <r>
    <s v="CA-2016-108987"/>
    <x v="63"/>
    <d v="2016-09-10T00:00:00"/>
    <x v="0"/>
    <s v="AG-10675"/>
    <s v="Anna Gayman"/>
    <x v="0"/>
    <s v="United States"/>
    <x v="6"/>
    <x v="5"/>
    <x v="3"/>
    <s v="FUR-BO-10004834"/>
    <s v="Furniture"/>
    <x v="0"/>
    <s v="Riverside Palais Royal Lawyers Bookcase, Royale Cherry Finish"/>
    <n v="2396.2656000000002"/>
    <n v="4"/>
    <n v="0.32"/>
    <n v="-317.15280000000001"/>
    <x v="3"/>
    <x v="4"/>
  </r>
  <r>
    <s v="CA-2017-117457"/>
    <x v="64"/>
    <d v="2017-12-12T00:00:00"/>
    <x v="1"/>
    <s v="KH-16510"/>
    <s v="Keith Herrera"/>
    <x v="0"/>
    <s v="United States"/>
    <x v="28"/>
    <x v="2"/>
    <x v="1"/>
    <s v="FUR-TA-10002041"/>
    <s v="Furniture"/>
    <x v="2"/>
    <s v="Bevis Round Conference Table Top, X-Base"/>
    <n v="1004.024"/>
    <n v="7"/>
    <n v="0.2"/>
    <n v="-112.95269999999999"/>
    <x v="4"/>
    <x v="5"/>
  </r>
  <r>
    <s v="CA-2017-117457"/>
    <x v="64"/>
    <d v="2017-12-12T00:00:00"/>
    <x v="1"/>
    <s v="KH-16510"/>
    <s v="Keith Herrera"/>
    <x v="0"/>
    <s v="United States"/>
    <x v="28"/>
    <x v="2"/>
    <x v="1"/>
    <s v="FUR-BO-10001972"/>
    <s v="Furniture"/>
    <x v="0"/>
    <s v="O'Sullivan 4-Shelf Bookcase in Odessa Pine"/>
    <n v="1336.829"/>
    <n v="13"/>
    <n v="0.15"/>
    <n v="31.454799999999999"/>
    <x v="4"/>
    <x v="5"/>
  </r>
  <r>
    <s v="CA-2017-117457"/>
    <x v="64"/>
    <d v="2017-12-12T00:00:00"/>
    <x v="1"/>
    <s v="KH-16510"/>
    <s v="Keith Herrera"/>
    <x v="0"/>
    <s v="United States"/>
    <x v="28"/>
    <x v="2"/>
    <x v="1"/>
    <s v="FUR-CH-10003956"/>
    <s v="Furniture"/>
    <x v="1"/>
    <s v="Novimex High-Tech Fabric Mesh Task Chair"/>
    <n v="113.568"/>
    <n v="2"/>
    <n v="0.2"/>
    <n v="-18.454799999999999"/>
    <x v="4"/>
    <x v="5"/>
  </r>
  <r>
    <s v="CA-2017-142636"/>
    <x v="54"/>
    <d v="2017-11-07T00:00:00"/>
    <x v="1"/>
    <s v="KC-16675"/>
    <s v="Kimberly Carter"/>
    <x v="1"/>
    <s v="United States"/>
    <x v="15"/>
    <x v="13"/>
    <x v="1"/>
    <s v="FUR-CH-10001891"/>
    <s v="Furniture"/>
    <x v="1"/>
    <s v="Global Deluxe Office Fabric Chairs"/>
    <n v="307.13600000000002"/>
    <n v="4"/>
    <n v="0.2"/>
    <n v="26.874400000000001"/>
    <x v="4"/>
    <x v="0"/>
  </r>
  <r>
    <s v="CA-2016-148796"/>
    <x v="65"/>
    <d v="2016-04-18T00:00:00"/>
    <x v="1"/>
    <s v="PB-19150"/>
    <s v="Philip Brown"/>
    <x v="0"/>
    <s v="United States"/>
    <x v="2"/>
    <x v="2"/>
    <x v="1"/>
    <s v="FUR-CH-10004886"/>
    <s v="Furniture"/>
    <x v="1"/>
    <s v="Bevis Steel Folding Chairs"/>
    <n v="383.8"/>
    <n v="5"/>
    <n v="0.2"/>
    <n v="38.380000000000003"/>
    <x v="4"/>
    <x v="6"/>
  </r>
  <r>
    <s v="CA-2017-125388"/>
    <x v="66"/>
    <d v="2017-10-23T00:00:00"/>
    <x v="1"/>
    <s v="MP-17965"/>
    <s v="Michael Paige"/>
    <x v="1"/>
    <s v="United States"/>
    <x v="37"/>
    <x v="20"/>
    <x v="2"/>
    <s v="FUR-FU-10004712"/>
    <s v="Furniture"/>
    <x v="3"/>
    <s v="Westinghouse Mesh Shade Clip-On Gooseneck Lamp, Black"/>
    <n v="56.56"/>
    <n v="4"/>
    <n v="0"/>
    <n v="14.7056"/>
    <x v="4"/>
    <x v="1"/>
  </r>
  <r>
    <s v="CA-2017-155705"/>
    <x v="67"/>
    <d v="2017-08-23T00:00:00"/>
    <x v="0"/>
    <s v="NF-18385"/>
    <s v="Natalie Fritzler"/>
    <x v="0"/>
    <s v="United States"/>
    <x v="38"/>
    <x v="21"/>
    <x v="0"/>
    <s v="FUR-CH-10000015"/>
    <s v="Furniture"/>
    <x v="1"/>
    <s v="Hon Multipurpose Stacking Arm Chairs"/>
    <n v="866.4"/>
    <n v="4"/>
    <n v="0"/>
    <n v="225.26400000000001"/>
    <x v="3"/>
    <x v="10"/>
  </r>
  <r>
    <s v="CA-2017-149160"/>
    <x v="68"/>
    <d v="2017-11-26T00:00:00"/>
    <x v="0"/>
    <s v="JM-15265"/>
    <s v="Janet Molinari"/>
    <x v="1"/>
    <s v="United States"/>
    <x v="39"/>
    <x v="17"/>
    <x v="3"/>
    <s v="FUR-FU-10003347"/>
    <s v="Furniture"/>
    <x v="3"/>
    <s v="Coloredge Poster Frame"/>
    <n v="28.4"/>
    <n v="2"/>
    <n v="0"/>
    <n v="11.076000000000001"/>
    <x v="0"/>
    <x v="0"/>
  </r>
  <r>
    <s v="CA-2017-157252"/>
    <x v="69"/>
    <d v="2017-01-23T00:00:00"/>
    <x v="0"/>
    <s v="CV-12805"/>
    <s v="Cynthia Voltz"/>
    <x v="1"/>
    <s v="United States"/>
    <x v="13"/>
    <x v="7"/>
    <x v="2"/>
    <s v="FUR-CH-10003396"/>
    <s v="Furniture"/>
    <x v="1"/>
    <s v="Global Deluxe Steno Chair"/>
    <n v="207.846"/>
    <n v="3"/>
    <n v="0.1"/>
    <n v="2.3094000000000001"/>
    <x v="0"/>
    <x v="8"/>
  </r>
  <r>
    <s v="CA-2016-115756"/>
    <x v="26"/>
    <d v="2016-09-07T00:00:00"/>
    <x v="0"/>
    <s v="PK-19075"/>
    <s v="Pete Kriz"/>
    <x v="0"/>
    <s v="United States"/>
    <x v="25"/>
    <x v="17"/>
    <x v="3"/>
    <s v="FUR-FU-10000246"/>
    <s v="Furniture"/>
    <x v="3"/>
    <s v="Aluminum Document Frame"/>
    <n v="12.22"/>
    <n v="1"/>
    <n v="0"/>
    <n v="3.6659999999999999"/>
    <x v="3"/>
    <x v="4"/>
  </r>
  <r>
    <s v="CA-2016-115756"/>
    <x v="26"/>
    <d v="2016-09-07T00:00:00"/>
    <x v="0"/>
    <s v="PK-19075"/>
    <s v="Pete Kriz"/>
    <x v="0"/>
    <s v="United States"/>
    <x v="25"/>
    <x v="17"/>
    <x v="3"/>
    <s v="FUR-CH-10002372"/>
    <s v="Furniture"/>
    <x v="1"/>
    <s v="Office Star - Ergonomically Designed Knee Chair"/>
    <n v="242.94"/>
    <n v="3"/>
    <n v="0"/>
    <n v="29.152799999999999"/>
    <x v="3"/>
    <x v="4"/>
  </r>
  <r>
    <s v="CA-2017-154214"/>
    <x v="70"/>
    <d v="2017-03-25T00:00:00"/>
    <x v="0"/>
    <s v="TB-21595"/>
    <s v="Troy Blackwell"/>
    <x v="0"/>
    <s v="United States"/>
    <x v="29"/>
    <x v="6"/>
    <x v="3"/>
    <s v="FUR-FU-10000206"/>
    <s v="Furniture"/>
    <x v="3"/>
    <s v="GE General Purpose, Extra Long Life, Showcase &amp; Floodlight Incandescent Bulbs"/>
    <n v="2.91"/>
    <n v="1"/>
    <n v="0"/>
    <n v="1.3676999999999999"/>
    <x v="2"/>
    <x v="9"/>
  </r>
  <r>
    <s v="CA-2017-147277"/>
    <x v="71"/>
    <d v="2017-10-24T00:00:00"/>
    <x v="1"/>
    <s v="EB-13705"/>
    <s v="Ed Braxton"/>
    <x v="1"/>
    <s v="United States"/>
    <x v="40"/>
    <x v="15"/>
    <x v="2"/>
    <s v="FUR-TA-10001539"/>
    <s v="Furniture"/>
    <x v="2"/>
    <s v="Chromcraft Rectangular Conference Tables"/>
    <n v="284.36399999999998"/>
    <n v="2"/>
    <n v="0.4"/>
    <n v="-75.830399999999997"/>
    <x v="4"/>
    <x v="1"/>
  </r>
  <r>
    <s v="US-2014-110674"/>
    <x v="72"/>
    <d v="2014-02-18T00:00:00"/>
    <x v="1"/>
    <s v="SC-20095"/>
    <s v="Sanjit Chand"/>
    <x v="0"/>
    <s v="United States"/>
    <x v="41"/>
    <x v="2"/>
    <x v="1"/>
    <s v="FUR-CH-10000225"/>
    <s v="Furniture"/>
    <x v="1"/>
    <s v="Global Geo Office Task Chair, Gray"/>
    <n v="129.56800000000001"/>
    <n v="2"/>
    <n v="0.2"/>
    <n v="-24.294"/>
    <x v="6"/>
    <x v="11"/>
  </r>
  <r>
    <s v="US-2016-157945"/>
    <x v="73"/>
    <d v="2016-10-01T00:00:00"/>
    <x v="1"/>
    <s v="NF-18385"/>
    <s v="Natalie Fritzler"/>
    <x v="0"/>
    <s v="United States"/>
    <x v="42"/>
    <x v="8"/>
    <x v="3"/>
    <s v="FUR-CH-10002331"/>
    <s v="Furniture"/>
    <x v="1"/>
    <s v="Hon 4700 Series Mobuis Mid-Back Task Chairs with Adjustable Arms"/>
    <n v="747.55799999999999"/>
    <n v="3"/>
    <n v="0.3"/>
    <n v="-96.114599999999996"/>
    <x v="2"/>
    <x v="4"/>
  </r>
  <r>
    <s v="CA-2016-109869"/>
    <x v="74"/>
    <d v="2016-04-29T00:00:00"/>
    <x v="1"/>
    <s v="TN-21040"/>
    <s v="Tanja Norvell"/>
    <x v="2"/>
    <s v="United States"/>
    <x v="43"/>
    <x v="22"/>
    <x v="1"/>
    <s v="FUR-FU-10000023"/>
    <s v="Furniture"/>
    <x v="3"/>
    <s v="Eldon Wave Desk Accessories"/>
    <n v="23.56"/>
    <n v="5"/>
    <n v="0.2"/>
    <n v="7.0679999999999996"/>
    <x v="1"/>
    <x v="6"/>
  </r>
  <r>
    <s v="CA-2016-109869"/>
    <x v="74"/>
    <d v="2016-04-29T00:00:00"/>
    <x v="1"/>
    <s v="TN-21040"/>
    <s v="Tanja Norvell"/>
    <x v="2"/>
    <s v="United States"/>
    <x v="43"/>
    <x v="22"/>
    <x v="1"/>
    <s v="FUR-TA-10001889"/>
    <s v="Furniture"/>
    <x v="2"/>
    <s v="Bush Advantage Collection Racetrack Conference Table"/>
    <n v="1272.6300000000001"/>
    <n v="6"/>
    <n v="0.5"/>
    <n v="-814.48320000000001"/>
    <x v="1"/>
    <x v="6"/>
  </r>
  <r>
    <s v="US-2015-101399"/>
    <x v="75"/>
    <d v="2015-01-24T00:00:00"/>
    <x v="1"/>
    <s v="JS-15940"/>
    <s v="Joni Sundaresam"/>
    <x v="2"/>
    <s v="United States"/>
    <x v="44"/>
    <x v="8"/>
    <x v="3"/>
    <s v="FUR-FU-10002918"/>
    <s v="Furniture"/>
    <x v="3"/>
    <s v="Eldon ClusterMat Chair Mat with Cordless Antistatic Protection"/>
    <n v="254.744"/>
    <n v="7"/>
    <n v="0.6"/>
    <n v="-312.06139999999999"/>
    <x v="1"/>
    <x v="8"/>
  </r>
  <r>
    <s v="CA-2017-154907"/>
    <x v="76"/>
    <d v="2017-04-04T00:00:00"/>
    <x v="1"/>
    <s v="DS-13180"/>
    <s v="David Smith"/>
    <x v="1"/>
    <s v="United States"/>
    <x v="45"/>
    <x v="5"/>
    <x v="3"/>
    <s v="FUR-BO-10002824"/>
    <s v="Furniture"/>
    <x v="0"/>
    <s v="Bush Mission Pointe Library"/>
    <n v="205.33279999999999"/>
    <n v="2"/>
    <n v="0.32"/>
    <n v="-36.235199999999999"/>
    <x v="4"/>
    <x v="9"/>
  </r>
  <r>
    <s v="CA-2014-144666"/>
    <x v="77"/>
    <d v="2014-11-11T00:00:00"/>
    <x v="0"/>
    <s v="JP-15520"/>
    <s v="Jeremy Pistek"/>
    <x v="0"/>
    <s v="United States"/>
    <x v="28"/>
    <x v="2"/>
    <x v="1"/>
    <s v="FUR-BO-10001601"/>
    <s v="Furniture"/>
    <x v="0"/>
    <s v="Sauder Mission Library with Doors, Fruitwood Finish"/>
    <n v="222.666"/>
    <n v="2"/>
    <n v="0.15"/>
    <n v="10.478400000000001"/>
    <x v="3"/>
    <x v="0"/>
  </r>
  <r>
    <s v="CA-2016-152632"/>
    <x v="78"/>
    <d v="2016-11-02T00:00:00"/>
    <x v="1"/>
    <s v="JE-15475"/>
    <s v="Jeremy Ellison"/>
    <x v="0"/>
    <s v="United States"/>
    <x v="8"/>
    <x v="7"/>
    <x v="2"/>
    <s v="FUR-FU-10002671"/>
    <s v="Furniture"/>
    <x v="3"/>
    <s v="Electrix 20W Halogen Replacement Bulb for Zoom-In Desk Lamp"/>
    <n v="40.200000000000003"/>
    <n v="3"/>
    <n v="0"/>
    <n v="19.295999999999999"/>
    <x v="6"/>
    <x v="1"/>
  </r>
  <r>
    <s v="CA-2017-140963"/>
    <x v="79"/>
    <d v="2017-06-13T00:00:00"/>
    <x v="2"/>
    <s v="MT-18070"/>
    <s v="Michelle Tran"/>
    <x v="2"/>
    <s v="United States"/>
    <x v="2"/>
    <x v="2"/>
    <x v="1"/>
    <s v="FUR-BO-10001337"/>
    <s v="Furniture"/>
    <x v="0"/>
    <s v="O'Sullivan Living Dimensions 2-Shelf Bookcases"/>
    <n v="514.16499999999996"/>
    <n v="5"/>
    <n v="0.15"/>
    <n v="-30.245000000000001"/>
    <x v="0"/>
    <x v="2"/>
  </r>
  <r>
    <s v="US-2016-120929"/>
    <x v="80"/>
    <d v="2016-03-21T00:00:00"/>
    <x v="0"/>
    <s v="RO-19780"/>
    <s v="Rose O'Brian"/>
    <x v="0"/>
    <s v="United States"/>
    <x v="10"/>
    <x v="9"/>
    <x v="0"/>
    <s v="FUR-TA-10001857"/>
    <s v="Furniture"/>
    <x v="2"/>
    <s v="Balt Solid Wood Rectangular Table"/>
    <n v="189.88200000000001"/>
    <n v="3"/>
    <n v="0.4"/>
    <n v="-94.941000000000003"/>
    <x v="0"/>
    <x v="9"/>
  </r>
  <r>
    <s v="CA-2016-126158"/>
    <x v="81"/>
    <d v="2016-07-31T00:00:00"/>
    <x v="1"/>
    <s v="SC-20095"/>
    <s v="Sanjit Chand"/>
    <x v="0"/>
    <s v="United States"/>
    <x v="46"/>
    <x v="2"/>
    <x v="1"/>
    <s v="FUR-FU-10004864"/>
    <s v="Furniture"/>
    <x v="3"/>
    <s v="Howard Miller 14-1/2&quot; Diameter Chrome Round Wall Clock"/>
    <n v="255.76"/>
    <n v="4"/>
    <n v="0"/>
    <n v="81.843199999999996"/>
    <x v="6"/>
    <x v="3"/>
  </r>
  <r>
    <s v="CA-2016-126158"/>
    <x v="81"/>
    <d v="2016-07-31T00:00:00"/>
    <x v="1"/>
    <s v="SC-20095"/>
    <s v="Sanjit Chand"/>
    <x v="0"/>
    <s v="United States"/>
    <x v="46"/>
    <x v="2"/>
    <x v="1"/>
    <s v="FUR-CH-10002602"/>
    <s v="Furniture"/>
    <x v="1"/>
    <s v="DMI Arturo Collection Mission-style Design Wood Chair"/>
    <n v="241.56800000000001"/>
    <n v="2"/>
    <n v="0.2"/>
    <n v="18.117599999999999"/>
    <x v="6"/>
    <x v="3"/>
  </r>
  <r>
    <s v="CA-2016-126158"/>
    <x v="81"/>
    <d v="2016-07-31T00:00:00"/>
    <x v="1"/>
    <s v="SC-20095"/>
    <s v="Sanjit Chand"/>
    <x v="0"/>
    <s v="United States"/>
    <x v="46"/>
    <x v="2"/>
    <x v="1"/>
    <s v="FUR-FU-10000073"/>
    <s v="Furniture"/>
    <x v="3"/>
    <s v="Deflect-O Glasstique Clear Desk Accessories"/>
    <n v="69.3"/>
    <n v="9"/>
    <n v="0"/>
    <n v="22.869"/>
    <x v="6"/>
    <x v="3"/>
  </r>
  <r>
    <s v="US-2016-105578"/>
    <x v="82"/>
    <d v="2016-06-04T00:00:00"/>
    <x v="1"/>
    <s v="MY-17380"/>
    <s v="Maribeth Yedwab"/>
    <x v="1"/>
    <s v="United States"/>
    <x v="47"/>
    <x v="12"/>
    <x v="1"/>
    <s v="FUR-CH-10001215"/>
    <s v="Furniture"/>
    <x v="1"/>
    <s v="Global Troy Executive Leather Low-Back Tilter"/>
    <n v="801.56799999999998"/>
    <n v="2"/>
    <n v="0.2"/>
    <n v="50.097999999999999"/>
    <x v="2"/>
    <x v="7"/>
  </r>
  <r>
    <s v="CA-2017-135307"/>
    <x v="83"/>
    <d v="2017-11-27T00:00:00"/>
    <x v="2"/>
    <s v="LS-17245"/>
    <s v="Lynn Smith"/>
    <x v="0"/>
    <s v="United States"/>
    <x v="48"/>
    <x v="23"/>
    <x v="3"/>
    <s v="FUR-FU-10001290"/>
    <s v="Furniture"/>
    <x v="3"/>
    <s v="Executive Impressions Supervisor Wall Clock"/>
    <n v="126.3"/>
    <n v="3"/>
    <n v="0"/>
    <n v="40.415999999999997"/>
    <x v="5"/>
    <x v="0"/>
  </r>
  <r>
    <s v="CA-2017-145142"/>
    <x v="84"/>
    <d v="2017-01-25T00:00:00"/>
    <x v="2"/>
    <s v="MC-17605"/>
    <s v="Matt Connell"/>
    <x v="1"/>
    <s v="United States"/>
    <x v="25"/>
    <x v="17"/>
    <x v="3"/>
    <s v="FUR-TA-10001857"/>
    <s v="Furniture"/>
    <x v="2"/>
    <s v="Balt Solid Wood Rectangular Table"/>
    <n v="210.98"/>
    <n v="2"/>
    <n v="0"/>
    <n v="21.097999999999999"/>
    <x v="3"/>
    <x v="8"/>
  </r>
  <r>
    <s v="CA-2017-113558"/>
    <x v="85"/>
    <d v="2017-10-26T00:00:00"/>
    <x v="1"/>
    <s v="PH-18790"/>
    <s v="Patricia Hirasaki"/>
    <x v="2"/>
    <s v="United States"/>
    <x v="49"/>
    <x v="1"/>
    <x v="0"/>
    <s v="FUR-CH-10003379"/>
    <s v="Furniture"/>
    <x v="1"/>
    <s v="Global Commerce Series High-Back Swivel/Tilt Chairs"/>
    <n v="683.952"/>
    <n v="3"/>
    <n v="0.2"/>
    <n v="42.747"/>
    <x v="2"/>
    <x v="1"/>
  </r>
  <r>
    <s v="CA-2017-113558"/>
    <x v="85"/>
    <d v="2017-10-26T00:00:00"/>
    <x v="1"/>
    <s v="PH-18790"/>
    <s v="Patricia Hirasaki"/>
    <x v="2"/>
    <s v="United States"/>
    <x v="49"/>
    <x v="1"/>
    <x v="0"/>
    <s v="FUR-FU-10001756"/>
    <s v="Furniture"/>
    <x v="3"/>
    <s v="Eldon Expressions Desk Accessory, Wood Photo Frame, Mahogany"/>
    <n v="45.695999999999998"/>
    <n v="3"/>
    <n v="0.2"/>
    <n v="5.1407999999999996"/>
    <x v="2"/>
    <x v="1"/>
  </r>
  <r>
    <s v="CA-2015-102848"/>
    <x v="86"/>
    <d v="2015-11-09T00:00:00"/>
    <x v="0"/>
    <s v="KB-16240"/>
    <s v="Karen Bern"/>
    <x v="1"/>
    <s v="United States"/>
    <x v="2"/>
    <x v="2"/>
    <x v="1"/>
    <s v="FUR-CH-10000595"/>
    <s v="Furniture"/>
    <x v="1"/>
    <s v="Safco Contoured Stacking Chairs"/>
    <n v="190.72"/>
    <n v="1"/>
    <n v="0.2"/>
    <n v="11.92"/>
    <x v="3"/>
    <x v="0"/>
  </r>
  <r>
    <s v="US-2017-129441"/>
    <x v="87"/>
    <d v="2017-09-11T00:00:00"/>
    <x v="1"/>
    <s v="JC-15340"/>
    <s v="Jasper Cacioppo"/>
    <x v="0"/>
    <s v="United States"/>
    <x v="2"/>
    <x v="2"/>
    <x v="1"/>
    <s v="FUR-FU-10000448"/>
    <s v="Furniture"/>
    <x v="3"/>
    <s v="Tenex Chairmats For Use With Carpeted Floors"/>
    <n v="47.94"/>
    <n v="3"/>
    <n v="0"/>
    <n v="2.3969999999999998"/>
    <x v="4"/>
    <x v="4"/>
  </r>
  <r>
    <s v="CA-2015-134894"/>
    <x v="88"/>
    <d v="2015-12-11T00:00:00"/>
    <x v="1"/>
    <s v="DK-12985"/>
    <s v="Darren Koutras"/>
    <x v="0"/>
    <s v="United States"/>
    <x v="0"/>
    <x v="0"/>
    <x v="0"/>
    <s v="FUR-CH-10002647"/>
    <s v="Furniture"/>
    <x v="1"/>
    <s v="Situations Contoured Folding Chairs, 4/Set"/>
    <n v="283.92"/>
    <n v="4"/>
    <n v="0"/>
    <n v="70.98"/>
    <x v="4"/>
    <x v="5"/>
  </r>
  <r>
    <s v="CA-2014-103849"/>
    <x v="89"/>
    <d v="2014-05-16T00:00:00"/>
    <x v="1"/>
    <s v="PG-18895"/>
    <s v="Paul Gonzalez"/>
    <x v="0"/>
    <s v="United States"/>
    <x v="50"/>
    <x v="5"/>
    <x v="3"/>
    <s v="FUR-FU-10000723"/>
    <s v="Furniture"/>
    <x v="3"/>
    <s v="Deflect-o EconoMat Studded, No Bevel Mat for Low Pile Carpeting"/>
    <n v="66.111999999999995"/>
    <n v="4"/>
    <n v="0.6"/>
    <n v="-84.2928"/>
    <x v="2"/>
    <x v="7"/>
  </r>
  <r>
    <s v="CA-2016-136406"/>
    <x v="90"/>
    <d v="2016-04-17T00:00:00"/>
    <x v="0"/>
    <s v="BD-11320"/>
    <s v="Bill Donatelli"/>
    <x v="0"/>
    <s v="United States"/>
    <x v="28"/>
    <x v="2"/>
    <x v="1"/>
    <s v="FUR-CH-10002024"/>
    <s v="Furniture"/>
    <x v="1"/>
    <s v="HON 5400 Series Task Chairs for Big and Tall"/>
    <n v="1121.568"/>
    <n v="2"/>
    <n v="0.2"/>
    <n v="0"/>
    <x v="3"/>
    <x v="6"/>
  </r>
  <r>
    <s v="CA-2017-112774"/>
    <x v="91"/>
    <d v="2017-09-12T00:00:00"/>
    <x v="2"/>
    <s v="RC-19960"/>
    <s v="Ryan Crowe"/>
    <x v="0"/>
    <s v="United States"/>
    <x v="51"/>
    <x v="1"/>
    <x v="0"/>
    <s v="FUR-FU-10003039"/>
    <s v="Furniture"/>
    <x v="3"/>
    <s v="Howard Miller 11-1/2&quot; Diameter Grantwood Wall Clock"/>
    <n v="34.503999999999998"/>
    <n v="1"/>
    <n v="0.2"/>
    <n v="6.0381999999999998"/>
    <x v="5"/>
    <x v="4"/>
  </r>
  <r>
    <s v="CA-2016-113243"/>
    <x v="92"/>
    <d v="2016-06-15T00:00:00"/>
    <x v="1"/>
    <s v="OT-18730"/>
    <s v="Olvera Toch"/>
    <x v="0"/>
    <s v="United States"/>
    <x v="2"/>
    <x v="2"/>
    <x v="1"/>
    <s v="FUR-TA-10004256"/>
    <s v="Furniture"/>
    <x v="2"/>
    <s v="Bretford ÒJust In TimeÓ Height-Adjustable Multi-Task Work Tables"/>
    <n v="1335.68"/>
    <n v="4"/>
    <n v="0.2"/>
    <n v="-217.048"/>
    <x v="2"/>
    <x v="2"/>
  </r>
  <r>
    <s v="CA-2017-118731"/>
    <x v="93"/>
    <d v="2017-11-22T00:00:00"/>
    <x v="0"/>
    <s v="LP-17080"/>
    <s v="Liz Pelletier"/>
    <x v="0"/>
    <s v="United States"/>
    <x v="28"/>
    <x v="2"/>
    <x v="1"/>
    <s v="FUR-FU-10003347"/>
    <s v="Furniture"/>
    <x v="3"/>
    <s v="Coloredge Poster Frame"/>
    <n v="42.6"/>
    <n v="3"/>
    <n v="0"/>
    <n v="16.614000000000001"/>
    <x v="3"/>
    <x v="0"/>
  </r>
  <r>
    <s v="CA-2014-145576"/>
    <x v="94"/>
    <d v="2014-09-18T00:00:00"/>
    <x v="0"/>
    <s v="CA-12775"/>
    <s v="Cynthia Arntzen"/>
    <x v="0"/>
    <s v="United States"/>
    <x v="26"/>
    <x v="1"/>
    <x v="0"/>
    <s v="FUR-FU-10004020"/>
    <s v="Furniture"/>
    <x v="3"/>
    <s v="Advantus Panel Wall Acrylic Frame"/>
    <n v="13.128"/>
    <n v="3"/>
    <n v="0.2"/>
    <n v="3.7743000000000002"/>
    <x v="4"/>
    <x v="4"/>
  </r>
  <r>
    <s v="CA-2017-156951"/>
    <x v="95"/>
    <d v="2017-10-08T00:00:00"/>
    <x v="1"/>
    <s v="EB-13840"/>
    <s v="Ellis Ballard"/>
    <x v="1"/>
    <s v="United States"/>
    <x v="15"/>
    <x v="13"/>
    <x v="1"/>
    <s v="FUR-CH-10004997"/>
    <s v="Furniture"/>
    <x v="1"/>
    <s v="Hon Every-Day Series Multi-Task Chairs"/>
    <n v="451.15199999999999"/>
    <n v="3"/>
    <n v="0.2"/>
    <n v="0"/>
    <x v="1"/>
    <x v="1"/>
  </r>
  <r>
    <s v="CA-2017-118640"/>
    <x v="96"/>
    <d v="2017-07-26T00:00:00"/>
    <x v="1"/>
    <s v="CS-11950"/>
    <s v="Carlos Soltero"/>
    <x v="0"/>
    <s v="United States"/>
    <x v="9"/>
    <x v="8"/>
    <x v="3"/>
    <s v="FUR-FU-10001475"/>
    <s v="Furniture"/>
    <x v="3"/>
    <s v="Contract Clock, 14&quot;, Brown"/>
    <n v="8.7919999999999998"/>
    <n v="1"/>
    <n v="0.6"/>
    <n v="-5.7148000000000003"/>
    <x v="6"/>
    <x v="3"/>
  </r>
  <r>
    <s v="CA-2015-128139"/>
    <x v="97"/>
    <d v="2015-07-09T00:00:00"/>
    <x v="1"/>
    <s v="BD-11725"/>
    <s v="Bruce Degenhardt"/>
    <x v="0"/>
    <s v="United States"/>
    <x v="52"/>
    <x v="0"/>
    <x v="0"/>
    <s v="FUR-CH-10003956"/>
    <s v="Furniture"/>
    <x v="1"/>
    <s v="Novimex High-Tech Fabric Mesh Task Chair"/>
    <n v="70.98"/>
    <n v="1"/>
    <n v="0"/>
    <n v="4.9686000000000003"/>
    <x v="6"/>
    <x v="3"/>
  </r>
  <r>
    <s v="CA-2014-131450"/>
    <x v="98"/>
    <d v="2014-08-15T00:00:00"/>
    <x v="1"/>
    <s v="LR-16915"/>
    <s v="Lena Radford"/>
    <x v="0"/>
    <s v="United States"/>
    <x v="53"/>
    <x v="2"/>
    <x v="1"/>
    <s v="FUR-FU-10001979"/>
    <s v="Furniture"/>
    <x v="3"/>
    <s v="Dana Halogen Swing-Arm Architect Lamp"/>
    <n v="327.76"/>
    <n v="8"/>
    <n v="0"/>
    <n v="91.772800000000004"/>
    <x v="1"/>
    <x v="10"/>
  </r>
  <r>
    <s v="CA-2014-149958"/>
    <x v="99"/>
    <d v="2014-03-19T00:00:00"/>
    <x v="1"/>
    <s v="AS-10240"/>
    <s v="Alan Shonely"/>
    <x v="0"/>
    <s v="United States"/>
    <x v="26"/>
    <x v="1"/>
    <x v="0"/>
    <s v="FUR-FU-10001756"/>
    <s v="Furniture"/>
    <x v="3"/>
    <s v="Eldon Expressions Desk Accessory, Wood Photo Frame, Mahogany"/>
    <n v="45.695999999999998"/>
    <n v="3"/>
    <n v="0.2"/>
    <n v="5.1407999999999996"/>
    <x v="4"/>
    <x v="9"/>
  </r>
  <r>
    <s v="CA-2017-117947"/>
    <x v="100"/>
    <d v="2017-08-23T00:00:00"/>
    <x v="0"/>
    <s v="NG-18355"/>
    <s v="Nat Gilpin"/>
    <x v="1"/>
    <s v="United States"/>
    <x v="13"/>
    <x v="7"/>
    <x v="2"/>
    <s v="FUR-FU-10003849"/>
    <s v="Furniture"/>
    <x v="3"/>
    <s v="DAX Metal Frame, Desktop, Stepped-Edge"/>
    <n v="40.479999999999997"/>
    <n v="2"/>
    <n v="0"/>
    <n v="15.7872"/>
    <x v="2"/>
    <x v="10"/>
  </r>
  <r>
    <s v="CA-2017-117947"/>
    <x v="100"/>
    <d v="2017-08-23T00:00:00"/>
    <x v="0"/>
    <s v="NG-18355"/>
    <s v="Nat Gilpin"/>
    <x v="1"/>
    <s v="United States"/>
    <x v="13"/>
    <x v="7"/>
    <x v="2"/>
    <s v="FUR-FU-10000010"/>
    <s v="Furniture"/>
    <x v="3"/>
    <s v="DAX Value U-Channel Document Frames, Easel Back"/>
    <n v="9.94"/>
    <n v="2"/>
    <n v="0"/>
    <n v="3.0813999999999999"/>
    <x v="2"/>
    <x v="10"/>
  </r>
  <r>
    <s v="CA-2017-117947"/>
    <x v="100"/>
    <d v="2017-08-23T00:00:00"/>
    <x v="0"/>
    <s v="NG-18355"/>
    <s v="Nat Gilpin"/>
    <x v="1"/>
    <s v="United States"/>
    <x v="13"/>
    <x v="7"/>
    <x v="2"/>
    <s v="FUR-FU-10000521"/>
    <s v="Furniture"/>
    <x v="3"/>
    <s v="Seth Thomas 14&quot; Putty-Colored Wall Clock"/>
    <n v="88.02"/>
    <n v="3"/>
    <n v="0"/>
    <n v="27.286200000000001"/>
    <x v="2"/>
    <x v="10"/>
  </r>
  <r>
    <s v="CA-2015-138009"/>
    <x v="101"/>
    <d v="2015-12-03T00:00:00"/>
    <x v="1"/>
    <s v="SF-20965"/>
    <s v="Sylvia Foulston"/>
    <x v="1"/>
    <s v="United States"/>
    <x v="54"/>
    <x v="17"/>
    <x v="3"/>
    <s v="FUR-CH-10004853"/>
    <s v="Furniture"/>
    <x v="1"/>
    <s v="Global Manager's Adjustable Task Chair, Storm"/>
    <n v="301.95999999999998"/>
    <n v="2"/>
    <n v="0"/>
    <n v="87.568399999999997"/>
    <x v="4"/>
    <x v="0"/>
  </r>
  <r>
    <s v="CA-2017-163020"/>
    <x v="102"/>
    <d v="2017-09-19T00:00:00"/>
    <x v="1"/>
    <s v="MO-17800"/>
    <s v="Meg O'Connel"/>
    <x v="2"/>
    <s v="United States"/>
    <x v="13"/>
    <x v="7"/>
    <x v="2"/>
    <s v="FUR-FU-10000221"/>
    <s v="Furniture"/>
    <x v="3"/>
    <s v="Master Caster Door Stop, Brown"/>
    <n v="35.56"/>
    <n v="7"/>
    <n v="0"/>
    <n v="12.090400000000001"/>
    <x v="4"/>
    <x v="4"/>
  </r>
  <r>
    <s v="CA-2015-168004"/>
    <x v="103"/>
    <d v="2015-10-09T00:00:00"/>
    <x v="0"/>
    <s v="DJ-13420"/>
    <s v="Denny Joy"/>
    <x v="1"/>
    <s v="United States"/>
    <x v="55"/>
    <x v="24"/>
    <x v="0"/>
    <s v="FUR-CH-10001482"/>
    <s v="Furniture"/>
    <x v="1"/>
    <s v="Office Star - Mesh Screen back chair with Vinyl seat"/>
    <n v="392.94"/>
    <n v="3"/>
    <n v="0"/>
    <n v="43.223399999999998"/>
    <x v="2"/>
    <x v="1"/>
  </r>
  <r>
    <s v="CA-2016-115917"/>
    <x v="104"/>
    <d v="2016-05-25T00:00:00"/>
    <x v="1"/>
    <s v="RB-19465"/>
    <s v="Rick Bensley"/>
    <x v="2"/>
    <s v="United States"/>
    <x v="56"/>
    <x v="2"/>
    <x v="1"/>
    <s v="FUR-FU-10000576"/>
    <s v="Furniture"/>
    <x v="3"/>
    <s v="Luxo Professional Fluorescent Magnifier Lamp with Clamp-Mount Base"/>
    <n v="1049.2"/>
    <n v="5"/>
    <n v="0"/>
    <n v="272.79199999999997"/>
    <x v="2"/>
    <x v="7"/>
  </r>
  <r>
    <s v="CA-2016-147067"/>
    <x v="105"/>
    <d v="2016-12-22T00:00:00"/>
    <x v="1"/>
    <s v="JD-16150"/>
    <s v="Justin Deggeller"/>
    <x v="1"/>
    <s v="United States"/>
    <x v="12"/>
    <x v="11"/>
    <x v="3"/>
    <s v="FUR-FU-10000732"/>
    <s v="Furniture"/>
    <x v="3"/>
    <s v="Eldon 200 Class Desk Accessories"/>
    <n v="18.84"/>
    <n v="3"/>
    <n v="0"/>
    <n v="6.0288000000000004"/>
    <x v="4"/>
    <x v="5"/>
  </r>
  <r>
    <s v="CA-2016-160745"/>
    <x v="106"/>
    <d v="2016-12-16T00:00:00"/>
    <x v="0"/>
    <s v="AR-10825"/>
    <s v="Anthony Rawles"/>
    <x v="1"/>
    <s v="United States"/>
    <x v="57"/>
    <x v="13"/>
    <x v="1"/>
    <s v="FUR-FU-10001935"/>
    <s v="Furniture"/>
    <x v="3"/>
    <s v="3M Hangers With Command Adhesive"/>
    <n v="14.8"/>
    <n v="4"/>
    <n v="0"/>
    <n v="6.0679999999999996"/>
    <x v="2"/>
    <x v="5"/>
  </r>
  <r>
    <s v="US-2016-156097"/>
    <x v="107"/>
    <d v="2016-09-19T00:00:00"/>
    <x v="3"/>
    <s v="EH-14125"/>
    <s v="Eugene Hildebrand"/>
    <x v="2"/>
    <s v="United States"/>
    <x v="14"/>
    <x v="8"/>
    <x v="3"/>
    <s v="FUR-CH-10001215"/>
    <s v="Furniture"/>
    <x v="1"/>
    <s v="Global Troy Executive Leather Low-Back Tilter"/>
    <n v="701.37199999999996"/>
    <n v="2"/>
    <n v="0.3"/>
    <n v="-50.097999999999999"/>
    <x v="7"/>
    <x v="4"/>
  </r>
  <r>
    <s v="CA-2015-146563"/>
    <x v="108"/>
    <d v="2015-08-28T00:00:00"/>
    <x v="1"/>
    <s v="CB-12025"/>
    <s v="Cassandra Brandow"/>
    <x v="0"/>
    <s v="United States"/>
    <x v="58"/>
    <x v="5"/>
    <x v="3"/>
    <s v="FUR-TA-10001768"/>
    <s v="Furniture"/>
    <x v="2"/>
    <s v="Hon Racetrack Conference Tables"/>
    <n v="918.78499999999997"/>
    <n v="5"/>
    <n v="0.3"/>
    <n v="-118.12949999999999"/>
    <x v="4"/>
    <x v="10"/>
  </r>
  <r>
    <s v="CA-2014-156314"/>
    <x v="109"/>
    <d v="2014-12-26T00:00:00"/>
    <x v="2"/>
    <s v="RP-19390"/>
    <s v="Resi Pšlking"/>
    <x v="0"/>
    <s v="United States"/>
    <x v="59"/>
    <x v="15"/>
    <x v="2"/>
    <s v="FUR-FU-10003096"/>
    <s v="Furniture"/>
    <x v="3"/>
    <s v="Master Giant Foot Doorstop, Safety Yellow"/>
    <n v="30.36"/>
    <n v="5"/>
    <n v="0.2"/>
    <n v="8.7285000000000004"/>
    <x v="3"/>
    <x v="5"/>
  </r>
  <r>
    <s v="US-2017-106663"/>
    <x v="110"/>
    <d v="2017-06-13T00:00:00"/>
    <x v="1"/>
    <s v="MO-17800"/>
    <s v="Meg O'Connel"/>
    <x v="2"/>
    <s v="United States"/>
    <x v="9"/>
    <x v="8"/>
    <x v="3"/>
    <s v="FUR-FU-10002759"/>
    <s v="Furniture"/>
    <x v="3"/>
    <s v="12-1/2 Diameter Round Wall Clock"/>
    <n v="23.975999999999999"/>
    <n v="3"/>
    <n v="0.6"/>
    <n v="-14.3856"/>
    <x v="4"/>
    <x v="2"/>
  </r>
  <r>
    <s v="US-2017-106663"/>
    <x v="110"/>
    <d v="2017-06-13T00:00:00"/>
    <x v="1"/>
    <s v="MO-17800"/>
    <s v="Meg O'Connel"/>
    <x v="2"/>
    <s v="United States"/>
    <x v="9"/>
    <x v="8"/>
    <x v="3"/>
    <s v="FUR-TA-10000688"/>
    <s v="Furniture"/>
    <x v="2"/>
    <s v="Chromcraft Bull-Nose Wood Round Conference Table Top, Wood Base"/>
    <n v="108.925"/>
    <n v="1"/>
    <n v="0.5"/>
    <n v="-71.890500000000003"/>
    <x v="4"/>
    <x v="2"/>
  </r>
  <r>
    <s v="US-2017-119438"/>
    <x v="111"/>
    <d v="2017-03-23T00:00:00"/>
    <x v="1"/>
    <s v="CD-11980"/>
    <s v="Carol Darley"/>
    <x v="0"/>
    <s v="United States"/>
    <x v="60"/>
    <x v="5"/>
    <x v="3"/>
    <s v="FUR-FU-10003553"/>
    <s v="Furniture"/>
    <x v="3"/>
    <s v="Howard Miller 13-1/2&quot; Diameter Rosebrook Wall Clock"/>
    <n v="82.524000000000001"/>
    <n v="3"/>
    <n v="0.6"/>
    <n v="-41.262"/>
    <x v="2"/>
    <x v="9"/>
  </r>
  <r>
    <s v="CA-2017-161480"/>
    <x v="19"/>
    <d v="2017-12-29T00:00:00"/>
    <x v="1"/>
    <s v="RA-19285"/>
    <s v="Ralph Arnett"/>
    <x v="0"/>
    <s v="United States"/>
    <x v="13"/>
    <x v="7"/>
    <x v="2"/>
    <s v="FUR-BO-10004015"/>
    <s v="Furniture"/>
    <x v="0"/>
    <s v="Bush Andora Bookcase, Maple/Graphite Gray Finish"/>
    <n v="191.98400000000001"/>
    <n v="2"/>
    <n v="0.2"/>
    <n v="4.7995999999999999"/>
    <x v="4"/>
    <x v="5"/>
  </r>
  <r>
    <s v="US-2014-117135"/>
    <x v="112"/>
    <d v="2014-06-23T00:00:00"/>
    <x v="0"/>
    <s v="NP-18325"/>
    <s v="Naresj Patel"/>
    <x v="0"/>
    <s v="United States"/>
    <x v="61"/>
    <x v="25"/>
    <x v="0"/>
    <s v="FUR-FU-10004071"/>
    <s v="Furniture"/>
    <x v="3"/>
    <s v="Luxo Professional Magnifying Clamp-On Fluorescent Lamps"/>
    <n v="104.01"/>
    <n v="1"/>
    <n v="0"/>
    <n v="14.561400000000001"/>
    <x v="3"/>
    <x v="2"/>
  </r>
  <r>
    <s v="CA-2017-114552"/>
    <x v="113"/>
    <d v="2017-09-08T00:00:00"/>
    <x v="1"/>
    <s v="Dl-13600"/>
    <s v="Dorris liebe"/>
    <x v="1"/>
    <s v="United States"/>
    <x v="59"/>
    <x v="15"/>
    <x v="2"/>
    <s v="FUR-FU-10002960"/>
    <s v="Furniture"/>
    <x v="3"/>
    <s v="Eldon 200 Class Desk Accessories, Burgundy"/>
    <n v="15.071999999999999"/>
    <n v="3"/>
    <n v="0.2"/>
    <n v="4.1448"/>
    <x v="6"/>
    <x v="4"/>
  </r>
  <r>
    <s v="CA-2016-163755"/>
    <x v="114"/>
    <d v="2016-11-08T00:00:00"/>
    <x v="0"/>
    <s v="AS-10285"/>
    <s v="Alejandro Savely"/>
    <x v="1"/>
    <s v="United States"/>
    <x v="15"/>
    <x v="13"/>
    <x v="1"/>
    <s v="FUR-FU-10003394"/>
    <s v="Furniture"/>
    <x v="3"/>
    <s v="Tenex &quot;The Solids&quot; Textured Chair Mats"/>
    <n v="209.88"/>
    <n v="3"/>
    <n v="0"/>
    <n v="35.679600000000001"/>
    <x v="4"/>
    <x v="0"/>
  </r>
  <r>
    <s v="CA-2015-142027"/>
    <x v="115"/>
    <d v="2015-04-14T00:00:00"/>
    <x v="1"/>
    <s v="JK-15370"/>
    <s v="Jay Kimmel"/>
    <x v="0"/>
    <s v="United States"/>
    <x v="62"/>
    <x v="2"/>
    <x v="1"/>
    <s v="FUR-TA-10002774"/>
    <s v="Furniture"/>
    <x v="2"/>
    <s v="Laminate Occasional Tables"/>
    <n v="369.91199999999998"/>
    <n v="3"/>
    <n v="0.2"/>
    <n v="-13.871700000000001"/>
    <x v="2"/>
    <x v="6"/>
  </r>
  <r>
    <s v="CA-2014-112158"/>
    <x v="116"/>
    <d v="2014-12-04T00:00:00"/>
    <x v="2"/>
    <s v="DP-13165"/>
    <s v="David Philippe"/>
    <x v="0"/>
    <s v="United States"/>
    <x v="13"/>
    <x v="7"/>
    <x v="2"/>
    <s v="FUR-BO-10003272"/>
    <s v="Furniture"/>
    <x v="0"/>
    <s v="O'Sullivan Living Dimensions 5-Shelf Bookcases"/>
    <n v="883.92"/>
    <n v="5"/>
    <n v="0.2"/>
    <n v="-110.49"/>
    <x v="3"/>
    <x v="5"/>
  </r>
  <r>
    <s v="CA-2014-130092"/>
    <x v="117"/>
    <d v="2014-01-14T00:00:00"/>
    <x v="2"/>
    <s v="SV-20365"/>
    <s v="Seth Vernon"/>
    <x v="0"/>
    <s v="United States"/>
    <x v="63"/>
    <x v="14"/>
    <x v="2"/>
    <s v="FUR-FU-10000010"/>
    <s v="Furniture"/>
    <x v="3"/>
    <s v="DAX Value U-Channel Document Frames, Easel Back"/>
    <n v="9.94"/>
    <n v="2"/>
    <n v="0"/>
    <n v="3.0813999999999999"/>
    <x v="0"/>
    <x v="8"/>
  </r>
  <r>
    <s v="CA-2017-108910"/>
    <x v="118"/>
    <d v="2017-09-29T00:00:00"/>
    <x v="1"/>
    <s v="KC-16540"/>
    <s v="Kelly Collister"/>
    <x v="0"/>
    <s v="United States"/>
    <x v="19"/>
    <x v="15"/>
    <x v="2"/>
    <s v="FUR-FU-10002253"/>
    <s v="Furniture"/>
    <x v="3"/>
    <s v="Howard Miller 13&quot; Diameter Pewter Finish Round Wall Clock"/>
    <n v="103.056"/>
    <n v="3"/>
    <n v="0.2"/>
    <n v="24.4758"/>
    <x v="2"/>
    <x v="4"/>
  </r>
  <r>
    <s v="CA-2014-104472"/>
    <x v="119"/>
    <d v="2014-06-07T00:00:00"/>
    <x v="1"/>
    <s v="CK-12325"/>
    <s v="Christine Kargatis"/>
    <x v="2"/>
    <s v="United States"/>
    <x v="4"/>
    <x v="4"/>
    <x v="1"/>
    <s v="FUR-FU-10000246"/>
    <s v="Furniture"/>
    <x v="3"/>
    <s v="Aluminum Document Frame"/>
    <n v="73.319999999999993"/>
    <n v="6"/>
    <n v="0"/>
    <n v="21.995999999999999"/>
    <x v="2"/>
    <x v="2"/>
  </r>
  <r>
    <s v="CA-2016-142335"/>
    <x v="120"/>
    <d v="2016-12-19T00:00:00"/>
    <x v="1"/>
    <s v="MP-17965"/>
    <s v="Michael Paige"/>
    <x v="1"/>
    <s v="United States"/>
    <x v="25"/>
    <x v="17"/>
    <x v="3"/>
    <s v="FUR-TA-10000198"/>
    <s v="Furniture"/>
    <x v="2"/>
    <s v="Chromcraft Bull-Nose Wood Oval Conference Tables &amp; Bases"/>
    <n v="1652.94"/>
    <n v="3"/>
    <n v="0"/>
    <n v="231.41159999999999"/>
    <x v="4"/>
    <x v="5"/>
  </r>
  <r>
    <s v="CA-2014-117429"/>
    <x v="121"/>
    <d v="2014-10-13T00:00:00"/>
    <x v="1"/>
    <s v="MR-17545"/>
    <s v="Mathew Reese"/>
    <x v="2"/>
    <s v="United States"/>
    <x v="3"/>
    <x v="3"/>
    <x v="2"/>
    <s v="FUR-FU-10000222"/>
    <s v="Furniture"/>
    <x v="3"/>
    <s v="Seth Thomas 16&quot; Steel Case Clock"/>
    <n v="129.91999999999999"/>
    <n v="5"/>
    <n v="0.2"/>
    <n v="21.111999999999998"/>
    <x v="6"/>
    <x v="1"/>
  </r>
  <r>
    <s v="US-2016-150861"/>
    <x v="122"/>
    <d v="2016-12-06T00:00:00"/>
    <x v="2"/>
    <s v="EG-13900"/>
    <s v="Emily Grady"/>
    <x v="0"/>
    <s v="United States"/>
    <x v="64"/>
    <x v="7"/>
    <x v="2"/>
    <s v="FUR-TA-10002228"/>
    <s v="Furniture"/>
    <x v="2"/>
    <s v="Bevis Traditional Conference Table Top, Plinth Base"/>
    <n v="400.03199999999998"/>
    <n v="2"/>
    <n v="0.4"/>
    <n v="-153.34559999999999"/>
    <x v="0"/>
    <x v="5"/>
  </r>
  <r>
    <s v="US-2016-150861"/>
    <x v="122"/>
    <d v="2016-12-06T00:00:00"/>
    <x v="2"/>
    <s v="EG-13900"/>
    <s v="Emily Grady"/>
    <x v="0"/>
    <s v="United States"/>
    <x v="64"/>
    <x v="7"/>
    <x v="2"/>
    <s v="FUR-CH-10002965"/>
    <s v="Furniture"/>
    <x v="1"/>
    <s v="Global Leather Highback Executive Chair with Pneumatic Height Adjustment, Black"/>
    <n v="542.64599999999996"/>
    <n v="3"/>
    <n v="0.1"/>
    <n v="102.49979999999999"/>
    <x v="0"/>
    <x v="5"/>
  </r>
  <r>
    <s v="CA-2017-131954"/>
    <x v="123"/>
    <d v="2017-01-25T00:00:00"/>
    <x v="1"/>
    <s v="DS-13030"/>
    <s v="Darrin Sayre"/>
    <x v="2"/>
    <s v="United States"/>
    <x v="15"/>
    <x v="13"/>
    <x v="1"/>
    <s v="FUR-BO-10001619"/>
    <s v="Furniture"/>
    <x v="0"/>
    <s v="O'Sullivan Cherrywood Estates Traditional Bookcase"/>
    <n v="84.98"/>
    <n v="1"/>
    <n v="0"/>
    <n v="18.695599999999999"/>
    <x v="4"/>
    <x v="8"/>
  </r>
  <r>
    <s v="CA-2014-124429"/>
    <x v="124"/>
    <d v="2014-05-27T00:00:00"/>
    <x v="3"/>
    <s v="MH-17785"/>
    <s v="Maya Herman"/>
    <x v="1"/>
    <s v="United States"/>
    <x v="53"/>
    <x v="2"/>
    <x v="1"/>
    <s v="FUR-TA-10002607"/>
    <s v="Furniture"/>
    <x v="2"/>
    <s v="KI Conference Tables"/>
    <n v="567.12"/>
    <n v="10"/>
    <n v="0.2"/>
    <n v="-28.356000000000002"/>
    <x v="7"/>
    <x v="7"/>
  </r>
  <r>
    <s v="CA-2017-126074"/>
    <x v="125"/>
    <d v="2017-10-06T00:00:00"/>
    <x v="1"/>
    <s v="RF-19735"/>
    <s v="Roland Fjeld"/>
    <x v="0"/>
    <s v="United States"/>
    <x v="65"/>
    <x v="17"/>
    <x v="3"/>
    <s v="FUR-FU-10003577"/>
    <s v="Furniture"/>
    <x v="3"/>
    <s v="Nu-Dell Leatherette Frames"/>
    <n v="157.74"/>
    <n v="11"/>
    <n v="0"/>
    <n v="56.7864"/>
    <x v="4"/>
    <x v="1"/>
  </r>
  <r>
    <s v="CA-2015-135272"/>
    <x v="88"/>
    <d v="2015-12-12T00:00:00"/>
    <x v="1"/>
    <s v="MS-17830"/>
    <s v="Melanie Seite"/>
    <x v="0"/>
    <s v="United States"/>
    <x v="2"/>
    <x v="2"/>
    <x v="1"/>
    <s v="FUR-FU-10002759"/>
    <s v="Furniture"/>
    <x v="3"/>
    <s v="12-1/2 Diameter Round Wall Clock"/>
    <n v="79.92"/>
    <n v="4"/>
    <n v="0"/>
    <n v="28.7712"/>
    <x v="2"/>
    <x v="5"/>
  </r>
  <r>
    <s v="CA-2016-140928"/>
    <x v="126"/>
    <d v="2016-09-22T00:00:00"/>
    <x v="1"/>
    <s v="NB-18655"/>
    <s v="Nona Balk"/>
    <x v="1"/>
    <s v="United States"/>
    <x v="51"/>
    <x v="1"/>
    <x v="0"/>
    <s v="FUR-TA-10001095"/>
    <s v="Furniture"/>
    <x v="2"/>
    <s v="Chromcraft Round Conference Tables"/>
    <n v="383.43799999999999"/>
    <n v="4"/>
    <n v="0.45"/>
    <n v="-167.3184"/>
    <x v="4"/>
    <x v="4"/>
  </r>
  <r>
    <s v="CA-2014-106810"/>
    <x v="127"/>
    <d v="2014-05-20T00:00:00"/>
    <x v="1"/>
    <s v="AJ-10795"/>
    <s v="Anthony Johnson"/>
    <x v="1"/>
    <s v="United States"/>
    <x v="66"/>
    <x v="1"/>
    <x v="0"/>
    <s v="FUR-FU-10004306"/>
    <s v="Furniture"/>
    <x v="3"/>
    <s v="Electrix Halogen Magnifier Lamp"/>
    <n v="310.88"/>
    <n v="2"/>
    <n v="0.2"/>
    <n v="23.315999999999999"/>
    <x v="6"/>
    <x v="7"/>
  </r>
  <r>
    <s v="CA-2016-157245"/>
    <x v="128"/>
    <d v="2016-05-24T00:00:00"/>
    <x v="1"/>
    <s v="LE-16810"/>
    <s v="Laurel Elliston"/>
    <x v="0"/>
    <s v="United States"/>
    <x v="58"/>
    <x v="25"/>
    <x v="0"/>
    <s v="FUR-CH-10003746"/>
    <s v="Furniture"/>
    <x v="1"/>
    <s v="Hon 4070 Series Pagoda Round Back Stacking Chairs"/>
    <n v="641.96"/>
    <n v="2"/>
    <n v="0"/>
    <n v="179.74879999999999"/>
    <x v="2"/>
    <x v="7"/>
  </r>
  <r>
    <s v="CA-2017-104220"/>
    <x v="129"/>
    <d v="2017-02-05T00:00:00"/>
    <x v="1"/>
    <s v="BV-11245"/>
    <s v="Benjamin Venier"/>
    <x v="1"/>
    <s v="United States"/>
    <x v="67"/>
    <x v="26"/>
    <x v="3"/>
    <s v="FUR-FU-10002597"/>
    <s v="Furniture"/>
    <x v="3"/>
    <s v="C-Line Magnetic Cubicle Keepers, Clear Polypropylene"/>
    <n v="34.58"/>
    <n v="7"/>
    <n v="0"/>
    <n v="14.5236"/>
    <x v="6"/>
    <x v="8"/>
  </r>
  <r>
    <s v="CA-2015-144267"/>
    <x v="130"/>
    <d v="2015-08-23T00:00:00"/>
    <x v="2"/>
    <s v="NZ-18565"/>
    <s v="Nick Zandusky"/>
    <x v="2"/>
    <s v="United States"/>
    <x v="28"/>
    <x v="2"/>
    <x v="1"/>
    <s v="FUR-CH-10002335"/>
    <s v="Furniture"/>
    <x v="1"/>
    <s v="Hon GuestStacker Chair"/>
    <n v="544.00800000000004"/>
    <n v="3"/>
    <n v="0.2"/>
    <n v="40.800600000000003"/>
    <x v="3"/>
    <x v="10"/>
  </r>
  <r>
    <s v="US-2015-157014"/>
    <x v="131"/>
    <d v="2015-10-06T00:00:00"/>
    <x v="0"/>
    <s v="BM-11785"/>
    <s v="Bryan Mills"/>
    <x v="0"/>
    <s v="United States"/>
    <x v="29"/>
    <x v="15"/>
    <x v="2"/>
    <s v="FUR-BO-10004409"/>
    <s v="Furniture"/>
    <x v="0"/>
    <s v="Safco Value Mate Series Steel Bookcases, Baked Enamel Finish on Steel, Gray"/>
    <n v="35.49"/>
    <n v="1"/>
    <n v="0.5"/>
    <n v="-15.615600000000001"/>
    <x v="0"/>
    <x v="1"/>
  </r>
  <r>
    <s v="CA-2015-154620"/>
    <x v="132"/>
    <d v="2015-12-16T00:00:00"/>
    <x v="1"/>
    <s v="LT-17110"/>
    <s v="Liz Thompson"/>
    <x v="0"/>
    <s v="United States"/>
    <x v="68"/>
    <x v="2"/>
    <x v="1"/>
    <s v="FUR-CH-10004675"/>
    <s v="Furniture"/>
    <x v="1"/>
    <s v="Lifetime Advantage Folding Chairs, 4/Carton"/>
    <n v="348.928"/>
    <n v="2"/>
    <n v="0.2"/>
    <n v="34.892800000000001"/>
    <x v="4"/>
    <x v="5"/>
  </r>
  <r>
    <s v="CA-2015-115938"/>
    <x v="133"/>
    <d v="2015-06-30T00:00:00"/>
    <x v="1"/>
    <s v="SA-20830"/>
    <s v="Sue Ann Reed"/>
    <x v="0"/>
    <s v="United States"/>
    <x v="52"/>
    <x v="25"/>
    <x v="0"/>
    <s v="FUR-CH-10003199"/>
    <s v="Furniture"/>
    <x v="1"/>
    <s v="Office Star - Contemporary Task Swivel Chair"/>
    <n v="332.94"/>
    <n v="3"/>
    <n v="0"/>
    <n v="79.905600000000007"/>
    <x v="4"/>
    <x v="2"/>
  </r>
  <r>
    <s v="CA-2015-101910"/>
    <x v="61"/>
    <d v="2015-12-03T00:00:00"/>
    <x v="1"/>
    <s v="CD-11920"/>
    <s v="Carlos Daly"/>
    <x v="0"/>
    <s v="United States"/>
    <x v="69"/>
    <x v="2"/>
    <x v="1"/>
    <s v="FUR-CH-10002647"/>
    <s v="Furniture"/>
    <x v="1"/>
    <s v="Situations Contoured Folding Chairs, 4/Set"/>
    <n v="283.92"/>
    <n v="5"/>
    <n v="0.2"/>
    <n v="17.745000000000001"/>
    <x v="6"/>
    <x v="0"/>
  </r>
  <r>
    <s v="CA-2017-105809"/>
    <x v="134"/>
    <d v="2017-02-23T00:00:00"/>
    <x v="2"/>
    <s v="HW-14935"/>
    <s v="Helen Wasserman"/>
    <x v="1"/>
    <s v="United States"/>
    <x v="53"/>
    <x v="2"/>
    <x v="1"/>
    <s v="FUR-FU-10004090"/>
    <s v="Furniture"/>
    <x v="3"/>
    <s v="Executive Impressions 14&quot; Contract Wall Clock"/>
    <n v="22.23"/>
    <n v="1"/>
    <n v="0"/>
    <n v="7.3358999999999996"/>
    <x v="0"/>
    <x v="11"/>
  </r>
  <r>
    <s v="CA-2017-135783"/>
    <x v="135"/>
    <d v="2017-04-24T00:00:00"/>
    <x v="2"/>
    <s v="GM-14440"/>
    <s v="Gary McGarr"/>
    <x v="0"/>
    <s v="United States"/>
    <x v="28"/>
    <x v="2"/>
    <x v="1"/>
    <s v="FUR-FU-10000794"/>
    <s v="Furniture"/>
    <x v="3"/>
    <s v="Eldon Stackable Tray, Side-Load, Legal, Smoke"/>
    <n v="18.28"/>
    <n v="2"/>
    <n v="0"/>
    <n v="6.2152000000000003"/>
    <x v="3"/>
    <x v="6"/>
  </r>
  <r>
    <s v="CA-2015-140921"/>
    <x v="136"/>
    <d v="2015-02-05T00:00:00"/>
    <x v="2"/>
    <s v="AA-10375"/>
    <s v="Allen Armold"/>
    <x v="0"/>
    <s v="United States"/>
    <x v="70"/>
    <x v="27"/>
    <x v="3"/>
    <s v="FUR-FU-10003347"/>
    <s v="Furniture"/>
    <x v="3"/>
    <s v="Coloredge Poster Frame"/>
    <n v="28.4"/>
    <n v="2"/>
    <n v="0"/>
    <n v="11.076000000000001"/>
    <x v="3"/>
    <x v="11"/>
  </r>
  <r>
    <s v="CA-2014-151995"/>
    <x v="137"/>
    <d v="2014-10-15T00:00:00"/>
    <x v="2"/>
    <s v="ZC-21910"/>
    <s v="Zuschuss Carroll"/>
    <x v="0"/>
    <s v="United States"/>
    <x v="71"/>
    <x v="13"/>
    <x v="1"/>
    <s v="FUR-TA-10002903"/>
    <s v="Furniture"/>
    <x v="2"/>
    <s v="Bevis Round Bullnose 29&quot; High Table Top"/>
    <n v="1298.55"/>
    <n v="5"/>
    <n v="0"/>
    <n v="311.65199999999999"/>
    <x v="3"/>
    <x v="1"/>
  </r>
  <r>
    <s v="CA-2017-143686"/>
    <x v="138"/>
    <d v="2017-05-14T00:00:00"/>
    <x v="3"/>
    <s v="PJ-19015"/>
    <s v="Pauline Johnson"/>
    <x v="0"/>
    <s v="United States"/>
    <x v="72"/>
    <x v="2"/>
    <x v="1"/>
    <s v="FUR-FU-10000794"/>
    <s v="Furniture"/>
    <x v="3"/>
    <s v="Eldon Stackable Tray, Side-Load, Legal, Smoke"/>
    <n v="18.28"/>
    <n v="2"/>
    <n v="0"/>
    <n v="6.2152000000000003"/>
    <x v="7"/>
    <x v="7"/>
  </r>
  <r>
    <s v="CA-2014-140858"/>
    <x v="139"/>
    <d v="2014-07-02T00:00:00"/>
    <x v="1"/>
    <s v="CA-12775"/>
    <s v="Cynthia Arntzen"/>
    <x v="0"/>
    <s v="United States"/>
    <x v="3"/>
    <x v="3"/>
    <x v="2"/>
    <s v="FUR-CH-10001394"/>
    <s v="Furniture"/>
    <x v="1"/>
    <s v="Global Leather Executive Chair"/>
    <n v="1228.4649999999999"/>
    <n v="5"/>
    <n v="0.3"/>
    <n v="0"/>
    <x v="4"/>
    <x v="2"/>
  </r>
  <r>
    <s v="CA-2017-129462"/>
    <x v="140"/>
    <d v="2017-06-21T00:00:00"/>
    <x v="0"/>
    <s v="JE-15745"/>
    <s v="Joel Eaton"/>
    <x v="0"/>
    <s v="United States"/>
    <x v="73"/>
    <x v="0"/>
    <x v="0"/>
    <s v="FUR-CH-10000665"/>
    <s v="Furniture"/>
    <x v="1"/>
    <s v="Global Airflow Leather Mesh Back Chair, Black"/>
    <n v="301.95999999999998"/>
    <n v="2"/>
    <n v="0"/>
    <n v="90.587999999999994"/>
    <x v="2"/>
    <x v="2"/>
  </r>
  <r>
    <s v="CA-2015-100454"/>
    <x v="141"/>
    <d v="2015-11-25T00:00:00"/>
    <x v="1"/>
    <s v="BM-11650"/>
    <s v="Brian Moss"/>
    <x v="1"/>
    <s v="United States"/>
    <x v="13"/>
    <x v="7"/>
    <x v="2"/>
    <s v="FUR-BO-10001519"/>
    <s v="Furniture"/>
    <x v="0"/>
    <s v="O'Sullivan 3-Shelf Heavy-Duty Bookcases"/>
    <n v="186.048"/>
    <n v="4"/>
    <n v="0.2"/>
    <n v="9.3024000000000004"/>
    <x v="2"/>
    <x v="0"/>
  </r>
  <r>
    <s v="CA-2015-114300"/>
    <x v="142"/>
    <d v="2015-10-17T00:00:00"/>
    <x v="1"/>
    <s v="AF-10885"/>
    <s v="Art Foster"/>
    <x v="0"/>
    <s v="United States"/>
    <x v="74"/>
    <x v="0"/>
    <x v="0"/>
    <s v="FUR-CH-10001891"/>
    <s v="Furniture"/>
    <x v="1"/>
    <s v="Global Deluxe Office Fabric Chairs"/>
    <n v="287.94"/>
    <n v="3"/>
    <n v="0"/>
    <n v="77.743799999999993"/>
    <x v="4"/>
    <x v="1"/>
  </r>
  <r>
    <s v="CA-2017-107503"/>
    <x v="143"/>
    <d v="2017-01-06T00:00:00"/>
    <x v="1"/>
    <s v="GA-14725"/>
    <s v="Guy Armstrong"/>
    <x v="0"/>
    <s v="United States"/>
    <x v="75"/>
    <x v="15"/>
    <x v="2"/>
    <s v="FUR-FU-10003878"/>
    <s v="Furniture"/>
    <x v="3"/>
    <s v="Linden 10&quot; Round Wall Clock, Black"/>
    <n v="48.896000000000001"/>
    <n v="4"/>
    <n v="0.2"/>
    <n v="8.5568000000000008"/>
    <x v="2"/>
    <x v="8"/>
  </r>
  <r>
    <s v="CA-2016-123274"/>
    <x v="144"/>
    <d v="2016-02-24T00:00:00"/>
    <x v="1"/>
    <s v="GT-14710"/>
    <s v="Greg Tran"/>
    <x v="0"/>
    <s v="United States"/>
    <x v="13"/>
    <x v="7"/>
    <x v="2"/>
    <s v="FUR-FU-10004090"/>
    <s v="Furniture"/>
    <x v="3"/>
    <s v="Executive Impressions 14&quot; Contract Wall Clock"/>
    <n v="44.46"/>
    <n v="2"/>
    <n v="0"/>
    <n v="14.671799999999999"/>
    <x v="2"/>
    <x v="11"/>
  </r>
  <r>
    <s v="CA-2014-149020"/>
    <x v="145"/>
    <d v="2014-01-15T00:00:00"/>
    <x v="1"/>
    <s v="AJ-10780"/>
    <s v="Anthony Jacobs"/>
    <x v="1"/>
    <s v="United States"/>
    <x v="76"/>
    <x v="25"/>
    <x v="0"/>
    <s v="FUR-FU-10000965"/>
    <s v="Furniture"/>
    <x v="3"/>
    <s v="Howard Miller 11-1/2&quot; Diameter Ridgewood Wall Clock"/>
    <n v="51.94"/>
    <n v="1"/>
    <n v="0"/>
    <n v="21.295400000000001"/>
    <x v="2"/>
    <x v="8"/>
  </r>
  <r>
    <s v="CA-2016-116736"/>
    <x v="146"/>
    <d v="2016-01-21T00:00:00"/>
    <x v="1"/>
    <s v="CC-12430"/>
    <s v="Chuck Clark"/>
    <x v="2"/>
    <s v="United States"/>
    <x v="41"/>
    <x v="28"/>
    <x v="2"/>
    <s v="FUR-FU-10004017"/>
    <s v="Furniture"/>
    <x v="3"/>
    <s v="Tenex Contemporary Contur Chairmats for Low and Medium Pile Carpet, Computer, 39&quot; x 49&quot;"/>
    <n v="322.58999999999997"/>
    <n v="3"/>
    <n v="0"/>
    <n v="64.518000000000001"/>
    <x v="4"/>
    <x v="8"/>
  </r>
  <r>
    <s v="CA-2017-111689"/>
    <x v="147"/>
    <d v="2017-12-02T00:00:00"/>
    <x v="0"/>
    <s v="HP-14815"/>
    <s v="Harold Pawlan"/>
    <x v="2"/>
    <s v="United States"/>
    <x v="13"/>
    <x v="7"/>
    <x v="2"/>
    <s v="FUR-CH-10004287"/>
    <s v="Furniture"/>
    <x v="1"/>
    <s v="SAFCO Arco Folding Chair"/>
    <n v="1242.9000000000001"/>
    <n v="5"/>
    <n v="0.1"/>
    <n v="262.39"/>
    <x v="3"/>
    <x v="0"/>
  </r>
  <r>
    <s v="CA-2016-165148"/>
    <x v="148"/>
    <d v="2016-10-24T00:00:00"/>
    <x v="2"/>
    <s v="PM-19135"/>
    <s v="Peter McVee"/>
    <x v="2"/>
    <s v="United States"/>
    <x v="25"/>
    <x v="17"/>
    <x v="3"/>
    <s v="FUR-FU-10000732"/>
    <s v="Furniture"/>
    <x v="3"/>
    <s v="Eldon 200 Class Desk Accessories"/>
    <n v="31.4"/>
    <n v="5"/>
    <n v="0"/>
    <n v="10.048"/>
    <x v="3"/>
    <x v="1"/>
  </r>
  <r>
    <s v="CA-2014-134061"/>
    <x v="149"/>
    <d v="2014-05-04T00:00:00"/>
    <x v="1"/>
    <s v="LL-16840"/>
    <s v="Lauren Leatherbury"/>
    <x v="0"/>
    <s v="United States"/>
    <x v="77"/>
    <x v="7"/>
    <x v="2"/>
    <s v="FUR-FU-10001424"/>
    <s v="Furniture"/>
    <x v="3"/>
    <s v="Dax Clear Box Frame"/>
    <n v="17.46"/>
    <n v="2"/>
    <n v="0"/>
    <n v="5.9363999999999999"/>
    <x v="2"/>
    <x v="6"/>
  </r>
  <r>
    <s v="CA-2017-143259"/>
    <x v="150"/>
    <d v="2018-01-03T00:00:00"/>
    <x v="1"/>
    <s v="PO-18865"/>
    <s v="Patrick O'Donnell"/>
    <x v="0"/>
    <s v="United States"/>
    <x v="13"/>
    <x v="7"/>
    <x v="2"/>
    <s v="FUR-BO-10003441"/>
    <s v="Furniture"/>
    <x v="0"/>
    <s v="Bush Westfield Collection Bookcases, Fully Assembled"/>
    <n v="323.13600000000002"/>
    <n v="4"/>
    <n v="0.2"/>
    <n v="12.117599999999999"/>
    <x v="4"/>
    <x v="5"/>
  </r>
  <r>
    <s v="CA-2015-133627"/>
    <x v="151"/>
    <d v="2015-06-07T00:00:00"/>
    <x v="1"/>
    <s v="SC-20050"/>
    <s v="Sample Company A"/>
    <x v="2"/>
    <s v="United States"/>
    <x v="78"/>
    <x v="19"/>
    <x v="2"/>
    <s v="FUR-FU-10001935"/>
    <s v="Furniture"/>
    <x v="3"/>
    <s v="3M Hangers With Command Adhesive"/>
    <n v="22.2"/>
    <n v="6"/>
    <n v="0"/>
    <n v="9.1020000000000003"/>
    <x v="1"/>
    <x v="7"/>
  </r>
  <r>
    <s v="CA-2017-102519"/>
    <x v="152"/>
    <d v="2017-11-29T00:00:00"/>
    <x v="2"/>
    <s v="BM-11650"/>
    <s v="Brian Moss"/>
    <x v="1"/>
    <s v="United States"/>
    <x v="79"/>
    <x v="16"/>
    <x v="3"/>
    <s v="FUR-FU-10004091"/>
    <s v="Furniture"/>
    <x v="3"/>
    <s v="Howard Miller 13&quot; Diameter Goldtone Round Wall Clock"/>
    <n v="46.94"/>
    <n v="1"/>
    <n v="0"/>
    <n v="19.2454"/>
    <x v="3"/>
    <x v="0"/>
  </r>
  <r>
    <s v="US-2014-141215"/>
    <x v="153"/>
    <d v="2014-06-21T00:00:00"/>
    <x v="1"/>
    <s v="KL-16555"/>
    <s v="Kelly Lampkin"/>
    <x v="1"/>
    <s v="United States"/>
    <x v="21"/>
    <x v="5"/>
    <x v="3"/>
    <s v="FUR-TA-10001520"/>
    <s v="Furniture"/>
    <x v="2"/>
    <s v="Lesro Sheffield Collection Coffee Table, End Table, Center Table, Corner Table"/>
    <n v="99.918000000000006"/>
    <n v="2"/>
    <n v="0.3"/>
    <n v="-18.5562"/>
    <x v="6"/>
    <x v="2"/>
  </r>
  <r>
    <s v="US-2014-141215"/>
    <x v="153"/>
    <d v="2014-06-21T00:00:00"/>
    <x v="1"/>
    <s v="KL-16555"/>
    <s v="Kelly Lampkin"/>
    <x v="1"/>
    <s v="United States"/>
    <x v="21"/>
    <x v="5"/>
    <x v="3"/>
    <s v="FUR-CH-10003379"/>
    <s v="Furniture"/>
    <x v="1"/>
    <s v="Global Commerce Series High-Back Swivel/Tilt Chairs"/>
    <n v="797.94399999999996"/>
    <n v="4"/>
    <n v="0.3"/>
    <n v="-56.996000000000002"/>
    <x v="6"/>
    <x v="2"/>
  </r>
  <r>
    <s v="CA-2016-142958"/>
    <x v="154"/>
    <d v="2016-12-20T00:00:00"/>
    <x v="1"/>
    <s v="RW-19630"/>
    <s v="Rob Williams"/>
    <x v="1"/>
    <s v="United States"/>
    <x v="80"/>
    <x v="2"/>
    <x v="1"/>
    <s v="FUR-TA-10000577"/>
    <s v="Furniture"/>
    <x v="2"/>
    <s v="Bretford CR4500 Series Slim Rectangular Table"/>
    <n v="1114.2719999999999"/>
    <n v="4"/>
    <n v="0.2"/>
    <n v="41.785200000000003"/>
    <x v="1"/>
    <x v="5"/>
  </r>
  <r>
    <s v="US-2015-140200"/>
    <x v="155"/>
    <d v="2015-07-28T00:00:00"/>
    <x v="2"/>
    <s v="CA-12775"/>
    <s v="Cynthia Arntzen"/>
    <x v="0"/>
    <s v="United States"/>
    <x v="81"/>
    <x v="22"/>
    <x v="1"/>
    <s v="FUR-TA-10002356"/>
    <s v="Furniture"/>
    <x v="2"/>
    <s v="Bevis Boat-Shaped Conference Table"/>
    <n v="393.16500000000002"/>
    <n v="3"/>
    <n v="0.5"/>
    <n v="-204.44579999999999"/>
    <x v="3"/>
    <x v="3"/>
  </r>
  <r>
    <s v="US-2017-110576"/>
    <x v="156"/>
    <d v="2017-12-02T00:00:00"/>
    <x v="1"/>
    <s v="RB-19795"/>
    <s v="Ross Baird"/>
    <x v="2"/>
    <s v="United States"/>
    <x v="3"/>
    <x v="3"/>
    <x v="2"/>
    <s v="FUR-FU-10003601"/>
    <s v="Furniture"/>
    <x v="3"/>
    <s v="Deflect-o RollaMat Studded, Beveled Mat for Medium Pile Carpeting"/>
    <n v="516.48800000000006"/>
    <n v="7"/>
    <n v="0.2"/>
    <n v="-12.9122"/>
    <x v="4"/>
    <x v="0"/>
  </r>
  <r>
    <s v="US-2017-110576"/>
    <x v="156"/>
    <d v="2017-12-02T00:00:00"/>
    <x v="1"/>
    <s v="RB-19795"/>
    <s v="Ross Baird"/>
    <x v="2"/>
    <s v="United States"/>
    <x v="3"/>
    <x v="3"/>
    <x v="2"/>
    <s v="FUR-FU-10000576"/>
    <s v="Furniture"/>
    <x v="3"/>
    <s v="Luxo Professional Fluorescent Magnifier Lamp with Clamp-Mount Base"/>
    <n v="1007.232"/>
    <n v="6"/>
    <n v="0.2"/>
    <n v="75.542400000000001"/>
    <x v="4"/>
    <x v="0"/>
  </r>
  <r>
    <s v="US-2017-110576"/>
    <x v="156"/>
    <d v="2017-12-02T00:00:00"/>
    <x v="1"/>
    <s v="RB-19795"/>
    <s v="Ross Baird"/>
    <x v="2"/>
    <s v="United States"/>
    <x v="3"/>
    <x v="3"/>
    <x v="2"/>
    <s v="FUR-TA-10004154"/>
    <s v="Furniture"/>
    <x v="2"/>
    <s v="Riverside Furniture Oval Coffee Table, Oval End Table, End Table with Drawer"/>
    <n v="2065.3200000000002"/>
    <n v="12"/>
    <n v="0.4"/>
    <n v="-619.596"/>
    <x v="4"/>
    <x v="0"/>
  </r>
  <r>
    <s v="CA-2017-131156"/>
    <x v="157"/>
    <d v="2017-04-07T00:00:00"/>
    <x v="1"/>
    <s v="KH-16360"/>
    <s v="Katherine Hughes"/>
    <x v="0"/>
    <s v="United States"/>
    <x v="3"/>
    <x v="3"/>
    <x v="2"/>
    <s v="FUR-FU-10001940"/>
    <s v="Furniture"/>
    <x v="3"/>
    <s v="Staple-based wall hangings"/>
    <n v="25.472000000000001"/>
    <n v="4"/>
    <n v="0.2"/>
    <n v="7.6416000000000004"/>
    <x v="4"/>
    <x v="6"/>
  </r>
  <r>
    <s v="CA-2017-136539"/>
    <x v="158"/>
    <d v="2018-01-01T00:00:00"/>
    <x v="1"/>
    <s v="GH-14665"/>
    <s v="Greg Hansen"/>
    <x v="0"/>
    <s v="United States"/>
    <x v="82"/>
    <x v="5"/>
    <x v="3"/>
    <s v="FUR-BO-10004709"/>
    <s v="Furniture"/>
    <x v="0"/>
    <s v="Bush Westfield Collection Bookcases, Medium Cherry Finish"/>
    <n v="78.852800000000002"/>
    <n v="2"/>
    <n v="0.32"/>
    <n v="-11.596"/>
    <x v="4"/>
    <x v="5"/>
  </r>
  <r>
    <s v="CA-2015-112571"/>
    <x v="159"/>
    <d v="2015-09-22T00:00:00"/>
    <x v="3"/>
    <s v="DL-12925"/>
    <s v="Daniel Lacy"/>
    <x v="0"/>
    <s v="United States"/>
    <x v="64"/>
    <x v="2"/>
    <x v="1"/>
    <s v="FUR-FU-10004188"/>
    <s v="Furniture"/>
    <x v="3"/>
    <s v="Luxo Professional Combination Clamp-On Lamps"/>
    <n v="204.6"/>
    <n v="2"/>
    <n v="0"/>
    <n v="53.195999999999998"/>
    <x v="7"/>
    <x v="4"/>
  </r>
  <r>
    <s v="CA-2017-152142"/>
    <x v="160"/>
    <d v="2017-11-19T00:00:00"/>
    <x v="1"/>
    <s v="LW-16990"/>
    <s v="Lindsay Williams"/>
    <x v="1"/>
    <s v="United States"/>
    <x v="28"/>
    <x v="2"/>
    <x v="1"/>
    <s v="FUR-CH-10002965"/>
    <s v="Furniture"/>
    <x v="1"/>
    <s v="Global Leather Highback Executive Chair with Pneumatic Height Adjustment, Black"/>
    <n v="321.56799999999998"/>
    <n v="2"/>
    <n v="0.2"/>
    <n v="28.1372"/>
    <x v="2"/>
    <x v="0"/>
  </r>
  <r>
    <s v="CA-2014-115791"/>
    <x v="161"/>
    <d v="2014-01-18T00:00:00"/>
    <x v="0"/>
    <s v="DL-13315"/>
    <s v="Delfina Latchford"/>
    <x v="0"/>
    <s v="United States"/>
    <x v="3"/>
    <x v="3"/>
    <x v="2"/>
    <s v="FUR-FU-10001095"/>
    <s v="Furniture"/>
    <x v="3"/>
    <s v="DAX Black Cherry Wood-Tone Poster Frame"/>
    <n v="127.104"/>
    <n v="6"/>
    <n v="0.2"/>
    <n v="28.598400000000002"/>
    <x v="3"/>
    <x v="8"/>
  </r>
  <r>
    <s v="CA-2016-144939"/>
    <x v="162"/>
    <d v="2016-10-08T00:00:00"/>
    <x v="1"/>
    <s v="EB-13870"/>
    <s v="Emily Burns"/>
    <x v="0"/>
    <s v="United States"/>
    <x v="13"/>
    <x v="7"/>
    <x v="2"/>
    <s v="FUR-CH-10003199"/>
    <s v="Furniture"/>
    <x v="1"/>
    <s v="Office Star - Contemporary Task Swivel Chair"/>
    <n v="599.29200000000003"/>
    <n v="6"/>
    <n v="0.1"/>
    <n v="93.223200000000006"/>
    <x v="2"/>
    <x v="1"/>
  </r>
  <r>
    <s v="CA-2014-163419"/>
    <x v="163"/>
    <d v="2014-11-14T00:00:00"/>
    <x v="0"/>
    <s v="TZ-21580"/>
    <s v="Tracy Zic"/>
    <x v="0"/>
    <s v="United States"/>
    <x v="74"/>
    <x v="12"/>
    <x v="1"/>
    <s v="FUR-CH-10000665"/>
    <s v="Furniture"/>
    <x v="1"/>
    <s v="Global Airflow Leather Mesh Back Chair, Black"/>
    <n v="603.91999999999996"/>
    <n v="5"/>
    <n v="0.2"/>
    <n v="75.489999999999995"/>
    <x v="0"/>
    <x v="0"/>
  </r>
  <r>
    <s v="CA-2017-167899"/>
    <x v="164"/>
    <d v="2017-05-26T00:00:00"/>
    <x v="1"/>
    <s v="JG-15805"/>
    <s v="John Grady"/>
    <x v="1"/>
    <s v="United States"/>
    <x v="83"/>
    <x v="7"/>
    <x v="2"/>
    <s v="FUR-FU-10004071"/>
    <s v="Furniture"/>
    <x v="3"/>
    <s v="Luxo Professional Magnifying Clamp-On Fluorescent Lamps"/>
    <n v="520.04999999999995"/>
    <n v="5"/>
    <n v="0"/>
    <n v="72.807000000000002"/>
    <x v="2"/>
    <x v="7"/>
  </r>
  <r>
    <s v="CA-2015-153549"/>
    <x v="165"/>
    <d v="2015-03-31T00:00:00"/>
    <x v="0"/>
    <s v="SL-20155"/>
    <s v="Sara Luxemburg"/>
    <x v="2"/>
    <s v="United States"/>
    <x v="51"/>
    <x v="1"/>
    <x v="0"/>
    <s v="FUR-CH-10004086"/>
    <s v="Furniture"/>
    <x v="1"/>
    <s v="Hon 4070 Series Pagoda Armless Upholstered Stacking Chairs"/>
    <n v="1166.92"/>
    <n v="5"/>
    <n v="0.2"/>
    <n v="131.27850000000001"/>
    <x v="3"/>
    <x v="9"/>
  </r>
  <r>
    <s v="CA-2015-162537"/>
    <x v="166"/>
    <d v="2015-11-03T00:00:00"/>
    <x v="1"/>
    <s v="RD-19585"/>
    <s v="Rob Dowd"/>
    <x v="0"/>
    <s v="United States"/>
    <x v="0"/>
    <x v="0"/>
    <x v="0"/>
    <s v="FUR-FU-10002885"/>
    <s v="Furniture"/>
    <x v="3"/>
    <s v="Magna Visual Magnetic Picture Hangers"/>
    <n v="24.1"/>
    <n v="5"/>
    <n v="0"/>
    <n v="9.1579999999999995"/>
    <x v="6"/>
    <x v="1"/>
  </r>
  <r>
    <s v="CA-2015-162537"/>
    <x v="166"/>
    <d v="2015-11-03T00:00:00"/>
    <x v="1"/>
    <s v="RD-19585"/>
    <s v="Rob Dowd"/>
    <x v="0"/>
    <s v="United States"/>
    <x v="0"/>
    <x v="0"/>
    <x v="0"/>
    <s v="FUR-FU-10001918"/>
    <s v="Furniture"/>
    <x v="3"/>
    <s v="C-Line Cubicle Keepers Polyproplyene Holder With Velcro Backings"/>
    <n v="33.11"/>
    <n v="7"/>
    <n v="0"/>
    <n v="12.9129"/>
    <x v="6"/>
    <x v="1"/>
  </r>
  <r>
    <s v="CA-2015-124891"/>
    <x v="167"/>
    <d v="2015-07-31T00:00:00"/>
    <x v="3"/>
    <s v="RH-19495"/>
    <s v="Rick Hansen"/>
    <x v="0"/>
    <s v="United States"/>
    <x v="13"/>
    <x v="7"/>
    <x v="2"/>
    <s v="FUR-TA-10002903"/>
    <s v="Furniture"/>
    <x v="2"/>
    <s v="Bevis Round Bullnose 29&quot; High Table Top"/>
    <n v="1090.7819999999999"/>
    <n v="7"/>
    <n v="0.4"/>
    <n v="-290.87520000000001"/>
    <x v="7"/>
    <x v="3"/>
  </r>
  <r>
    <s v="CA-2014-158540"/>
    <x v="168"/>
    <d v="2014-11-26T00:00:00"/>
    <x v="2"/>
    <s v="VG-21790"/>
    <s v="Vivek Gonzalez"/>
    <x v="0"/>
    <s v="United States"/>
    <x v="53"/>
    <x v="2"/>
    <x v="1"/>
    <s v="FUR-FU-10001602"/>
    <s v="Furniture"/>
    <x v="3"/>
    <s v="Eldon Delta Triangular Chair Mat, 52&quot; x 58&quot;, Clear"/>
    <n v="151.72"/>
    <n v="4"/>
    <n v="0"/>
    <n v="27.3096"/>
    <x v="3"/>
    <x v="0"/>
  </r>
  <r>
    <s v="CA-2017-118437"/>
    <x v="169"/>
    <d v="2017-06-21T00:00:00"/>
    <x v="0"/>
    <s v="PF-19165"/>
    <s v="Philip Fox"/>
    <x v="0"/>
    <s v="United States"/>
    <x v="84"/>
    <x v="13"/>
    <x v="1"/>
    <s v="FUR-FU-10004848"/>
    <s v="Furniture"/>
    <x v="3"/>
    <s v="Howard Miller 13-3/4&quot; Diameter Brushed Chrome Round Wall Clock"/>
    <n v="155.25"/>
    <n v="3"/>
    <n v="0"/>
    <n v="46.575000000000003"/>
    <x v="4"/>
    <x v="2"/>
  </r>
  <r>
    <s v="US-2015-126214"/>
    <x v="170"/>
    <d v="2015-12-24T00:00:00"/>
    <x v="0"/>
    <s v="JS-15880"/>
    <s v="John Stevenson"/>
    <x v="0"/>
    <s v="United States"/>
    <x v="15"/>
    <x v="13"/>
    <x v="1"/>
    <s v="FUR-TA-10003748"/>
    <s v="Furniture"/>
    <x v="2"/>
    <s v="Bevis 36 x 72 Conference Tables"/>
    <n v="1618.37"/>
    <n v="13"/>
    <n v="0"/>
    <n v="356.04140000000001"/>
    <x v="0"/>
    <x v="5"/>
  </r>
  <r>
    <s v="CA-2015-108665"/>
    <x v="171"/>
    <d v="2015-07-10T00:00:00"/>
    <x v="1"/>
    <s v="KM-16225"/>
    <s v="Kalyca Meade"/>
    <x v="1"/>
    <s v="United States"/>
    <x v="13"/>
    <x v="7"/>
    <x v="2"/>
    <s v="FUR-FU-10002191"/>
    <s v="Furniture"/>
    <x v="3"/>
    <s v="G.E. Halogen Desk Lamp Bulbs"/>
    <n v="13.96"/>
    <n v="2"/>
    <n v="0"/>
    <n v="6.7008000000000001"/>
    <x v="4"/>
    <x v="3"/>
  </r>
  <r>
    <s v="CA-2015-108665"/>
    <x v="171"/>
    <d v="2015-07-10T00:00:00"/>
    <x v="1"/>
    <s v="KM-16225"/>
    <s v="Kalyca Meade"/>
    <x v="1"/>
    <s v="United States"/>
    <x v="13"/>
    <x v="7"/>
    <x v="2"/>
    <s v="FUR-FU-10000965"/>
    <s v="Furniture"/>
    <x v="3"/>
    <s v="Howard Miller 11-1/2&quot; Diameter Ridgewood Wall Clock"/>
    <n v="155.82"/>
    <n v="3"/>
    <n v="0"/>
    <n v="63.886200000000002"/>
    <x v="4"/>
    <x v="3"/>
  </r>
  <r>
    <s v="CA-2015-124450"/>
    <x v="172"/>
    <d v="2015-05-03T00:00:00"/>
    <x v="1"/>
    <s v="GT-14710"/>
    <s v="Greg Tran"/>
    <x v="0"/>
    <s v="United States"/>
    <x v="85"/>
    <x v="29"/>
    <x v="2"/>
    <s v="FUR-CH-10000309"/>
    <s v="Furniture"/>
    <x v="1"/>
    <s v="Global Comet Stacking Arm Chair"/>
    <n v="1267.53"/>
    <n v="3"/>
    <n v="0"/>
    <n v="316.88249999999999"/>
    <x v="6"/>
    <x v="6"/>
  </r>
  <r>
    <s v="CA-2014-163552"/>
    <x v="173"/>
    <d v="2014-07-15T00:00:00"/>
    <x v="1"/>
    <s v="LA-16780"/>
    <s v="Laura Armstrong"/>
    <x v="1"/>
    <s v="United States"/>
    <x v="33"/>
    <x v="18"/>
    <x v="2"/>
    <s v="FUR-CH-10003379"/>
    <s v="Furniture"/>
    <x v="1"/>
    <s v="Global Commerce Series High-Back Swivel/Tilt Chairs"/>
    <n v="854.94"/>
    <n v="3"/>
    <n v="0"/>
    <n v="213.73500000000001"/>
    <x v="4"/>
    <x v="3"/>
  </r>
  <r>
    <s v="CA-2014-163552"/>
    <x v="173"/>
    <d v="2014-07-15T00:00:00"/>
    <x v="1"/>
    <s v="LA-16780"/>
    <s v="Laura Armstrong"/>
    <x v="1"/>
    <s v="United States"/>
    <x v="33"/>
    <x v="18"/>
    <x v="2"/>
    <s v="FUR-FU-10000629"/>
    <s v="Furniture"/>
    <x v="3"/>
    <s v="9-3/4 Diameter Round Wall Clock"/>
    <n v="124.11"/>
    <n v="9"/>
    <n v="0"/>
    <n v="52.126199999999997"/>
    <x v="4"/>
    <x v="3"/>
  </r>
  <r>
    <s v="CA-2016-113061"/>
    <x v="74"/>
    <d v="2016-04-26T00:00:00"/>
    <x v="1"/>
    <s v="EL-13735"/>
    <s v="Ed Ludwig"/>
    <x v="2"/>
    <s v="United States"/>
    <x v="86"/>
    <x v="23"/>
    <x v="3"/>
    <s v="FUR-FU-10003975"/>
    <s v="Furniture"/>
    <x v="3"/>
    <s v="Eldon Advantage Chair Mats for Low to Medium Pile Carpets"/>
    <n v="86.62"/>
    <n v="2"/>
    <n v="0"/>
    <n v="8.6620000000000008"/>
    <x v="4"/>
    <x v="6"/>
  </r>
  <r>
    <s v="CA-2016-127670"/>
    <x v="174"/>
    <d v="2016-03-24T00:00:00"/>
    <x v="1"/>
    <s v="RD-19660"/>
    <s v="Robert Dilbeck"/>
    <x v="2"/>
    <s v="United States"/>
    <x v="87"/>
    <x v="23"/>
    <x v="3"/>
    <s v="FUR-TA-10001095"/>
    <s v="Furniture"/>
    <x v="2"/>
    <s v="Chromcraft Round Conference Tables"/>
    <n v="697.16"/>
    <n v="4"/>
    <n v="0"/>
    <n v="146.40360000000001"/>
    <x v="4"/>
    <x v="9"/>
  </r>
  <r>
    <s v="CA-2016-102981"/>
    <x v="175"/>
    <d v="2016-09-09T00:00:00"/>
    <x v="0"/>
    <s v="MO-17500"/>
    <s v="Mary O'Rourke"/>
    <x v="0"/>
    <s v="United States"/>
    <x v="13"/>
    <x v="7"/>
    <x v="2"/>
    <s v="FUR-BO-10001811"/>
    <s v="Furniture"/>
    <x v="0"/>
    <s v="Atlantic Metals Mobile 5-Shelf Bookcases, Custom Colors"/>
    <n v="722.35199999999998"/>
    <n v="3"/>
    <n v="0.2"/>
    <n v="90.293999999999997"/>
    <x v="0"/>
    <x v="4"/>
  </r>
  <r>
    <s v="CA-2017-152702"/>
    <x v="176"/>
    <d v="2017-10-16T00:00:00"/>
    <x v="1"/>
    <s v="SN-20710"/>
    <s v="Steve Nguyen"/>
    <x v="2"/>
    <s v="United States"/>
    <x v="88"/>
    <x v="8"/>
    <x v="3"/>
    <s v="FUR-CH-10002304"/>
    <s v="Furniture"/>
    <x v="1"/>
    <s v="Global Stack Chair without Arms, Black"/>
    <n v="254.60400000000001"/>
    <n v="14"/>
    <n v="0.3"/>
    <n v="-18.186"/>
    <x v="4"/>
    <x v="1"/>
  </r>
  <r>
    <s v="CA-2016-169103"/>
    <x v="177"/>
    <d v="2016-03-13T00:00:00"/>
    <x v="1"/>
    <s v="ZC-21910"/>
    <s v="Zuschuss Carroll"/>
    <x v="0"/>
    <s v="United States"/>
    <x v="89"/>
    <x v="1"/>
    <x v="0"/>
    <s v="FUR-FU-10004006"/>
    <s v="Furniture"/>
    <x v="3"/>
    <s v="Deflect-o DuraMat Lighweight, Studded, Beveled Mat for Low Pile Carpeting"/>
    <n v="102.36"/>
    <n v="3"/>
    <n v="0.2"/>
    <n v="-3.8384999999999998"/>
    <x v="2"/>
    <x v="9"/>
  </r>
  <r>
    <s v="US-2015-153500"/>
    <x v="97"/>
    <d v="2015-07-05T00:00:00"/>
    <x v="2"/>
    <s v="DG-13300"/>
    <s v="Deirdre Greer"/>
    <x v="1"/>
    <s v="United States"/>
    <x v="3"/>
    <x v="3"/>
    <x v="2"/>
    <s v="FUR-FU-10000293"/>
    <s v="Furniture"/>
    <x v="3"/>
    <s v="Eldon Antistatic Chair Mats for Low to Medium Pile Carpets"/>
    <n v="168.464"/>
    <n v="2"/>
    <n v="0.2"/>
    <n v="-29.481200000000001"/>
    <x v="3"/>
    <x v="3"/>
  </r>
  <r>
    <s v="US-2015-153500"/>
    <x v="97"/>
    <d v="2015-07-05T00:00:00"/>
    <x v="2"/>
    <s v="DG-13300"/>
    <s v="Deirdre Greer"/>
    <x v="1"/>
    <s v="United States"/>
    <x v="3"/>
    <x v="3"/>
    <x v="2"/>
    <s v="FUR-FU-10004460"/>
    <s v="Furniture"/>
    <x v="3"/>
    <s v="Howard Miller 12&quot; Round Wall Clock"/>
    <n v="282.88799999999998"/>
    <n v="9"/>
    <n v="0.2"/>
    <n v="56.577599999999997"/>
    <x v="3"/>
    <x v="3"/>
  </r>
  <r>
    <s v="CA-2015-110667"/>
    <x v="178"/>
    <d v="2015-04-08T00:00:00"/>
    <x v="1"/>
    <s v="NF-18595"/>
    <s v="Nicole Fjeld"/>
    <x v="2"/>
    <s v="United States"/>
    <x v="13"/>
    <x v="7"/>
    <x v="2"/>
    <s v="FUR-FU-10004622"/>
    <s v="Furniture"/>
    <x v="3"/>
    <s v="Eldon Advantage Foldable Chair Mats for Low Pile Carpets"/>
    <n v="108.4"/>
    <n v="2"/>
    <n v="0"/>
    <n v="22.763999999999999"/>
    <x v="4"/>
    <x v="6"/>
  </r>
  <r>
    <s v="US-2015-125374"/>
    <x v="179"/>
    <d v="2015-03-29T00:00:00"/>
    <x v="1"/>
    <s v="JD-16060"/>
    <s v="Julia Dunbar"/>
    <x v="0"/>
    <s v="United States"/>
    <x v="6"/>
    <x v="5"/>
    <x v="3"/>
    <s v="FUR-CH-10003396"/>
    <s v="Furniture"/>
    <x v="1"/>
    <s v="Global Deluxe Steno Chair"/>
    <n v="107.77200000000001"/>
    <n v="2"/>
    <n v="0.3"/>
    <n v="-29.252400000000002"/>
    <x v="6"/>
    <x v="9"/>
  </r>
  <r>
    <s v="CA-2016-157686"/>
    <x v="180"/>
    <d v="2016-10-02T00:00:00"/>
    <x v="2"/>
    <s v="BD-11620"/>
    <s v="Brian DeCherney"/>
    <x v="0"/>
    <s v="United States"/>
    <x v="28"/>
    <x v="2"/>
    <x v="1"/>
    <s v="FUR-CH-10001146"/>
    <s v="Furniture"/>
    <x v="1"/>
    <s v="Global Value Mid-Back Manager's Chair, Gray"/>
    <n v="194.84800000000001"/>
    <n v="4"/>
    <n v="0.2"/>
    <n v="12.178000000000001"/>
    <x v="5"/>
    <x v="1"/>
  </r>
  <r>
    <s v="CA-2015-110016"/>
    <x v="101"/>
    <d v="2015-12-04T00:00:00"/>
    <x v="1"/>
    <s v="BT-11395"/>
    <s v="Bill Tyler"/>
    <x v="1"/>
    <s v="United States"/>
    <x v="25"/>
    <x v="17"/>
    <x v="3"/>
    <s v="FUR-CH-10002880"/>
    <s v="Furniture"/>
    <x v="1"/>
    <s v="Global High-Back Leather Tilter, Burgundy"/>
    <n v="1106.9100000000001"/>
    <n v="9"/>
    <n v="0"/>
    <n v="121.76009999999999"/>
    <x v="2"/>
    <x v="0"/>
  </r>
  <r>
    <s v="US-2016-143819"/>
    <x v="181"/>
    <d v="2016-03-05T00:00:00"/>
    <x v="1"/>
    <s v="KD-16270"/>
    <s v="Karen Daniels"/>
    <x v="0"/>
    <s v="United States"/>
    <x v="90"/>
    <x v="7"/>
    <x v="2"/>
    <s v="FUR-TA-10001095"/>
    <s v="Furniture"/>
    <x v="2"/>
    <s v="Chromcraft Round Conference Tables"/>
    <n v="836.59199999999998"/>
    <n v="8"/>
    <n v="0.4"/>
    <n v="-264.92079999999999"/>
    <x v="4"/>
    <x v="9"/>
  </r>
  <r>
    <s v="CA-2017-158407"/>
    <x v="182"/>
    <d v="2017-06-10T00:00:00"/>
    <x v="1"/>
    <s v="LW-16990"/>
    <s v="Lindsay Williams"/>
    <x v="1"/>
    <s v="United States"/>
    <x v="91"/>
    <x v="30"/>
    <x v="0"/>
    <s v="FUR-FU-10001967"/>
    <s v="Furniture"/>
    <x v="3"/>
    <s v="Telescoping Adjustable Floor Lamp"/>
    <n v="31.984000000000002"/>
    <n v="2"/>
    <n v="0.2"/>
    <n v="1.9990000000000001"/>
    <x v="6"/>
    <x v="2"/>
  </r>
  <r>
    <s v="CA-2014-159338"/>
    <x v="183"/>
    <d v="2014-06-28T00:00:00"/>
    <x v="2"/>
    <s v="NS-18640"/>
    <s v="Noel Staavos"/>
    <x v="1"/>
    <s v="United States"/>
    <x v="2"/>
    <x v="2"/>
    <x v="1"/>
    <s v="FUR-TA-10004147"/>
    <s v="Furniture"/>
    <x v="2"/>
    <s v="Hon 4060 Series Tables"/>
    <n v="447.84"/>
    <n v="5"/>
    <n v="0.2"/>
    <n v="11.196"/>
    <x v="0"/>
    <x v="2"/>
  </r>
  <r>
    <s v="CA-2016-107216"/>
    <x v="184"/>
    <d v="2016-06-17T00:00:00"/>
    <x v="2"/>
    <s v="PV-18985"/>
    <s v="Paul Van Hugh"/>
    <x v="2"/>
    <s v="United States"/>
    <x v="28"/>
    <x v="2"/>
    <x v="1"/>
    <s v="FUR-FU-10000206"/>
    <s v="Furniture"/>
    <x v="3"/>
    <s v="GE General Purpose, Extra Long Life, Showcase &amp; Floodlight Incandescent Bulbs"/>
    <n v="8.73"/>
    <n v="3"/>
    <n v="0"/>
    <n v="4.1031000000000004"/>
    <x v="0"/>
    <x v="2"/>
  </r>
  <r>
    <s v="US-2016-110156"/>
    <x v="185"/>
    <d v="2016-11-24T00:00:00"/>
    <x v="1"/>
    <s v="EH-13945"/>
    <s v="Eric Hoffmann"/>
    <x v="0"/>
    <s v="United States"/>
    <x v="6"/>
    <x v="5"/>
    <x v="3"/>
    <s v="FUR-FU-10000206"/>
    <s v="Furniture"/>
    <x v="3"/>
    <s v="GE General Purpose, Extra Long Life, Showcase &amp; Floodlight Incandescent Bulbs"/>
    <n v="2.3279999999999998"/>
    <n v="2"/>
    <n v="0.6"/>
    <n v="-0.75660000000000005"/>
    <x v="2"/>
    <x v="0"/>
  </r>
  <r>
    <s v="CA-2017-140585"/>
    <x v="186"/>
    <d v="2017-12-23T00:00:00"/>
    <x v="0"/>
    <s v="RA-19915"/>
    <s v="Russell Applegate"/>
    <x v="0"/>
    <s v="United States"/>
    <x v="92"/>
    <x v="2"/>
    <x v="1"/>
    <s v="FUR-BO-10002206"/>
    <s v="Furniture"/>
    <x v="0"/>
    <s v="Bush Saratoga Collection 5-Shelf Bookcase, Hanover Cherry, *Special Order"/>
    <n v="119.833"/>
    <n v="1"/>
    <n v="0.15"/>
    <n v="-12.6882"/>
    <x v="2"/>
    <x v="5"/>
  </r>
  <r>
    <s v="US-2014-147627"/>
    <x v="187"/>
    <d v="2014-01-26T00:00:00"/>
    <x v="1"/>
    <s v="HL-15040"/>
    <s v="Hunter Lopez"/>
    <x v="0"/>
    <s v="United States"/>
    <x v="93"/>
    <x v="31"/>
    <x v="0"/>
    <s v="FUR-FU-10003194"/>
    <s v="Furniture"/>
    <x v="3"/>
    <s v="Eldon Expressions Desk Accessory, Wood Pencil Holder, Oak"/>
    <n v="38.6"/>
    <n v="4"/>
    <n v="0"/>
    <n v="11.58"/>
    <x v="6"/>
    <x v="8"/>
  </r>
  <r>
    <s v="US-2014-147627"/>
    <x v="187"/>
    <d v="2014-01-26T00:00:00"/>
    <x v="1"/>
    <s v="HL-15040"/>
    <s v="Hunter Lopez"/>
    <x v="0"/>
    <s v="United States"/>
    <x v="93"/>
    <x v="31"/>
    <x v="0"/>
    <s v="FUR-CH-10002331"/>
    <s v="Furniture"/>
    <x v="1"/>
    <s v="Hon 4700 Series Mobuis Mid-Back Task Chairs with Adjustable Arms"/>
    <n v="1067.94"/>
    <n v="3"/>
    <n v="0"/>
    <n v="224.26740000000001"/>
    <x v="6"/>
    <x v="8"/>
  </r>
  <r>
    <s v="CA-2016-112102"/>
    <x v="188"/>
    <d v="2016-04-16T00:00:00"/>
    <x v="1"/>
    <s v="BD-11605"/>
    <s v="Brian Dahlen"/>
    <x v="0"/>
    <s v="United States"/>
    <x v="76"/>
    <x v="25"/>
    <x v="0"/>
    <s v="FUR-TA-10004086"/>
    <s v="Furniture"/>
    <x v="2"/>
    <s v="KI Adjustable-Height Table"/>
    <n v="343.92"/>
    <n v="4"/>
    <n v="0"/>
    <n v="75.662400000000005"/>
    <x v="4"/>
    <x v="6"/>
  </r>
  <r>
    <s v="CA-2014-146969"/>
    <x v="189"/>
    <d v="2014-10-03T00:00:00"/>
    <x v="1"/>
    <s v="AP-10915"/>
    <s v="Arthur Prichep"/>
    <x v="0"/>
    <s v="United States"/>
    <x v="2"/>
    <x v="2"/>
    <x v="1"/>
    <s v="FUR-FU-10004188"/>
    <s v="Furniture"/>
    <x v="3"/>
    <s v="Luxo Professional Combination Clamp-On Lamps"/>
    <n v="204.6"/>
    <n v="2"/>
    <n v="0"/>
    <n v="53.195999999999998"/>
    <x v="4"/>
    <x v="4"/>
  </r>
  <r>
    <s v="CA-2015-113971"/>
    <x v="190"/>
    <d v="2015-05-14T00:00:00"/>
    <x v="1"/>
    <s v="CB-12535"/>
    <s v="Claudia Bergmann"/>
    <x v="1"/>
    <s v="United States"/>
    <x v="94"/>
    <x v="15"/>
    <x v="2"/>
    <s v="FUR-FU-10001852"/>
    <s v="Furniture"/>
    <x v="3"/>
    <s v="Eldon Regeneration Recycled Desk Accessories, Smoke"/>
    <n v="8.3520000000000003"/>
    <n v="6"/>
    <n v="0.2"/>
    <n v="1.2527999999999999"/>
    <x v="6"/>
    <x v="7"/>
  </r>
  <r>
    <s v="CA-2014-136567"/>
    <x v="191"/>
    <d v="2014-12-21T00:00:00"/>
    <x v="2"/>
    <s v="PS-19045"/>
    <s v="Penelope Sewall"/>
    <x v="2"/>
    <s v="United States"/>
    <x v="95"/>
    <x v="25"/>
    <x v="0"/>
    <s v="FUR-TA-10001932"/>
    <s v="Furniture"/>
    <x v="2"/>
    <s v="Chromcraft 48&quot; x 96&quot; Racetrack Double Pedestal Table"/>
    <n v="2244.48"/>
    <n v="7"/>
    <n v="0"/>
    <n v="493.78559999999999"/>
    <x v="5"/>
    <x v="5"/>
  </r>
  <r>
    <s v="CA-2014-136567"/>
    <x v="191"/>
    <d v="2014-12-21T00:00:00"/>
    <x v="2"/>
    <s v="PS-19045"/>
    <s v="Penelope Sewall"/>
    <x v="2"/>
    <s v="United States"/>
    <x v="95"/>
    <x v="25"/>
    <x v="0"/>
    <s v="FUR-TA-10000617"/>
    <s v="Furniture"/>
    <x v="2"/>
    <s v="Hon Practical Foundations 30 x 60 Training Table, Light Gray/Charcoal"/>
    <n v="455.1"/>
    <n v="2"/>
    <n v="0"/>
    <n v="100.122"/>
    <x v="5"/>
    <x v="5"/>
  </r>
  <r>
    <s v="CA-2016-149314"/>
    <x v="192"/>
    <d v="2016-07-07T00:00:00"/>
    <x v="0"/>
    <s v="GB-14530"/>
    <s v="George Bell"/>
    <x v="1"/>
    <s v="United States"/>
    <x v="2"/>
    <x v="2"/>
    <x v="1"/>
    <s v="FUR-CH-10002126"/>
    <s v="Furniture"/>
    <x v="1"/>
    <s v="Hon Deluxe Fabric Upholstered Stacking Chairs"/>
    <n v="195.184"/>
    <n v="1"/>
    <n v="0.2"/>
    <n v="19.5184"/>
    <x v="2"/>
    <x v="3"/>
  </r>
  <r>
    <s v="CA-2017-145226"/>
    <x v="64"/>
    <d v="2017-12-10T00:00:00"/>
    <x v="0"/>
    <s v="DL-13315"/>
    <s v="Delfina Latchford"/>
    <x v="0"/>
    <s v="United States"/>
    <x v="13"/>
    <x v="7"/>
    <x v="2"/>
    <s v="FUR-FU-10004952"/>
    <s v="Furniture"/>
    <x v="3"/>
    <s v="C-Line Cubicle Keepers Polyproplyene Holder w/Velcro Back, 8-1/2x11, 25/Bx"/>
    <n v="109.48"/>
    <n v="2"/>
    <n v="0"/>
    <n v="33.938800000000001"/>
    <x v="3"/>
    <x v="5"/>
  </r>
  <r>
    <s v="CA-2016-113621"/>
    <x v="193"/>
    <d v="2016-12-05T00:00:00"/>
    <x v="1"/>
    <s v="JE-15745"/>
    <s v="Joel Eaton"/>
    <x v="0"/>
    <s v="United States"/>
    <x v="96"/>
    <x v="32"/>
    <x v="2"/>
    <s v="FUR-CH-10001270"/>
    <s v="Furniture"/>
    <x v="1"/>
    <s v="Harbour Creations Steel Folding Chair"/>
    <n v="172.5"/>
    <n v="2"/>
    <n v="0"/>
    <n v="51.75"/>
    <x v="4"/>
    <x v="5"/>
  </r>
  <r>
    <s v="CA-2017-117212"/>
    <x v="194"/>
    <d v="2017-02-28T00:00:00"/>
    <x v="0"/>
    <s v="BT-11530"/>
    <s v="Bradley Talbott"/>
    <x v="2"/>
    <s v="United States"/>
    <x v="2"/>
    <x v="2"/>
    <x v="1"/>
    <s v="FUR-CH-10003973"/>
    <s v="Furniture"/>
    <x v="1"/>
    <s v="GuestStacker Chair with Chrome Finish Legs"/>
    <n v="892.22400000000005"/>
    <n v="3"/>
    <n v="0.2"/>
    <n v="89.222399999999993"/>
    <x v="3"/>
    <x v="11"/>
  </r>
  <r>
    <s v="US-2015-130519"/>
    <x v="195"/>
    <d v="2015-09-15T00:00:00"/>
    <x v="3"/>
    <s v="NG-18355"/>
    <s v="Nat Gilpin"/>
    <x v="1"/>
    <s v="United States"/>
    <x v="97"/>
    <x v="1"/>
    <x v="0"/>
    <s v="FUR-FU-10002268"/>
    <s v="Furniture"/>
    <x v="3"/>
    <s v="Ultra Door Push Plate"/>
    <n v="15.712"/>
    <n v="4"/>
    <n v="0.2"/>
    <n v="2.5531999999999999"/>
    <x v="7"/>
    <x v="4"/>
  </r>
  <r>
    <s v="US-2015-130519"/>
    <x v="195"/>
    <d v="2015-09-15T00:00:00"/>
    <x v="3"/>
    <s v="NG-18355"/>
    <s v="Nat Gilpin"/>
    <x v="1"/>
    <s v="United States"/>
    <x v="97"/>
    <x v="1"/>
    <x v="0"/>
    <s v="FUR-FU-10003394"/>
    <s v="Furniture"/>
    <x v="3"/>
    <s v="Tenex &quot;The Solids&quot; Textured Chair Mats"/>
    <n v="55.968000000000004"/>
    <n v="1"/>
    <n v="0.2"/>
    <n v="-2.0988000000000002"/>
    <x v="7"/>
    <x v="4"/>
  </r>
  <r>
    <s v="CA-2016-130946"/>
    <x v="57"/>
    <d v="2016-04-12T00:00:00"/>
    <x v="1"/>
    <s v="ZC-21910"/>
    <s v="Zuschuss Carroll"/>
    <x v="0"/>
    <s v="United States"/>
    <x v="6"/>
    <x v="5"/>
    <x v="3"/>
    <s v="FUR-CH-10004540"/>
    <s v="Furniture"/>
    <x v="1"/>
    <s v="Global Chrome Stack Chair"/>
    <n v="95.983999999999995"/>
    <n v="4"/>
    <n v="0.3"/>
    <n v="-4.1135999999999999"/>
    <x v="4"/>
    <x v="6"/>
  </r>
  <r>
    <s v="CA-2016-114727"/>
    <x v="196"/>
    <d v="2016-07-24T00:00:00"/>
    <x v="1"/>
    <s v="LS-16945"/>
    <s v="Linda Southworth"/>
    <x v="1"/>
    <s v="United States"/>
    <x v="22"/>
    <x v="12"/>
    <x v="1"/>
    <s v="FUR-CH-10002335"/>
    <s v="Furniture"/>
    <x v="1"/>
    <s v="Hon GuestStacker Chair"/>
    <n v="544.00800000000004"/>
    <n v="3"/>
    <n v="0.2"/>
    <n v="40.800600000000003"/>
    <x v="6"/>
    <x v="3"/>
  </r>
  <r>
    <s v="CA-2016-114727"/>
    <x v="196"/>
    <d v="2016-07-24T00:00:00"/>
    <x v="1"/>
    <s v="LS-16945"/>
    <s v="Linda Southworth"/>
    <x v="1"/>
    <s v="United States"/>
    <x v="22"/>
    <x v="12"/>
    <x v="1"/>
    <s v="FUR-CH-10002331"/>
    <s v="Furniture"/>
    <x v="1"/>
    <s v="Hon 4700 Series Mobuis Mid-Back Task Chairs with Adjustable Arms"/>
    <n v="854.35199999999998"/>
    <n v="3"/>
    <n v="0.2"/>
    <n v="10.679399999999999"/>
    <x v="6"/>
    <x v="3"/>
  </r>
  <r>
    <s v="CA-2016-137050"/>
    <x v="197"/>
    <d v="2016-07-18T00:00:00"/>
    <x v="0"/>
    <s v="SW-20755"/>
    <s v="Steven Ward"/>
    <x v="1"/>
    <s v="United States"/>
    <x v="13"/>
    <x v="7"/>
    <x v="2"/>
    <s v="FUR-BO-10004695"/>
    <s v="Furniture"/>
    <x v="0"/>
    <s v="O'Sullivan 2-Door Barrister Bookcase in Odessa Pine"/>
    <n v="579.13599999999997"/>
    <n v="4"/>
    <n v="0.2"/>
    <n v="21.717600000000001"/>
    <x v="4"/>
    <x v="3"/>
  </r>
  <r>
    <s v="US-2017-118087"/>
    <x v="198"/>
    <d v="2017-09-13T00:00:00"/>
    <x v="1"/>
    <s v="SP-20620"/>
    <s v="Stefania Perrino"/>
    <x v="1"/>
    <s v="United States"/>
    <x v="3"/>
    <x v="3"/>
    <x v="2"/>
    <s v="FUR-CH-10004860"/>
    <s v="Furniture"/>
    <x v="1"/>
    <s v="Global Low Back Tilter Chair"/>
    <n v="141.37200000000001"/>
    <n v="2"/>
    <n v="0.3"/>
    <n v="-48.470399999999998"/>
    <x v="4"/>
    <x v="4"/>
  </r>
  <r>
    <s v="US-2017-118087"/>
    <x v="198"/>
    <d v="2017-09-13T00:00:00"/>
    <x v="1"/>
    <s v="SP-20620"/>
    <s v="Stefania Perrino"/>
    <x v="1"/>
    <s v="United States"/>
    <x v="3"/>
    <x v="3"/>
    <x v="2"/>
    <s v="FUR-FU-10001867"/>
    <s v="Furniture"/>
    <x v="3"/>
    <s v="Eldon Expressions Punched Metal &amp; Wood Desk Accessories, Pewter &amp; Cherry"/>
    <n v="17.024000000000001"/>
    <n v="2"/>
    <n v="0.2"/>
    <n v="1.7023999999999999"/>
    <x v="4"/>
    <x v="4"/>
  </r>
  <r>
    <s v="CA-2016-126004"/>
    <x v="199"/>
    <d v="2016-12-05T00:00:00"/>
    <x v="2"/>
    <s v="BM-11140"/>
    <s v="Becky Martin"/>
    <x v="0"/>
    <s v="United States"/>
    <x v="13"/>
    <x v="7"/>
    <x v="2"/>
    <s v="FUR-FU-10001602"/>
    <s v="Furniture"/>
    <x v="3"/>
    <s v="Eldon Delta Triangular Chair Mat, 52&quot; x 58&quot;, Clear"/>
    <n v="113.79"/>
    <n v="3"/>
    <n v="0"/>
    <n v="20.482199999999999"/>
    <x v="5"/>
    <x v="5"/>
  </r>
  <r>
    <s v="CA-2017-100013"/>
    <x v="200"/>
    <d v="2017-11-11T00:00:00"/>
    <x v="1"/>
    <s v="ZC-21910"/>
    <s v="Zuschuss Carroll"/>
    <x v="0"/>
    <s v="United States"/>
    <x v="2"/>
    <x v="2"/>
    <x v="1"/>
    <s v="FUR-FU-10001424"/>
    <s v="Furniture"/>
    <x v="3"/>
    <s v="Dax Clear Box Frame"/>
    <n v="8.73"/>
    <n v="1"/>
    <n v="0"/>
    <n v="2.9681999999999999"/>
    <x v="2"/>
    <x v="0"/>
  </r>
  <r>
    <s v="CA-2016-144344"/>
    <x v="48"/>
    <d v="2016-10-28T00:00:00"/>
    <x v="3"/>
    <s v="PG-18820"/>
    <s v="Patrick Gardner"/>
    <x v="0"/>
    <s v="United States"/>
    <x v="98"/>
    <x v="1"/>
    <x v="0"/>
    <s v="FUR-FU-10000076"/>
    <s v="Furniture"/>
    <x v="3"/>
    <s v="24-Hour Round Wall Clock"/>
    <n v="47.951999999999998"/>
    <n v="3"/>
    <n v="0.2"/>
    <n v="13.786199999999999"/>
    <x v="7"/>
    <x v="1"/>
  </r>
  <r>
    <s v="CA-2016-144344"/>
    <x v="48"/>
    <d v="2016-10-28T00:00:00"/>
    <x v="3"/>
    <s v="PG-18820"/>
    <s v="Patrick Gardner"/>
    <x v="0"/>
    <s v="United States"/>
    <x v="98"/>
    <x v="1"/>
    <x v="0"/>
    <s v="FUR-FU-10003268"/>
    <s v="Furniture"/>
    <x v="3"/>
    <s v="Eldon Radial Chair Mat for Low to Medium Pile Carpets"/>
    <n v="63.968000000000004"/>
    <n v="2"/>
    <n v="0.2"/>
    <n v="0"/>
    <x v="7"/>
    <x v="1"/>
  </r>
  <r>
    <s v="CA-2016-144344"/>
    <x v="48"/>
    <d v="2016-10-28T00:00:00"/>
    <x v="3"/>
    <s v="PG-18820"/>
    <s v="Patrick Gardner"/>
    <x v="0"/>
    <s v="United States"/>
    <x v="98"/>
    <x v="1"/>
    <x v="0"/>
    <s v="FUR-FU-10003553"/>
    <s v="Furniture"/>
    <x v="3"/>
    <s v="Howard Miller 13-1/2&quot; Diameter Rosebrook Wall Clock"/>
    <n v="165.048"/>
    <n v="3"/>
    <n v="0.2"/>
    <n v="41.262"/>
    <x v="7"/>
    <x v="1"/>
  </r>
  <r>
    <s v="CA-2014-127012"/>
    <x v="201"/>
    <d v="2014-08-15T00:00:00"/>
    <x v="1"/>
    <s v="GM-14680"/>
    <s v="Greg Matthias"/>
    <x v="0"/>
    <s v="United States"/>
    <x v="15"/>
    <x v="13"/>
    <x v="1"/>
    <s v="FUR-FU-10003691"/>
    <s v="Furniture"/>
    <x v="3"/>
    <s v="Eldon Image Series Desk Accessories, Ebony"/>
    <n v="12.35"/>
    <n v="1"/>
    <n v="0"/>
    <n v="5.4340000000000002"/>
    <x v="4"/>
    <x v="10"/>
  </r>
  <r>
    <s v="CA-2014-168494"/>
    <x v="202"/>
    <d v="2014-12-14T00:00:00"/>
    <x v="0"/>
    <s v="NP-18700"/>
    <s v="Nora Preis"/>
    <x v="0"/>
    <s v="United States"/>
    <x v="99"/>
    <x v="2"/>
    <x v="1"/>
    <s v="FUR-TA-10004619"/>
    <s v="Furniture"/>
    <x v="2"/>
    <s v="Hon Non-Folding Utility Tables"/>
    <n v="764.68799999999999"/>
    <n v="6"/>
    <n v="0.2"/>
    <n v="95.585999999999999"/>
    <x v="3"/>
    <x v="5"/>
  </r>
  <r>
    <s v="CA-2014-168494"/>
    <x v="202"/>
    <d v="2014-12-14T00:00:00"/>
    <x v="0"/>
    <s v="NP-18700"/>
    <s v="Nora Preis"/>
    <x v="0"/>
    <s v="United States"/>
    <x v="99"/>
    <x v="2"/>
    <x v="1"/>
    <s v="FUR-TA-10003473"/>
    <s v="Furniture"/>
    <x v="2"/>
    <s v="Bretford Rectangular Conference Table Tops"/>
    <n v="3610.848"/>
    <n v="12"/>
    <n v="0.2"/>
    <n v="135.4068"/>
    <x v="3"/>
    <x v="5"/>
  </r>
  <r>
    <s v="CA-2014-168494"/>
    <x v="202"/>
    <d v="2014-12-14T00:00:00"/>
    <x v="0"/>
    <s v="NP-18700"/>
    <s v="Nora Preis"/>
    <x v="0"/>
    <s v="United States"/>
    <x v="99"/>
    <x v="2"/>
    <x v="1"/>
    <s v="FUR-BO-10004467"/>
    <s v="Furniture"/>
    <x v="0"/>
    <s v="Bestar Classic Bookcase"/>
    <n v="254.97450000000001"/>
    <n v="3"/>
    <n v="0.15"/>
    <n v="11.998799999999999"/>
    <x v="3"/>
    <x v="5"/>
  </r>
  <r>
    <s v="CA-2017-115602"/>
    <x v="186"/>
    <d v="2017-12-24T00:00:00"/>
    <x v="1"/>
    <s v="DJ-13630"/>
    <s v="Doug Jacobs"/>
    <x v="0"/>
    <s v="United States"/>
    <x v="13"/>
    <x v="7"/>
    <x v="2"/>
    <s v="FUR-CH-10001708"/>
    <s v="Furniture"/>
    <x v="1"/>
    <s v="Office Star - Contemporary Swivel Chair with Padded Adjustable Arms and Flex Back"/>
    <n v="1141.9380000000001"/>
    <n v="9"/>
    <n v="0.1"/>
    <n v="139.5702"/>
    <x v="6"/>
    <x v="5"/>
  </r>
  <r>
    <s v="CA-2017-144638"/>
    <x v="203"/>
    <d v="2017-03-14T00:00:00"/>
    <x v="1"/>
    <s v="MH-18115"/>
    <s v="Mick Hernandez"/>
    <x v="2"/>
    <s v="United States"/>
    <x v="100"/>
    <x v="3"/>
    <x v="2"/>
    <s v="FUR-FU-10003724"/>
    <s v="Furniture"/>
    <x v="3"/>
    <s v="Westinghouse Clip-On Gooseneck Lamps"/>
    <n v="6.6959999999999997"/>
    <n v="1"/>
    <n v="0.2"/>
    <n v="0.50219999999999998"/>
    <x v="4"/>
    <x v="9"/>
  </r>
  <r>
    <s v="CA-2017-144638"/>
    <x v="203"/>
    <d v="2017-03-14T00:00:00"/>
    <x v="1"/>
    <s v="MH-18115"/>
    <s v="Mick Hernandez"/>
    <x v="2"/>
    <s v="United States"/>
    <x v="100"/>
    <x v="3"/>
    <x v="2"/>
    <s v="FUR-FU-10003535"/>
    <s v="Furniture"/>
    <x v="3"/>
    <s v="Howard Miller Distant Time Traveler Alarm Clock"/>
    <n v="43.872"/>
    <n v="2"/>
    <n v="0.2"/>
    <n v="11.516400000000001"/>
    <x v="4"/>
    <x v="9"/>
  </r>
  <r>
    <s v="CA-2016-155992"/>
    <x v="180"/>
    <d v="2016-10-02T00:00:00"/>
    <x v="2"/>
    <s v="CC-12220"/>
    <s v="Chris Cortes"/>
    <x v="0"/>
    <s v="United States"/>
    <x v="101"/>
    <x v="6"/>
    <x v="3"/>
    <s v="FUR-FU-10003724"/>
    <s v="Furniture"/>
    <x v="3"/>
    <s v="Westinghouse Clip-On Gooseneck Lamps"/>
    <n v="41.85"/>
    <n v="5"/>
    <n v="0"/>
    <n v="10.881"/>
    <x v="5"/>
    <x v="1"/>
  </r>
  <r>
    <s v="US-2014-167738"/>
    <x v="109"/>
    <d v="2014-12-29T00:00:00"/>
    <x v="1"/>
    <s v="JC-16105"/>
    <s v="Julie Creighton"/>
    <x v="1"/>
    <s v="United States"/>
    <x v="2"/>
    <x v="2"/>
    <x v="1"/>
    <s v="FUR-CH-10001146"/>
    <s v="Furniture"/>
    <x v="1"/>
    <s v="Global Value Mid-Back Manager's Chair, Gray"/>
    <n v="292.27199999999999"/>
    <n v="6"/>
    <n v="0.2"/>
    <n v="18.266999999999999"/>
    <x v="2"/>
    <x v="5"/>
  </r>
  <r>
    <s v="CA-2017-121412"/>
    <x v="204"/>
    <d v="2017-09-27T00:00:00"/>
    <x v="1"/>
    <s v="BG-11695"/>
    <s v="Brooke Gillingham"/>
    <x v="1"/>
    <s v="United States"/>
    <x v="74"/>
    <x v="12"/>
    <x v="1"/>
    <s v="FUR-FU-10000246"/>
    <s v="Furniture"/>
    <x v="3"/>
    <s v="Aluminum Document Frame"/>
    <n v="29.327999999999999"/>
    <n v="3"/>
    <n v="0.2"/>
    <n v="3.6659999999999999"/>
    <x v="4"/>
    <x v="4"/>
  </r>
  <r>
    <s v="CA-2016-119186"/>
    <x v="205"/>
    <d v="2016-05-26T00:00:00"/>
    <x v="3"/>
    <s v="MS-17710"/>
    <s v="Maurice Satty"/>
    <x v="0"/>
    <s v="United States"/>
    <x v="50"/>
    <x v="5"/>
    <x v="3"/>
    <s v="FUR-CH-10001973"/>
    <s v="Furniture"/>
    <x v="1"/>
    <s v="Office Star Flex Back Scooter Chair with White Frame"/>
    <n v="388.43"/>
    <n v="5"/>
    <n v="0.3"/>
    <n v="-88.784000000000006"/>
    <x v="7"/>
    <x v="7"/>
  </r>
  <r>
    <s v="CA-2016-154711"/>
    <x v="206"/>
    <d v="2016-11-26T00:00:00"/>
    <x v="1"/>
    <s v="TB-21355"/>
    <s v="Todd Boyes"/>
    <x v="1"/>
    <s v="United States"/>
    <x v="13"/>
    <x v="7"/>
    <x v="2"/>
    <s v="FUR-FU-10000397"/>
    <s v="Furniture"/>
    <x v="3"/>
    <s v="Luxo Economy Swing Arm Lamp"/>
    <n v="39.880000000000003"/>
    <n v="2"/>
    <n v="0"/>
    <n v="11.166399999999999"/>
    <x v="4"/>
    <x v="0"/>
  </r>
  <r>
    <s v="CA-2016-137043"/>
    <x v="207"/>
    <d v="2016-12-25T00:00:00"/>
    <x v="0"/>
    <s v="LC-17140"/>
    <s v="Logan Currie"/>
    <x v="0"/>
    <s v="United States"/>
    <x v="76"/>
    <x v="25"/>
    <x v="0"/>
    <s v="FUR-FU-10003664"/>
    <s v="Furniture"/>
    <x v="3"/>
    <s v="Electrix Architect's Clamp-On Swing Arm Lamp, Black"/>
    <n v="572.76"/>
    <n v="6"/>
    <n v="0"/>
    <n v="166.10040000000001"/>
    <x v="3"/>
    <x v="5"/>
  </r>
  <r>
    <s v="CA-2016-137043"/>
    <x v="207"/>
    <d v="2016-12-25T00:00:00"/>
    <x v="0"/>
    <s v="LC-17140"/>
    <s v="Logan Currie"/>
    <x v="0"/>
    <s v="United States"/>
    <x v="76"/>
    <x v="25"/>
    <x v="0"/>
    <s v="FUR-FU-10003664"/>
    <s v="Furniture"/>
    <x v="3"/>
    <s v="Electrix Architect's Clamp-On Swing Arm Lamp, Black"/>
    <n v="286.38"/>
    <n v="3"/>
    <n v="0"/>
    <n v="83.050200000000004"/>
    <x v="3"/>
    <x v="5"/>
  </r>
  <r>
    <s v="CA-2015-115847"/>
    <x v="208"/>
    <d v="2015-09-24T00:00:00"/>
    <x v="0"/>
    <s v="TC-21535"/>
    <s v="Tracy Collins"/>
    <x v="2"/>
    <s v="United States"/>
    <x v="58"/>
    <x v="25"/>
    <x v="0"/>
    <s v="FUR-BO-10003433"/>
    <s v="Furniture"/>
    <x v="0"/>
    <s v="Sauder Cornerstone Collection Library"/>
    <n v="61.96"/>
    <n v="2"/>
    <n v="0"/>
    <n v="4.3372000000000002"/>
    <x v="2"/>
    <x v="4"/>
  </r>
  <r>
    <s v="US-2017-126179"/>
    <x v="209"/>
    <d v="2017-07-07T00:00:00"/>
    <x v="1"/>
    <s v="CS-12460"/>
    <s v="Chuck Sachs"/>
    <x v="0"/>
    <s v="United States"/>
    <x v="29"/>
    <x v="24"/>
    <x v="0"/>
    <s v="FUR-FU-10002554"/>
    <s v="Furniture"/>
    <x v="3"/>
    <s v="Westinghouse Floor Lamp with Metal Mesh Shade, Black"/>
    <n v="23.99"/>
    <n v="1"/>
    <n v="0"/>
    <n v="5.5176999999999996"/>
    <x v="4"/>
    <x v="3"/>
  </r>
  <r>
    <s v="CA-2016-141397"/>
    <x v="210"/>
    <d v="2016-06-21T00:00:00"/>
    <x v="2"/>
    <s v="RC-19825"/>
    <s v="Roy Collins"/>
    <x v="0"/>
    <s v="United States"/>
    <x v="102"/>
    <x v="2"/>
    <x v="1"/>
    <s v="FUR-CH-10003846"/>
    <s v="Furniture"/>
    <x v="1"/>
    <s v="Hon Valutask Swivel Chairs"/>
    <n v="161.56800000000001"/>
    <n v="2"/>
    <n v="0.2"/>
    <n v="-8.0784000000000002"/>
    <x v="5"/>
    <x v="2"/>
  </r>
  <r>
    <s v="US-2016-134488"/>
    <x v="211"/>
    <d v="2016-10-01T00:00:00"/>
    <x v="1"/>
    <s v="PK-19075"/>
    <s v="Pete Kriz"/>
    <x v="0"/>
    <s v="United States"/>
    <x v="29"/>
    <x v="15"/>
    <x v="2"/>
    <s v="FUR-CH-10003199"/>
    <s v="Furniture"/>
    <x v="1"/>
    <s v="Office Star - Contemporary Task Swivel Chair"/>
    <n v="155.37200000000001"/>
    <n v="2"/>
    <n v="0.3"/>
    <n v="-13.317600000000001"/>
    <x v="1"/>
    <x v="4"/>
  </r>
  <r>
    <s v="CA-2016-145919"/>
    <x v="105"/>
    <d v="2016-12-23T00:00:00"/>
    <x v="1"/>
    <s v="HG-14965"/>
    <s v="Henry Goldwyn"/>
    <x v="1"/>
    <s v="United States"/>
    <x v="2"/>
    <x v="2"/>
    <x v="1"/>
    <s v="FUR-FU-10004960"/>
    <s v="Furniture"/>
    <x v="3"/>
    <s v="Seth Thomas 12&quot; Clock w/ Goldtone Case"/>
    <n v="183.84"/>
    <n v="8"/>
    <n v="0"/>
    <n v="62.505600000000001"/>
    <x v="2"/>
    <x v="5"/>
  </r>
  <r>
    <s v="CA-2015-120439"/>
    <x v="212"/>
    <d v="2015-06-18T00:00:00"/>
    <x v="1"/>
    <s v="AD-10180"/>
    <s v="Alan Dominguez"/>
    <x v="2"/>
    <s v="United States"/>
    <x v="3"/>
    <x v="3"/>
    <x v="2"/>
    <s v="FUR-FU-10001867"/>
    <s v="Furniture"/>
    <x v="3"/>
    <s v="Eldon Expressions Punched Metal &amp; Wood Desk Accessories, Pewter &amp; Cherry"/>
    <n v="51.072000000000003"/>
    <n v="6"/>
    <n v="0.2"/>
    <n v="5.1071999999999997"/>
    <x v="4"/>
    <x v="2"/>
  </r>
  <r>
    <s v="CA-2016-142762"/>
    <x v="213"/>
    <d v="2016-05-27T00:00:00"/>
    <x v="1"/>
    <s v="LD-17005"/>
    <s v="Lisa DeCherney"/>
    <x v="0"/>
    <s v="United States"/>
    <x v="28"/>
    <x v="2"/>
    <x v="1"/>
    <s v="FUR-FU-10003691"/>
    <s v="Furniture"/>
    <x v="3"/>
    <s v="Eldon Image Series Desk Accessories, Ebony"/>
    <n v="37.049999999999997"/>
    <n v="3"/>
    <n v="0"/>
    <n v="16.302"/>
    <x v="4"/>
    <x v="7"/>
  </r>
  <r>
    <s v="US-2017-123281"/>
    <x v="214"/>
    <d v="2017-04-07T00:00:00"/>
    <x v="1"/>
    <s v="JF-15190"/>
    <s v="Jamie Frazer"/>
    <x v="0"/>
    <s v="United States"/>
    <x v="2"/>
    <x v="2"/>
    <x v="1"/>
    <s v="FUR-FU-10003724"/>
    <s v="Furniture"/>
    <x v="3"/>
    <s v="Westinghouse Clip-On Gooseneck Lamps"/>
    <n v="25.11"/>
    <n v="3"/>
    <n v="0"/>
    <n v="6.5286"/>
    <x v="2"/>
    <x v="6"/>
  </r>
  <r>
    <s v="CA-2017-100524"/>
    <x v="76"/>
    <d v="2017-04-02T00:00:00"/>
    <x v="0"/>
    <s v="CM-12115"/>
    <s v="Chad McGuire"/>
    <x v="0"/>
    <s v="United States"/>
    <x v="13"/>
    <x v="7"/>
    <x v="2"/>
    <s v="FUR-FU-10004018"/>
    <s v="Furniture"/>
    <x v="3"/>
    <s v="Tensor Computer Mounted Lamp"/>
    <n v="29.78"/>
    <n v="2"/>
    <n v="0"/>
    <n v="8.0405999999999995"/>
    <x v="3"/>
    <x v="9"/>
  </r>
  <r>
    <s v="CA-2014-153976"/>
    <x v="215"/>
    <d v="2014-10-08T00:00:00"/>
    <x v="0"/>
    <s v="BP-11290"/>
    <s v="Beth Paige"/>
    <x v="0"/>
    <s v="United States"/>
    <x v="103"/>
    <x v="8"/>
    <x v="3"/>
    <s v="FUR-CH-10002880"/>
    <s v="Furniture"/>
    <x v="1"/>
    <s v="Global High-Back Leather Tilter, Burgundy"/>
    <n v="258.279"/>
    <n v="3"/>
    <n v="0.3"/>
    <n v="-70.104299999999995"/>
    <x v="2"/>
    <x v="1"/>
  </r>
  <r>
    <s v="CA-2017-162978"/>
    <x v="216"/>
    <d v="2017-05-09T00:00:00"/>
    <x v="1"/>
    <s v="LW-16990"/>
    <s v="Lindsay Williams"/>
    <x v="1"/>
    <s v="United States"/>
    <x v="28"/>
    <x v="2"/>
    <x v="1"/>
    <s v="FUR-TA-10003473"/>
    <s v="Furniture"/>
    <x v="2"/>
    <s v="Bretford Rectangular Conference Table Tops"/>
    <n v="300.904"/>
    <n v="1"/>
    <n v="0.2"/>
    <n v="11.283899999999999"/>
    <x v="2"/>
    <x v="7"/>
  </r>
  <r>
    <s v="CA-2017-160045"/>
    <x v="217"/>
    <d v="2017-04-27T00:00:00"/>
    <x v="2"/>
    <s v="LB-16735"/>
    <s v="Larry Blacks"/>
    <x v="0"/>
    <s v="United States"/>
    <x v="50"/>
    <x v="5"/>
    <x v="3"/>
    <s v="FUR-FU-10000010"/>
    <s v="Furniture"/>
    <x v="3"/>
    <s v="DAX Value U-Channel Document Frames, Easel Back"/>
    <n v="1.988"/>
    <n v="1"/>
    <n v="0.6"/>
    <n v="-1.4413"/>
    <x v="5"/>
    <x v="6"/>
  </r>
  <r>
    <s v="US-2014-151925"/>
    <x v="218"/>
    <d v="2014-10-01T00:00:00"/>
    <x v="0"/>
    <s v="KT-16465"/>
    <s v="Kean Takahito"/>
    <x v="0"/>
    <s v="United States"/>
    <x v="2"/>
    <x v="2"/>
    <x v="1"/>
    <s v="FUR-CH-10002961"/>
    <s v="Furniture"/>
    <x v="1"/>
    <s v="Leather Task Chair, Black"/>
    <n v="145.56800000000001"/>
    <n v="2"/>
    <n v="0.2"/>
    <n v="0"/>
    <x v="2"/>
    <x v="4"/>
  </r>
  <r>
    <s v="US-2017-155425"/>
    <x v="219"/>
    <d v="2017-11-11T00:00:00"/>
    <x v="2"/>
    <s v="AB-10600"/>
    <s v="Ann Blume"/>
    <x v="1"/>
    <s v="United States"/>
    <x v="104"/>
    <x v="22"/>
    <x v="1"/>
    <s v="FUR-CH-10003312"/>
    <s v="Furniture"/>
    <x v="1"/>
    <s v="Hon 2090 ÒPillow SoftÓ Series Mid Back Swivel/Tilt Chairs"/>
    <n v="899.13599999999997"/>
    <n v="4"/>
    <n v="0.2"/>
    <n v="-146.1096"/>
    <x v="5"/>
    <x v="0"/>
  </r>
  <r>
    <s v="CA-2017-133249"/>
    <x v="220"/>
    <d v="2017-07-11T00:00:00"/>
    <x v="2"/>
    <s v="SZ-20035"/>
    <s v="Sam Zeldin"/>
    <x v="2"/>
    <s v="United States"/>
    <x v="105"/>
    <x v="2"/>
    <x v="1"/>
    <s v="FUR-FU-10001588"/>
    <s v="Furniture"/>
    <x v="3"/>
    <s v="Deflect-o SuperTray Unbreakable Stackable Tray, Letter, Black"/>
    <n v="145.9"/>
    <n v="5"/>
    <n v="0"/>
    <n v="62.737000000000002"/>
    <x v="0"/>
    <x v="3"/>
  </r>
  <r>
    <s v="US-2015-103471"/>
    <x v="37"/>
    <d v="2015-12-28T00:00:00"/>
    <x v="1"/>
    <s v="JR-15670"/>
    <s v="Jim Radford"/>
    <x v="0"/>
    <s v="United States"/>
    <x v="30"/>
    <x v="12"/>
    <x v="1"/>
    <s v="FUR-BO-10002613"/>
    <s v="Furniture"/>
    <x v="0"/>
    <s v="Atlantic Metals Mobile 4-Shelf Bookcases, Custom Colors"/>
    <n v="590.05799999999999"/>
    <n v="7"/>
    <n v="0.7"/>
    <n v="-786.74400000000003"/>
    <x v="4"/>
    <x v="5"/>
  </r>
  <r>
    <s v="CA-2015-120362"/>
    <x v="221"/>
    <d v="2015-09-19T00:00:00"/>
    <x v="1"/>
    <s v="CA-12265"/>
    <s v="Christina Anderson"/>
    <x v="0"/>
    <s v="United States"/>
    <x v="106"/>
    <x v="4"/>
    <x v="1"/>
    <s v="FUR-TA-10003008"/>
    <s v="Furniture"/>
    <x v="2"/>
    <s v="Lesro Round Back Collection Coffee Table, End Table"/>
    <n v="912.75"/>
    <n v="5"/>
    <n v="0"/>
    <n v="118.6575"/>
    <x v="2"/>
    <x v="4"/>
  </r>
  <r>
    <s v="US-2016-100566"/>
    <x v="222"/>
    <d v="2016-09-09T00:00:00"/>
    <x v="1"/>
    <s v="JK-16120"/>
    <s v="Julie Kriz"/>
    <x v="2"/>
    <s v="United States"/>
    <x v="14"/>
    <x v="8"/>
    <x v="3"/>
    <s v="FUR-FU-10003394"/>
    <s v="Furniture"/>
    <x v="3"/>
    <s v="Tenex &quot;The Solids&quot; Textured Chair Mats"/>
    <n v="83.951999999999998"/>
    <n v="3"/>
    <n v="0.6"/>
    <n v="-90.248400000000004"/>
    <x v="6"/>
    <x v="4"/>
  </r>
  <r>
    <s v="US-2016-108504"/>
    <x v="223"/>
    <d v="2016-02-05T00:00:00"/>
    <x v="3"/>
    <s v="PP-18955"/>
    <s v="Paul Prost"/>
    <x v="2"/>
    <s v="United States"/>
    <x v="107"/>
    <x v="24"/>
    <x v="0"/>
    <s v="FUR-FU-10004091"/>
    <s v="Furniture"/>
    <x v="3"/>
    <s v="Eldon 200 Class Desk Accessories, Black"/>
    <n v="18.84"/>
    <n v="3"/>
    <n v="0"/>
    <n v="7.1592000000000002"/>
    <x v="7"/>
    <x v="11"/>
  </r>
  <r>
    <s v="US-2016-108504"/>
    <x v="223"/>
    <d v="2016-02-05T00:00:00"/>
    <x v="3"/>
    <s v="PP-18955"/>
    <s v="Paul Prost"/>
    <x v="2"/>
    <s v="United States"/>
    <x v="107"/>
    <x v="24"/>
    <x v="0"/>
    <s v="FUR-BO-10004015"/>
    <s v="Furniture"/>
    <x v="0"/>
    <s v="Bush Andora Bookcase, Maple/Graphite Gray Finish"/>
    <n v="239.98"/>
    <n v="2"/>
    <n v="0"/>
    <n v="52.7956"/>
    <x v="7"/>
    <x v="11"/>
  </r>
  <r>
    <s v="US-2017-117247"/>
    <x v="224"/>
    <d v="2017-10-14T00:00:00"/>
    <x v="1"/>
    <s v="CK-12760"/>
    <s v="Cyma Kinney"/>
    <x v="1"/>
    <s v="United States"/>
    <x v="14"/>
    <x v="8"/>
    <x v="3"/>
    <s v="FUR-TA-10002958"/>
    <s v="Furniture"/>
    <x v="2"/>
    <s v="Bevis Oval Conference Table, Walnut"/>
    <n v="652.45000000000005"/>
    <n v="5"/>
    <n v="0.5"/>
    <n v="-430.61700000000002"/>
    <x v="2"/>
    <x v="1"/>
  </r>
  <r>
    <s v="US-2017-117247"/>
    <x v="224"/>
    <d v="2017-10-14T00:00:00"/>
    <x v="1"/>
    <s v="CK-12760"/>
    <s v="Cyma Kinney"/>
    <x v="1"/>
    <s v="United States"/>
    <x v="14"/>
    <x v="8"/>
    <x v="3"/>
    <s v="FUR-TA-10001676"/>
    <s v="Furniture"/>
    <x v="2"/>
    <s v="Hon 61000 Series Interactive Training Tables"/>
    <n v="66.644999999999996"/>
    <n v="3"/>
    <n v="0.5"/>
    <n v="-42.652799999999999"/>
    <x v="2"/>
    <x v="1"/>
  </r>
  <r>
    <s v="US-2016-161396"/>
    <x v="225"/>
    <d v="2016-04-25T00:00:00"/>
    <x v="1"/>
    <s v="GM-14455"/>
    <s v="Gary Mitchum"/>
    <x v="2"/>
    <s v="United States"/>
    <x v="29"/>
    <x v="15"/>
    <x v="2"/>
    <s v="FUR-TA-10002622"/>
    <s v="Furniture"/>
    <x v="2"/>
    <s v="Bush Andora Conference Table, Maple/Graphite Gray Finish"/>
    <n v="205.17599999999999"/>
    <n v="2"/>
    <n v="0.4"/>
    <n v="-58.133200000000002"/>
    <x v="6"/>
    <x v="6"/>
  </r>
  <r>
    <s v="US-2014-118486"/>
    <x v="226"/>
    <d v="2014-04-08T00:00:00"/>
    <x v="2"/>
    <s v="SD-20485"/>
    <s v="Shirley Daniels"/>
    <x v="2"/>
    <s v="United States"/>
    <x v="3"/>
    <x v="3"/>
    <x v="2"/>
    <s v="FUR-TA-10001039"/>
    <s v="Furniture"/>
    <x v="2"/>
    <s v="KI Adjustable-Height Table"/>
    <n v="154.76400000000001"/>
    <n v="3"/>
    <n v="0.4"/>
    <n v="-36.111600000000003"/>
    <x v="3"/>
    <x v="6"/>
  </r>
  <r>
    <s v="CA-2016-130407"/>
    <x v="227"/>
    <d v="2016-09-06T00:00:00"/>
    <x v="1"/>
    <s v="KD-16270"/>
    <s v="Karen Daniels"/>
    <x v="0"/>
    <s v="United States"/>
    <x v="13"/>
    <x v="7"/>
    <x v="2"/>
    <s v="FUR-FU-10001967"/>
    <s v="Furniture"/>
    <x v="3"/>
    <s v="Telescoping Adjustable Floor Lamp"/>
    <n v="39.979999999999997"/>
    <n v="2"/>
    <n v="0"/>
    <n v="9.9949999999999992"/>
    <x v="4"/>
    <x v="4"/>
  </r>
  <r>
    <s v="US-2016-122245"/>
    <x v="228"/>
    <d v="2016-09-30T00:00:00"/>
    <x v="1"/>
    <s v="AB-10105"/>
    <s v="Adrian Barton"/>
    <x v="0"/>
    <s v="United States"/>
    <x v="43"/>
    <x v="22"/>
    <x v="1"/>
    <s v="FUR-TA-10002356"/>
    <s v="Furniture"/>
    <x v="2"/>
    <s v="Bevis Boat-Shaped Conference Table"/>
    <n v="393.16500000000002"/>
    <n v="3"/>
    <n v="0.5"/>
    <n v="-204.44579999999999"/>
    <x v="2"/>
    <x v="4"/>
  </r>
  <r>
    <s v="CA-2016-136329"/>
    <x v="229"/>
    <d v="2016-07-13T00:00:00"/>
    <x v="1"/>
    <s v="JD-15895"/>
    <s v="Jonathan Doherty"/>
    <x v="1"/>
    <s v="United States"/>
    <x v="13"/>
    <x v="7"/>
    <x v="2"/>
    <s v="FUR-CH-10002335"/>
    <s v="Furniture"/>
    <x v="1"/>
    <s v="Hon GuestStacker Chair"/>
    <n v="408.00599999999997"/>
    <n v="2"/>
    <n v="0.1"/>
    <n v="72.534400000000005"/>
    <x v="4"/>
    <x v="3"/>
  </r>
  <r>
    <s v="CA-2016-136329"/>
    <x v="229"/>
    <d v="2016-07-13T00:00:00"/>
    <x v="1"/>
    <s v="JD-15895"/>
    <s v="Jonathan Doherty"/>
    <x v="1"/>
    <s v="United States"/>
    <x v="13"/>
    <x v="7"/>
    <x v="2"/>
    <s v="FUR-FU-10000723"/>
    <s v="Furniture"/>
    <x v="3"/>
    <s v="Deflect-o EconoMat Studded, No Bevel Mat for Low Pile Carpeting"/>
    <n v="165.28"/>
    <n v="4"/>
    <n v="0"/>
    <n v="14.8752"/>
    <x v="4"/>
    <x v="3"/>
  </r>
  <r>
    <s v="CA-2017-115994"/>
    <x v="230"/>
    <d v="2017-01-31T00:00:00"/>
    <x v="0"/>
    <s v="BT-11305"/>
    <s v="Beth Thompson"/>
    <x v="2"/>
    <s v="United States"/>
    <x v="46"/>
    <x v="2"/>
    <x v="1"/>
    <s v="FUR-FU-10003976"/>
    <s v="Furniture"/>
    <x v="3"/>
    <s v="DAX Executive Solid Wood Document Frame, Desktop or Hang, Mahogany, 5 x 7"/>
    <n v="37.74"/>
    <n v="3"/>
    <n v="0"/>
    <n v="12.8316"/>
    <x v="0"/>
    <x v="8"/>
  </r>
  <r>
    <s v="CA-2015-126697"/>
    <x v="231"/>
    <d v="2015-09-24T00:00:00"/>
    <x v="2"/>
    <s v="SV-20815"/>
    <s v="Stuart Van"/>
    <x v="1"/>
    <s v="United States"/>
    <x v="6"/>
    <x v="5"/>
    <x v="3"/>
    <s v="FUR-FU-10001706"/>
    <s v="Furniture"/>
    <x v="3"/>
    <s v="Longer-Life Soft White Bulbs"/>
    <n v="4.9279999999999999"/>
    <n v="4"/>
    <n v="0.6"/>
    <n v="-1.4783999999999999"/>
    <x v="0"/>
    <x v="4"/>
  </r>
  <r>
    <s v="CA-2014-120768"/>
    <x v="232"/>
    <d v="2014-12-21T00:00:00"/>
    <x v="0"/>
    <s v="IM-15070"/>
    <s v="Irene Maddox"/>
    <x v="0"/>
    <s v="United States"/>
    <x v="73"/>
    <x v="33"/>
    <x v="0"/>
    <s v="FUR-CH-10000513"/>
    <s v="Furniture"/>
    <x v="1"/>
    <s v="High-Back Leather Manager's Chair"/>
    <n v="1819.86"/>
    <n v="14"/>
    <n v="0"/>
    <n v="163.78739999999999"/>
    <x v="3"/>
    <x v="5"/>
  </r>
  <r>
    <s v="CA-2015-139731"/>
    <x v="233"/>
    <d v="2015-10-15T00:00:00"/>
    <x v="3"/>
    <s v="JE-15745"/>
    <s v="Joel Eaton"/>
    <x v="0"/>
    <s v="United States"/>
    <x v="45"/>
    <x v="5"/>
    <x v="3"/>
    <s v="FUR-CH-10002024"/>
    <s v="Furniture"/>
    <x v="1"/>
    <s v="HON 5400 Series Task Chairs for Big and Tall"/>
    <n v="2453.4299999999998"/>
    <n v="5"/>
    <n v="0.3"/>
    <n v="-350.49"/>
    <x v="7"/>
    <x v="1"/>
  </r>
  <r>
    <s v="CA-2017-102337"/>
    <x v="234"/>
    <d v="2017-06-16T00:00:00"/>
    <x v="2"/>
    <s v="SD-20485"/>
    <s v="Shirley Daniels"/>
    <x v="2"/>
    <s v="United States"/>
    <x v="9"/>
    <x v="8"/>
    <x v="3"/>
    <s v="FUR-CH-10004289"/>
    <s v="Furniture"/>
    <x v="1"/>
    <s v="Global Super Steno Chair"/>
    <n v="470.30200000000002"/>
    <n v="7"/>
    <n v="0.3"/>
    <n v="-87.341800000000006"/>
    <x v="0"/>
    <x v="2"/>
  </r>
  <r>
    <s v="CA-2017-148474"/>
    <x v="235"/>
    <d v="2017-06-19T00:00:00"/>
    <x v="1"/>
    <s v="ME-17320"/>
    <s v="Maria Etezadi"/>
    <x v="2"/>
    <s v="United States"/>
    <x v="29"/>
    <x v="24"/>
    <x v="0"/>
    <s v="FUR-TA-10002530"/>
    <s v="Furniture"/>
    <x v="2"/>
    <s v="Iceberg OfficeWorks 42&quot; Round Tables"/>
    <n v="452.94"/>
    <n v="3"/>
    <n v="0"/>
    <n v="67.941000000000003"/>
    <x v="1"/>
    <x v="2"/>
  </r>
  <r>
    <s v="CA-2014-155271"/>
    <x v="236"/>
    <d v="2014-05-04T00:00:00"/>
    <x v="3"/>
    <s v="AA-10480"/>
    <s v="Andrew Allen"/>
    <x v="0"/>
    <s v="United States"/>
    <x v="108"/>
    <x v="19"/>
    <x v="2"/>
    <s v="FUR-FU-10001473"/>
    <s v="Furniture"/>
    <x v="3"/>
    <s v="DAX Wood Document Frame"/>
    <n v="27.46"/>
    <n v="2"/>
    <n v="0"/>
    <n v="9.8856000000000002"/>
    <x v="7"/>
    <x v="7"/>
  </r>
  <r>
    <s v="US-2016-128902"/>
    <x v="237"/>
    <d v="2016-03-15T00:00:00"/>
    <x v="1"/>
    <s v="MB-18085"/>
    <s v="Mick Brown"/>
    <x v="0"/>
    <s v="United States"/>
    <x v="109"/>
    <x v="18"/>
    <x v="2"/>
    <s v="FUR-TA-10001095"/>
    <s v="Furniture"/>
    <x v="2"/>
    <s v="Chromcraft Round Conference Tables"/>
    <n v="244.006"/>
    <n v="2"/>
    <n v="0.3"/>
    <n v="-31.372199999999999"/>
    <x v="4"/>
    <x v="9"/>
  </r>
  <r>
    <s v="CA-2016-152289"/>
    <x v="238"/>
    <d v="2016-08-28T00:00:00"/>
    <x v="2"/>
    <s v="LC-16930"/>
    <s v="Linda Cazamias"/>
    <x v="1"/>
    <s v="United States"/>
    <x v="102"/>
    <x v="5"/>
    <x v="3"/>
    <s v="FUR-CH-10002126"/>
    <s v="Furniture"/>
    <x v="1"/>
    <s v="Hon Deluxe Fabric Upholstered Stacking Chairs"/>
    <n v="1024.7159999999999"/>
    <n v="6"/>
    <n v="0.3"/>
    <n v="-29.2776"/>
    <x v="3"/>
    <x v="10"/>
  </r>
  <r>
    <s v="CA-2014-151708"/>
    <x v="98"/>
    <d v="2014-08-14T00:00:00"/>
    <x v="1"/>
    <s v="MB-17305"/>
    <s v="Maria Bertelson"/>
    <x v="0"/>
    <s v="United States"/>
    <x v="110"/>
    <x v="22"/>
    <x v="1"/>
    <s v="FUR-FU-10001602"/>
    <s v="Furniture"/>
    <x v="3"/>
    <s v="Eldon Delta Triangular Chair Mat, 52&quot; x 58&quot;, Clear"/>
    <n v="121.376"/>
    <n v="4"/>
    <n v="0.2"/>
    <n v="-3.0344000000000002"/>
    <x v="6"/>
    <x v="10"/>
  </r>
  <r>
    <s v="CA-2017-139199"/>
    <x v="13"/>
    <d v="2017-12-13T00:00:00"/>
    <x v="1"/>
    <s v="DK-12835"/>
    <s v="Damala Kotsonis"/>
    <x v="1"/>
    <s v="United States"/>
    <x v="25"/>
    <x v="17"/>
    <x v="3"/>
    <s v="FUR-CH-10000847"/>
    <s v="Furniture"/>
    <x v="1"/>
    <s v="Global Executive Mid-Back Manager's Chair"/>
    <n v="872.94"/>
    <n v="3"/>
    <n v="0"/>
    <n v="226.96440000000001"/>
    <x v="4"/>
    <x v="5"/>
  </r>
  <r>
    <s v="US-2015-105676"/>
    <x v="239"/>
    <d v="2015-12-02T00:00:00"/>
    <x v="3"/>
    <s v="NM-18520"/>
    <s v="Neoma Murray"/>
    <x v="0"/>
    <s v="United States"/>
    <x v="6"/>
    <x v="5"/>
    <x v="3"/>
    <s v="FUR-FU-10004270"/>
    <s v="Furniture"/>
    <x v="3"/>
    <s v="Eldon Image Series Desk Accessories, Burgundy"/>
    <n v="6.6879999999999997"/>
    <n v="4"/>
    <n v="0.6"/>
    <n v="-4.0128000000000004"/>
    <x v="5"/>
    <x v="5"/>
  </r>
  <r>
    <s v="CA-2015-140410"/>
    <x v="240"/>
    <d v="2015-11-07T00:00:00"/>
    <x v="1"/>
    <s v="CM-12655"/>
    <s v="Corinna Mitchell"/>
    <x v="2"/>
    <s v="United States"/>
    <x v="2"/>
    <x v="2"/>
    <x v="1"/>
    <s v="FUR-FU-10003347"/>
    <s v="Furniture"/>
    <x v="3"/>
    <s v="Coloredge Poster Frame"/>
    <n v="42.6"/>
    <n v="3"/>
    <n v="0"/>
    <n v="16.614000000000001"/>
    <x v="4"/>
    <x v="0"/>
  </r>
  <r>
    <s v="CA-2017-166436"/>
    <x v="241"/>
    <d v="2017-11-28T00:00:00"/>
    <x v="1"/>
    <s v="TS-21370"/>
    <s v="Todd Sumrall"/>
    <x v="1"/>
    <s v="United States"/>
    <x v="13"/>
    <x v="7"/>
    <x v="2"/>
    <s v="FUR-CH-10000785"/>
    <s v="Furniture"/>
    <x v="1"/>
    <s v="Global Ergonomic Managers Chair"/>
    <n v="977.29200000000003"/>
    <n v="6"/>
    <n v="0.1"/>
    <n v="173.74080000000001"/>
    <x v="4"/>
    <x v="0"/>
  </r>
  <r>
    <s v="CA-2017-139661"/>
    <x v="242"/>
    <d v="2017-11-03T00:00:00"/>
    <x v="1"/>
    <s v="JW-15220"/>
    <s v="Jane Waco"/>
    <x v="1"/>
    <s v="United States"/>
    <x v="57"/>
    <x v="13"/>
    <x v="1"/>
    <s v="FUR-FU-10002885"/>
    <s v="Furniture"/>
    <x v="3"/>
    <s v="Magna Visual Magnetic Picture Hangers"/>
    <n v="9.64"/>
    <n v="2"/>
    <n v="0"/>
    <n v="3.6631999999999998"/>
    <x v="4"/>
    <x v="1"/>
  </r>
  <r>
    <s v="CA-2016-100468"/>
    <x v="243"/>
    <d v="2016-12-01T00:00:00"/>
    <x v="1"/>
    <s v="AT-10435"/>
    <s v="Alyssa Tate"/>
    <x v="2"/>
    <s v="United States"/>
    <x v="2"/>
    <x v="2"/>
    <x v="1"/>
    <s v="FUR-FU-10000010"/>
    <s v="Furniture"/>
    <x v="3"/>
    <s v="DAX Value U-Channel Document Frames, Easel Back"/>
    <n v="9.94"/>
    <n v="2"/>
    <n v="0"/>
    <n v="3.0813999999999999"/>
    <x v="1"/>
    <x v="0"/>
  </r>
  <r>
    <s v="CA-2015-153388"/>
    <x v="244"/>
    <d v="2015-08-07T00:00:00"/>
    <x v="1"/>
    <s v="PC-19000"/>
    <s v="Pauline Chand"/>
    <x v="2"/>
    <s v="United States"/>
    <x v="2"/>
    <x v="2"/>
    <x v="1"/>
    <s v="FUR-TA-10003715"/>
    <s v="Furniture"/>
    <x v="2"/>
    <s v="Hon 2111 Invitation Series Corner Table"/>
    <n v="1004.976"/>
    <n v="6"/>
    <n v="0.2"/>
    <n v="-175.8708"/>
    <x v="6"/>
    <x v="10"/>
  </r>
  <r>
    <s v="CA-2017-103611"/>
    <x v="245"/>
    <d v="2017-09-15T00:00:00"/>
    <x v="2"/>
    <s v="JM-15535"/>
    <s v="Jessica Myrick"/>
    <x v="0"/>
    <s v="United States"/>
    <x v="2"/>
    <x v="2"/>
    <x v="1"/>
    <s v="FUR-FU-10004270"/>
    <s v="Furniture"/>
    <x v="3"/>
    <s v="Eldon Image Series Desk Accessories, Burgundy"/>
    <n v="8.36"/>
    <n v="2"/>
    <n v="0"/>
    <n v="3.0095999999999998"/>
    <x v="0"/>
    <x v="4"/>
  </r>
  <r>
    <s v="US-2017-160759"/>
    <x v="246"/>
    <d v="2017-12-17T00:00:00"/>
    <x v="1"/>
    <s v="AI-10855"/>
    <s v="Arianne Irving"/>
    <x v="0"/>
    <s v="United States"/>
    <x v="3"/>
    <x v="3"/>
    <x v="2"/>
    <s v="FUR-CH-10002961"/>
    <s v="Furniture"/>
    <x v="1"/>
    <s v="Leather Task Chair, Black"/>
    <n v="63.686"/>
    <n v="1"/>
    <n v="0.3"/>
    <n v="-9.0980000000000008"/>
    <x v="6"/>
    <x v="5"/>
  </r>
  <r>
    <s v="CA-2017-148446"/>
    <x v="247"/>
    <d v="2017-12-14T00:00:00"/>
    <x v="0"/>
    <s v="MC-17845"/>
    <s v="Michael Chen"/>
    <x v="0"/>
    <s v="United States"/>
    <x v="111"/>
    <x v="34"/>
    <x v="1"/>
    <s v="FUR-TA-10004256"/>
    <s v="Furniture"/>
    <x v="2"/>
    <s v="Bretford ÒJust In TimeÓ Height-Adjustable Multi-Task Work Tables"/>
    <n v="1669.6"/>
    <n v="4"/>
    <n v="0"/>
    <n v="116.872"/>
    <x v="4"/>
    <x v="5"/>
  </r>
  <r>
    <s v="CA-2015-144806"/>
    <x v="248"/>
    <d v="2015-12-11T00:00:00"/>
    <x v="1"/>
    <s v="GH-14425"/>
    <s v="Gary Hwang"/>
    <x v="0"/>
    <s v="United States"/>
    <x v="104"/>
    <x v="22"/>
    <x v="1"/>
    <s v="FUR-FU-10002253"/>
    <s v="Furniture"/>
    <x v="3"/>
    <s v="Howard Miller 13&quot; Diameter Pewter Finish Round Wall Clock"/>
    <n v="206.11199999999999"/>
    <n v="6"/>
    <n v="0.2"/>
    <n v="48.951599999999999"/>
    <x v="2"/>
    <x v="5"/>
  </r>
  <r>
    <s v="CA-2016-122392"/>
    <x v="249"/>
    <d v="2016-07-27T00:00:00"/>
    <x v="1"/>
    <s v="CJ-12010"/>
    <s v="Caroline Jumper"/>
    <x v="0"/>
    <s v="United States"/>
    <x v="112"/>
    <x v="3"/>
    <x v="2"/>
    <s v="FUR-FU-10002456"/>
    <s v="Furniture"/>
    <x v="3"/>
    <s v="Master Caster Door Stop, Large Neon Orange"/>
    <n v="11.648"/>
    <n v="2"/>
    <n v="0.2"/>
    <n v="3.3488000000000002"/>
    <x v="2"/>
    <x v="3"/>
  </r>
  <r>
    <s v="CA-2017-124086"/>
    <x v="250"/>
    <d v="2017-02-14T00:00:00"/>
    <x v="1"/>
    <s v="MP-18175"/>
    <s v="Mike Pelletier"/>
    <x v="2"/>
    <s v="United States"/>
    <x v="113"/>
    <x v="2"/>
    <x v="1"/>
    <s v="FUR-BO-10004015"/>
    <s v="Furniture"/>
    <x v="0"/>
    <s v="Bush Andora Bookcase, Maple/Graphite Gray Finish"/>
    <n v="203.983"/>
    <n v="2"/>
    <n v="0.15"/>
    <n v="16.7986"/>
    <x v="4"/>
    <x v="11"/>
  </r>
  <r>
    <s v="CA-2017-121888"/>
    <x v="102"/>
    <d v="2017-09-17T00:00:00"/>
    <x v="0"/>
    <s v="CL-11890"/>
    <s v="Carl Ludwig"/>
    <x v="0"/>
    <s v="United States"/>
    <x v="114"/>
    <x v="20"/>
    <x v="2"/>
    <s v="FUR-BO-10002545"/>
    <s v="Furniture"/>
    <x v="0"/>
    <s v="Atlantic Metals Mobile 3-Shelf Bookcases, Custom Colors"/>
    <n v="782.94"/>
    <n v="3"/>
    <n v="0"/>
    <n v="203.56440000000001"/>
    <x v="3"/>
    <x v="4"/>
  </r>
  <r>
    <s v="CA-2014-166884"/>
    <x v="251"/>
    <d v="2014-03-16T00:00:00"/>
    <x v="0"/>
    <s v="CK-12205"/>
    <s v="Chloris Kastensmidt"/>
    <x v="0"/>
    <s v="United States"/>
    <x v="29"/>
    <x v="15"/>
    <x v="2"/>
    <s v="FUR-FU-10003981"/>
    <s v="Furniture"/>
    <x v="3"/>
    <s v="Eldon Wave Desk Accessories"/>
    <n v="8.32"/>
    <n v="5"/>
    <n v="0.2"/>
    <n v="2.2879999999999998"/>
    <x v="2"/>
    <x v="9"/>
  </r>
  <r>
    <s v="CA-2014-150245"/>
    <x v="252"/>
    <d v="2015-01-04T00:00:00"/>
    <x v="0"/>
    <s v="PC-18745"/>
    <s v="Pamela Coakley"/>
    <x v="1"/>
    <s v="United States"/>
    <x v="115"/>
    <x v="7"/>
    <x v="2"/>
    <s v="FUR-BO-10002613"/>
    <s v="Furniture"/>
    <x v="0"/>
    <s v="Atlantic Metals Mobile 4-Shelf Bookcases, Custom Colors"/>
    <n v="1573.4880000000001"/>
    <n v="7"/>
    <n v="0.2"/>
    <n v="196.68600000000001"/>
    <x v="4"/>
    <x v="5"/>
  </r>
  <r>
    <s v="CA-2015-112116"/>
    <x v="253"/>
    <d v="2015-03-18T00:00:00"/>
    <x v="0"/>
    <s v="JE-15475"/>
    <s v="Jeremy Ellison"/>
    <x v="0"/>
    <s v="United States"/>
    <x v="15"/>
    <x v="13"/>
    <x v="1"/>
    <s v="FUR-TA-10001039"/>
    <s v="Furniture"/>
    <x v="2"/>
    <s v="KI Adjustable-Height Table"/>
    <n v="171.96"/>
    <n v="2"/>
    <n v="0"/>
    <n v="44.709600000000002"/>
    <x v="3"/>
    <x v="9"/>
  </r>
  <r>
    <s v="US-2017-102890"/>
    <x v="254"/>
    <d v="2017-06-30T00:00:00"/>
    <x v="3"/>
    <s v="SG-20470"/>
    <s v="Sheri Gordon"/>
    <x v="0"/>
    <s v="United States"/>
    <x v="13"/>
    <x v="7"/>
    <x v="2"/>
    <s v="FUR-TA-10000577"/>
    <s v="Furniture"/>
    <x v="2"/>
    <s v="Bretford CR4500 Series Slim Rectangular Table"/>
    <n v="1044.6300000000001"/>
    <n v="5"/>
    <n v="0.4"/>
    <n v="-295.9785"/>
    <x v="7"/>
    <x v="2"/>
  </r>
  <r>
    <s v="US-2014-157385"/>
    <x v="255"/>
    <d v="2014-11-25T00:00:00"/>
    <x v="2"/>
    <s v="SC-20095"/>
    <s v="Sanjit Chand"/>
    <x v="0"/>
    <s v="United States"/>
    <x v="2"/>
    <x v="2"/>
    <x v="1"/>
    <s v="FUR-CH-10000863"/>
    <s v="Furniture"/>
    <x v="1"/>
    <s v="Novimex Swivel Fabric Task Chair"/>
    <n v="603.91999999999996"/>
    <n v="5"/>
    <n v="0.2"/>
    <n v="-67.941000000000003"/>
    <x v="3"/>
    <x v="0"/>
  </r>
  <r>
    <s v="US-2014-157385"/>
    <x v="255"/>
    <d v="2014-11-25T00:00:00"/>
    <x v="2"/>
    <s v="SC-20095"/>
    <s v="Sanjit Chand"/>
    <x v="0"/>
    <s v="United States"/>
    <x v="2"/>
    <x v="2"/>
    <x v="1"/>
    <s v="FUR-CH-10000595"/>
    <s v="Furniture"/>
    <x v="1"/>
    <s v="Safco Contoured Stacking Chairs"/>
    <n v="381.44"/>
    <n v="2"/>
    <n v="0.2"/>
    <n v="23.84"/>
    <x v="3"/>
    <x v="0"/>
  </r>
  <r>
    <s v="CA-2014-101602"/>
    <x v="256"/>
    <d v="2014-12-18T00:00:00"/>
    <x v="2"/>
    <s v="MC-18100"/>
    <s v="Mick Crebagga"/>
    <x v="0"/>
    <s v="United States"/>
    <x v="116"/>
    <x v="5"/>
    <x v="3"/>
    <s v="FUR-CH-10004675"/>
    <s v="Furniture"/>
    <x v="1"/>
    <s v="Lifetime Advantage Folding Chairs, 4/Carton"/>
    <n v="763.28"/>
    <n v="5"/>
    <n v="0.3"/>
    <n v="-21.808"/>
    <x v="0"/>
    <x v="5"/>
  </r>
  <r>
    <s v="CA-2015-131338"/>
    <x v="38"/>
    <d v="2015-08-12T00:00:00"/>
    <x v="2"/>
    <s v="NP-18325"/>
    <s v="Naresj Patel"/>
    <x v="0"/>
    <s v="United States"/>
    <x v="13"/>
    <x v="7"/>
    <x v="2"/>
    <s v="FUR-TA-10002607"/>
    <s v="Furniture"/>
    <x v="2"/>
    <s v="KI Conference Tables"/>
    <n v="382.80599999999998"/>
    <n v="9"/>
    <n v="0.4"/>
    <n v="-153.1224"/>
    <x v="0"/>
    <x v="10"/>
  </r>
  <r>
    <s v="CA-2015-131338"/>
    <x v="38"/>
    <d v="2015-08-12T00:00:00"/>
    <x v="2"/>
    <s v="NP-18325"/>
    <s v="Naresj Patel"/>
    <x v="0"/>
    <s v="United States"/>
    <x v="13"/>
    <x v="7"/>
    <x v="2"/>
    <s v="FUR-FU-10002157"/>
    <s v="Furniture"/>
    <x v="3"/>
    <s v="Artistic Insta-Plaque"/>
    <n v="47.04"/>
    <n v="3"/>
    <n v="0"/>
    <n v="18.345600000000001"/>
    <x v="0"/>
    <x v="10"/>
  </r>
  <r>
    <s v="CA-2015-131338"/>
    <x v="38"/>
    <d v="2015-08-12T00:00:00"/>
    <x v="2"/>
    <s v="NP-18325"/>
    <s v="Naresj Patel"/>
    <x v="0"/>
    <s v="United States"/>
    <x v="13"/>
    <x v="7"/>
    <x v="2"/>
    <s v="FUR-FU-10001706"/>
    <s v="Furniture"/>
    <x v="3"/>
    <s v="Longer-Life Soft White Bulbs"/>
    <n v="6.16"/>
    <n v="2"/>
    <n v="0"/>
    <n v="2.9567999999999999"/>
    <x v="0"/>
    <x v="10"/>
  </r>
  <r>
    <s v="CA-2015-118423"/>
    <x v="257"/>
    <d v="2015-03-27T00:00:00"/>
    <x v="2"/>
    <s v="DP-13390"/>
    <s v="Dennis Pardue"/>
    <x v="2"/>
    <s v="United States"/>
    <x v="117"/>
    <x v="8"/>
    <x v="3"/>
    <s v="FUR-BO-10000362"/>
    <s v="Furniture"/>
    <x v="0"/>
    <s v="Sauder Inglewood Library Bookcases"/>
    <n v="359.05799999999999"/>
    <n v="3"/>
    <n v="0.3"/>
    <n v="-35.905799999999999"/>
    <x v="0"/>
    <x v="9"/>
  </r>
  <r>
    <s v="CA-2017-149181"/>
    <x v="258"/>
    <d v="2017-05-12T00:00:00"/>
    <x v="1"/>
    <s v="MD-17350"/>
    <s v="Maribeth Dona"/>
    <x v="0"/>
    <s v="United States"/>
    <x v="29"/>
    <x v="15"/>
    <x v="2"/>
    <s v="FUR-CH-10004540"/>
    <s v="Furniture"/>
    <x v="1"/>
    <s v="Global Chrome Stack Chair"/>
    <n v="47.991999999999997"/>
    <n v="2"/>
    <n v="0.3"/>
    <n v="-2.0568"/>
    <x v="4"/>
    <x v="7"/>
  </r>
  <r>
    <s v="CA-2017-132234"/>
    <x v="259"/>
    <d v="2017-10-18T00:00:00"/>
    <x v="2"/>
    <s v="MY-17380"/>
    <s v="Maribeth Yedwab"/>
    <x v="1"/>
    <s v="United States"/>
    <x v="13"/>
    <x v="7"/>
    <x v="2"/>
    <s v="FUR-FU-10001290"/>
    <s v="Furniture"/>
    <x v="3"/>
    <s v="Executive Impressions Supervisor Wall Clock"/>
    <n v="547.29999999999995"/>
    <n v="13"/>
    <n v="0"/>
    <n v="175.136"/>
    <x v="3"/>
    <x v="1"/>
  </r>
  <r>
    <s v="CA-2017-158876"/>
    <x v="49"/>
    <d v="2017-11-21T00:00:00"/>
    <x v="0"/>
    <s v="AB-10150"/>
    <s v="Aimee Bixby"/>
    <x v="0"/>
    <s v="United States"/>
    <x v="118"/>
    <x v="5"/>
    <x v="3"/>
    <s v="FUR-FU-10001967"/>
    <s v="Furniture"/>
    <x v="3"/>
    <s v="Telescoping Adjustable Floor Lamp"/>
    <n v="15.992000000000001"/>
    <n v="2"/>
    <n v="0.6"/>
    <n v="-13.993"/>
    <x v="3"/>
    <x v="0"/>
  </r>
  <r>
    <s v="CA-2016-164672"/>
    <x v="260"/>
    <d v="2016-05-13T00:00:00"/>
    <x v="0"/>
    <s v="GB-14530"/>
    <s v="George Bell"/>
    <x v="1"/>
    <s v="United States"/>
    <x v="63"/>
    <x v="14"/>
    <x v="2"/>
    <s v="FUR-FU-10001488"/>
    <s v="Furniture"/>
    <x v="3"/>
    <s v="Tenex 46&quot; x 60&quot; Computer Anti-Static Chairmat, Rectangular Shaped"/>
    <n v="211.96"/>
    <n v="2"/>
    <n v="0"/>
    <n v="42.392000000000003"/>
    <x v="2"/>
    <x v="7"/>
  </r>
  <r>
    <s v="CA-2014-156349"/>
    <x v="261"/>
    <d v="2014-05-30T00:00:00"/>
    <x v="1"/>
    <s v="ML-17395"/>
    <s v="Marina Lichtenstein"/>
    <x v="1"/>
    <s v="United States"/>
    <x v="2"/>
    <x v="2"/>
    <x v="1"/>
    <s v="FUR-BO-10000362"/>
    <s v="Furniture"/>
    <x v="0"/>
    <s v="Sauder Inglewood Library Bookcases"/>
    <n v="290.666"/>
    <n v="2"/>
    <n v="0.15"/>
    <n v="27.3568"/>
    <x v="4"/>
    <x v="7"/>
  </r>
  <r>
    <s v="CA-2017-108560"/>
    <x v="220"/>
    <d v="2017-07-15T00:00:00"/>
    <x v="1"/>
    <s v="JC-15385"/>
    <s v="Jenna Caffey"/>
    <x v="0"/>
    <s v="United States"/>
    <x v="119"/>
    <x v="13"/>
    <x v="1"/>
    <s v="FUR-FU-10002937"/>
    <s v="Furniture"/>
    <x v="3"/>
    <s v="GE 48&quot; Fluorescent Tube, Cool White Energy Saver, 34 Watts, 30/Box"/>
    <n v="198.46"/>
    <n v="2"/>
    <n v="0"/>
    <n v="99.23"/>
    <x v="1"/>
    <x v="3"/>
  </r>
  <r>
    <s v="CA-2015-143119"/>
    <x v="262"/>
    <d v="2015-09-30T00:00:00"/>
    <x v="1"/>
    <s v="MC-17275"/>
    <s v="Marc Crier"/>
    <x v="0"/>
    <s v="United States"/>
    <x v="120"/>
    <x v="35"/>
    <x v="0"/>
    <s v="FUR-CH-10001270"/>
    <s v="Furniture"/>
    <x v="1"/>
    <s v="Harbour Creations Steel Folding Chair"/>
    <n v="517.5"/>
    <n v="6"/>
    <n v="0"/>
    <n v="155.25"/>
    <x v="6"/>
    <x v="4"/>
  </r>
  <r>
    <s v="CA-2017-101049"/>
    <x v="263"/>
    <d v="2017-06-25T00:00:00"/>
    <x v="0"/>
    <s v="AS-10240"/>
    <s v="Alan Shonely"/>
    <x v="0"/>
    <s v="United States"/>
    <x v="59"/>
    <x v="15"/>
    <x v="2"/>
    <s v="FUR-FU-10004415"/>
    <s v="Furniture"/>
    <x v="3"/>
    <s v="Stacking Tray, Side-Loading, Legal, Smoke"/>
    <n v="17.920000000000002"/>
    <n v="5"/>
    <n v="0.2"/>
    <n v="2.464"/>
    <x v="4"/>
    <x v="2"/>
  </r>
  <r>
    <s v="CA-2016-157266"/>
    <x v="205"/>
    <d v="2016-06-01T00:00:00"/>
    <x v="1"/>
    <s v="TB-21280"/>
    <s v="Toby Braunhardt"/>
    <x v="0"/>
    <s v="United States"/>
    <x v="85"/>
    <x v="29"/>
    <x v="2"/>
    <s v="FUR-FU-10000629"/>
    <s v="Furniture"/>
    <x v="3"/>
    <s v="9-3/4 Diameter Round Wall Clock"/>
    <n v="41.37"/>
    <n v="3"/>
    <n v="0"/>
    <n v="17.375399999999999"/>
    <x v="6"/>
    <x v="7"/>
  </r>
  <r>
    <s v="CA-2014-127159"/>
    <x v="264"/>
    <d v="2014-05-15T00:00:00"/>
    <x v="2"/>
    <s v="HL-15040"/>
    <s v="Hunter Lopez"/>
    <x v="0"/>
    <s v="United States"/>
    <x v="79"/>
    <x v="16"/>
    <x v="3"/>
    <s v="FUR-FU-10000010"/>
    <s v="Furniture"/>
    <x v="3"/>
    <s v="DAX Value U-Channel Document Frames, Easel Back"/>
    <n v="34.79"/>
    <n v="7"/>
    <n v="0"/>
    <n v="10.7849"/>
    <x v="0"/>
    <x v="7"/>
  </r>
  <r>
    <s v="US-2015-157154"/>
    <x v="265"/>
    <d v="2015-01-15T00:00:00"/>
    <x v="1"/>
    <s v="MM-17920"/>
    <s v="Michael Moore"/>
    <x v="0"/>
    <s v="United States"/>
    <x v="13"/>
    <x v="7"/>
    <x v="2"/>
    <s v="FUR-TA-10001889"/>
    <s v="Furniture"/>
    <x v="2"/>
    <s v="Bush Advantage Collection Racetrack Conference Table"/>
    <n v="1018.104"/>
    <n v="4"/>
    <n v="0.4"/>
    <n v="-373.3048"/>
    <x v="2"/>
    <x v="8"/>
  </r>
  <r>
    <s v="CA-2015-143077"/>
    <x v="5"/>
    <d v="2015-09-21T00:00:00"/>
    <x v="1"/>
    <s v="SF-20965"/>
    <s v="Sylvia Foulston"/>
    <x v="1"/>
    <s v="United States"/>
    <x v="6"/>
    <x v="5"/>
    <x v="3"/>
    <s v="FUR-FU-10003535"/>
    <s v="Furniture"/>
    <x v="3"/>
    <s v="Howard Miller Distant Time Traveler Alarm Clock"/>
    <n v="21.936"/>
    <n v="2"/>
    <n v="0.6"/>
    <n v="-10.419600000000001"/>
    <x v="4"/>
    <x v="4"/>
  </r>
  <r>
    <s v="CA-2014-122882"/>
    <x v="266"/>
    <d v="2014-09-13T00:00:00"/>
    <x v="1"/>
    <s v="SB-20290"/>
    <s v="Sean Braxton"/>
    <x v="1"/>
    <s v="United States"/>
    <x v="3"/>
    <x v="3"/>
    <x v="2"/>
    <s v="FUR-FU-10000758"/>
    <s v="Furniture"/>
    <x v="3"/>
    <s v="DAX Natural Wood-Tone Poster Frame"/>
    <n v="42.368000000000002"/>
    <n v="2"/>
    <n v="0.2"/>
    <n v="8.4735999999999994"/>
    <x v="6"/>
    <x v="4"/>
  </r>
  <r>
    <s v="CA-2016-147585"/>
    <x v="267"/>
    <d v="2016-11-12T00:00:00"/>
    <x v="1"/>
    <s v="CB-12535"/>
    <s v="Claudia Bergmann"/>
    <x v="1"/>
    <s v="United States"/>
    <x v="28"/>
    <x v="2"/>
    <x v="1"/>
    <s v="FUR-FU-10002597"/>
    <s v="Furniture"/>
    <x v="3"/>
    <s v="C-Line Magnetic Cubicle Keepers, Clear Polypropylene"/>
    <n v="14.82"/>
    <n v="3"/>
    <n v="0"/>
    <n v="6.2244000000000002"/>
    <x v="2"/>
    <x v="0"/>
  </r>
  <r>
    <s v="CA-2017-143798"/>
    <x v="247"/>
    <d v="2017-12-12T00:00:00"/>
    <x v="2"/>
    <s v="AW-10840"/>
    <s v="Anthony Witt"/>
    <x v="0"/>
    <s v="United States"/>
    <x v="3"/>
    <x v="3"/>
    <x v="2"/>
    <s v="FUR-FU-10004306"/>
    <s v="Furniture"/>
    <x v="3"/>
    <s v="Electrix Halogen Magnifier Lamp"/>
    <n v="310.88"/>
    <n v="2"/>
    <n v="0.2"/>
    <n v="23.315999999999999"/>
    <x v="3"/>
    <x v="5"/>
  </r>
  <r>
    <s v="CA-2014-142839"/>
    <x v="268"/>
    <d v="2014-08-20T00:00:00"/>
    <x v="1"/>
    <s v="TS-21610"/>
    <s v="Troy Staebel"/>
    <x v="0"/>
    <s v="United States"/>
    <x v="3"/>
    <x v="3"/>
    <x v="2"/>
    <s v="FUR-TA-10001539"/>
    <s v="Furniture"/>
    <x v="2"/>
    <s v="Chromcraft Rectangular Conference Tables"/>
    <n v="853.09199999999998"/>
    <n v="6"/>
    <n v="0.4"/>
    <n v="-227.49119999999999"/>
    <x v="4"/>
    <x v="10"/>
  </r>
  <r>
    <s v="US-2016-154361"/>
    <x v="269"/>
    <d v="2016-03-19T00:00:00"/>
    <x v="1"/>
    <s v="HZ-14950"/>
    <s v="Henia Zydlo"/>
    <x v="0"/>
    <s v="United States"/>
    <x v="29"/>
    <x v="15"/>
    <x v="2"/>
    <s v="FUR-FU-10004020"/>
    <s v="Furniture"/>
    <x v="3"/>
    <s v="Advantus Panel Wall Acrylic Frame"/>
    <n v="21.88"/>
    <n v="5"/>
    <n v="0.2"/>
    <n v="6.2904999999999998"/>
    <x v="2"/>
    <x v="9"/>
  </r>
  <r>
    <s v="CA-2014-135657"/>
    <x v="270"/>
    <d v="2014-06-07T00:00:00"/>
    <x v="0"/>
    <s v="SC-20725"/>
    <s v="Steven Cartwright"/>
    <x v="0"/>
    <s v="United States"/>
    <x v="15"/>
    <x v="13"/>
    <x v="1"/>
    <s v="FUR-TA-10004086"/>
    <s v="Furniture"/>
    <x v="2"/>
    <s v="KI Adjustable-Height Table"/>
    <n v="515.88"/>
    <n v="6"/>
    <n v="0"/>
    <n v="113.4936"/>
    <x v="4"/>
    <x v="2"/>
  </r>
  <r>
    <s v="CA-2015-114069"/>
    <x v="271"/>
    <d v="2015-07-15T00:00:00"/>
    <x v="0"/>
    <s v="ND-18370"/>
    <s v="Natalie DeCherney"/>
    <x v="0"/>
    <s v="United States"/>
    <x v="13"/>
    <x v="7"/>
    <x v="2"/>
    <s v="FUR-CH-10000595"/>
    <s v="Furniture"/>
    <x v="1"/>
    <s v="Safco Contoured Stacking Chairs"/>
    <n v="1931.04"/>
    <n v="9"/>
    <n v="0.1"/>
    <n v="321.83999999999997"/>
    <x v="3"/>
    <x v="3"/>
  </r>
  <r>
    <s v="CA-2017-123491"/>
    <x v="242"/>
    <d v="2017-11-05T00:00:00"/>
    <x v="1"/>
    <s v="JK-15205"/>
    <s v="Jamie Kunitz"/>
    <x v="0"/>
    <s v="United States"/>
    <x v="28"/>
    <x v="2"/>
    <x v="1"/>
    <s v="FUR-CH-10003061"/>
    <s v="Furniture"/>
    <x v="1"/>
    <s v="Global Leather Task Chair, Black"/>
    <n v="71.992000000000004"/>
    <n v="1"/>
    <n v="0.2"/>
    <n v="-0.89990000000000003"/>
    <x v="6"/>
    <x v="1"/>
  </r>
  <r>
    <s v="US-2017-124968"/>
    <x v="272"/>
    <d v="2017-09-13T00:00:00"/>
    <x v="0"/>
    <s v="MM-18055"/>
    <s v="Michelle Moray"/>
    <x v="0"/>
    <s v="United States"/>
    <x v="9"/>
    <x v="8"/>
    <x v="3"/>
    <s v="FUR-TA-10004289"/>
    <s v="Furniture"/>
    <x v="2"/>
    <s v="BoxOffice By Design Rectangular and Half-Moon Meeting Room Tables"/>
    <n v="765.625"/>
    <n v="7"/>
    <n v="0.5"/>
    <n v="-566.5625"/>
    <x v="2"/>
    <x v="4"/>
  </r>
  <r>
    <s v="CA-2017-104003"/>
    <x v="273"/>
    <d v="2017-10-13T00:00:00"/>
    <x v="1"/>
    <s v="DC-13285"/>
    <s v="Debra Catini"/>
    <x v="0"/>
    <s v="United States"/>
    <x v="28"/>
    <x v="2"/>
    <x v="1"/>
    <s v="FUR-BO-10003965"/>
    <s v="Furniture"/>
    <x v="0"/>
    <s v="O'Sullivan Manor Hill 2-Door Library in Brianna Oak"/>
    <n v="307.666"/>
    <n v="2"/>
    <n v="0.15"/>
    <n v="-14.478400000000001"/>
    <x v="6"/>
    <x v="1"/>
  </r>
  <r>
    <s v="CA-2016-169943"/>
    <x v="128"/>
    <d v="2016-05-24T00:00:00"/>
    <x v="1"/>
    <s v="BN-11515"/>
    <s v="Bradley Nguyen"/>
    <x v="0"/>
    <s v="United States"/>
    <x v="13"/>
    <x v="7"/>
    <x v="2"/>
    <s v="FUR-FU-10002088"/>
    <s v="Furniture"/>
    <x v="3"/>
    <s v="Nu-Dell Float Frame 11 x 14 1/2"/>
    <n v="35.92"/>
    <n v="4"/>
    <n v="0"/>
    <n v="15.086399999999999"/>
    <x v="2"/>
    <x v="7"/>
  </r>
  <r>
    <s v="CA-2016-169943"/>
    <x v="128"/>
    <d v="2016-05-24T00:00:00"/>
    <x v="1"/>
    <s v="BN-11515"/>
    <s v="Bradley Nguyen"/>
    <x v="0"/>
    <s v="United States"/>
    <x v="13"/>
    <x v="7"/>
    <x v="2"/>
    <s v="FUR-FU-10000010"/>
    <s v="Furniture"/>
    <x v="3"/>
    <s v="DAX Value U-Channel Document Frames, Easel Back"/>
    <n v="39.76"/>
    <n v="8"/>
    <n v="0"/>
    <n v="12.3256"/>
    <x v="2"/>
    <x v="7"/>
  </r>
  <r>
    <s v="US-2015-123218"/>
    <x v="274"/>
    <d v="2015-12-25T00:00:00"/>
    <x v="1"/>
    <s v="KD-16345"/>
    <s v="Katherine Ducich"/>
    <x v="0"/>
    <s v="United States"/>
    <x v="9"/>
    <x v="8"/>
    <x v="3"/>
    <s v="FUR-BO-10003966"/>
    <s v="Furniture"/>
    <x v="0"/>
    <s v="Sauder Facets Collection Library, Sky Alder Finish"/>
    <n v="359.05799999999999"/>
    <n v="3"/>
    <n v="0.3"/>
    <n v="-71.811599999999999"/>
    <x v="2"/>
    <x v="5"/>
  </r>
  <r>
    <s v="US-2017-164056"/>
    <x v="275"/>
    <d v="2017-05-04T00:00:00"/>
    <x v="0"/>
    <s v="FM-14215"/>
    <s v="Filia McAdams"/>
    <x v="1"/>
    <s v="United States"/>
    <x v="24"/>
    <x v="15"/>
    <x v="2"/>
    <s v="FUR-TA-10001307"/>
    <s v="Furniture"/>
    <x v="2"/>
    <s v="SAFCO PlanMaster Heigh-Adjustable Drafting Table Base, 43w x 30d x 30-37h, Black"/>
    <n v="1048.3499999999999"/>
    <n v="5"/>
    <n v="0.4"/>
    <n v="-69.89"/>
    <x v="2"/>
    <x v="6"/>
  </r>
  <r>
    <s v="CA-2017-152807"/>
    <x v="242"/>
    <d v="2017-11-03T00:00:00"/>
    <x v="1"/>
    <s v="MC-18100"/>
    <s v="Mick Crebagga"/>
    <x v="0"/>
    <s v="United States"/>
    <x v="3"/>
    <x v="3"/>
    <x v="2"/>
    <s v="FUR-FU-10004415"/>
    <s v="Furniture"/>
    <x v="3"/>
    <s v="Stacking Tray, Side-Loading, Legal, Smoke"/>
    <n v="7.1680000000000001"/>
    <n v="2"/>
    <n v="0.2"/>
    <n v="0.98560000000000003"/>
    <x v="4"/>
    <x v="1"/>
  </r>
  <r>
    <s v="CA-2015-139094"/>
    <x v="276"/>
    <d v="2015-11-27T00:00:00"/>
    <x v="1"/>
    <s v="MO-17800"/>
    <s v="Meg O'Connel"/>
    <x v="2"/>
    <s v="United States"/>
    <x v="21"/>
    <x v="5"/>
    <x v="3"/>
    <s v="FUR-TA-10004607"/>
    <s v="Furniture"/>
    <x v="2"/>
    <s v="Hon 2111 Invitation Series Straight Table"/>
    <n v="206.96199999999999"/>
    <n v="2"/>
    <n v="0.3"/>
    <n v="-32.522599999999997"/>
    <x v="2"/>
    <x v="0"/>
  </r>
  <r>
    <s v="CA-2017-168837"/>
    <x v="277"/>
    <d v="2017-10-17T00:00:00"/>
    <x v="2"/>
    <s v="JW-15955"/>
    <s v="Joni Wasserman"/>
    <x v="0"/>
    <s v="United States"/>
    <x v="121"/>
    <x v="2"/>
    <x v="1"/>
    <s v="FUR-FU-10001918"/>
    <s v="Furniture"/>
    <x v="3"/>
    <s v="C-Line Cubicle Keepers Polyproplyene Holder With Velcro Backings"/>
    <n v="9.4600000000000009"/>
    <n v="2"/>
    <n v="0"/>
    <n v="3.6894"/>
    <x v="0"/>
    <x v="1"/>
  </r>
  <r>
    <s v="CA-2015-130785"/>
    <x v="278"/>
    <d v="2015-09-09T00:00:00"/>
    <x v="1"/>
    <s v="AG-10900"/>
    <s v="Arthur Gainer"/>
    <x v="0"/>
    <s v="United States"/>
    <x v="53"/>
    <x v="2"/>
    <x v="1"/>
    <s v="FUR-BO-10000330"/>
    <s v="Furniture"/>
    <x v="0"/>
    <s v="Sauder Camden County Barrister Bookcase, Planked Cherry Finish"/>
    <n v="411.33199999999999"/>
    <n v="4"/>
    <n v="0.15"/>
    <n v="-4.8391999999999999"/>
    <x v="4"/>
    <x v="4"/>
  </r>
  <r>
    <s v="CA-2015-130785"/>
    <x v="278"/>
    <d v="2015-09-09T00:00:00"/>
    <x v="1"/>
    <s v="AG-10900"/>
    <s v="Arthur Gainer"/>
    <x v="0"/>
    <s v="United States"/>
    <x v="53"/>
    <x v="2"/>
    <x v="1"/>
    <s v="FUR-BO-10003159"/>
    <s v="Furniture"/>
    <x v="0"/>
    <s v="Sauder Camden County Collection Libraries, Planked Cherry Finish"/>
    <n v="293.19900000000001"/>
    <n v="3"/>
    <n v="0.15"/>
    <n v="-20.696400000000001"/>
    <x v="4"/>
    <x v="4"/>
  </r>
  <r>
    <s v="CA-2016-110254"/>
    <x v="279"/>
    <d v="2016-08-08T00:00:00"/>
    <x v="1"/>
    <s v="ML-17755"/>
    <s v="Max Ludwig"/>
    <x v="2"/>
    <s v="United States"/>
    <x v="122"/>
    <x v="25"/>
    <x v="0"/>
    <s v="FUR-FU-10001591"/>
    <s v="Furniture"/>
    <x v="3"/>
    <s v="Advantus Panel Wall Certificate Holder - 8.5x11"/>
    <n v="109.8"/>
    <n v="9"/>
    <n v="0"/>
    <n v="46.116"/>
    <x v="4"/>
    <x v="10"/>
  </r>
  <r>
    <s v="CA-2014-120474"/>
    <x v="280"/>
    <d v="2014-12-03T00:00:00"/>
    <x v="2"/>
    <s v="RP-19390"/>
    <s v="Resi Pšlking"/>
    <x v="0"/>
    <s v="United States"/>
    <x v="123"/>
    <x v="16"/>
    <x v="3"/>
    <s v="FUR-CH-10001854"/>
    <s v="Furniture"/>
    <x v="1"/>
    <s v="Office Star - Professional Matrix Back Chair with 2-to-1 Synchro Tilt and Mesh Fabric Seat"/>
    <n v="2807.84"/>
    <n v="8"/>
    <n v="0"/>
    <n v="673.88160000000005"/>
    <x v="3"/>
    <x v="5"/>
  </r>
  <r>
    <s v="CA-2016-100965"/>
    <x v="281"/>
    <d v="2016-07-11T00:00:00"/>
    <x v="1"/>
    <s v="RM-19375"/>
    <s v="Raymond Messe"/>
    <x v="0"/>
    <s v="United States"/>
    <x v="124"/>
    <x v="2"/>
    <x v="1"/>
    <s v="FUR-FU-10003039"/>
    <s v="Furniture"/>
    <x v="3"/>
    <s v="Howard Miller 11-1/2&quot; Diameter Grantwood Wall Clock"/>
    <n v="215.65"/>
    <n v="5"/>
    <n v="0"/>
    <n v="73.320999999999998"/>
    <x v="4"/>
    <x v="3"/>
  </r>
  <r>
    <s v="CA-2016-149461"/>
    <x v="282"/>
    <d v="2016-11-19T00:00:00"/>
    <x v="1"/>
    <s v="AS-10135"/>
    <s v="Adrian Shami"/>
    <x v="2"/>
    <s v="United States"/>
    <x v="83"/>
    <x v="13"/>
    <x v="1"/>
    <s v="FUR-FU-10004270"/>
    <s v="Furniture"/>
    <x v="3"/>
    <s v="Eldon Image Series Desk Accessories, Burgundy"/>
    <n v="4.18"/>
    <n v="1"/>
    <n v="0"/>
    <n v="1.5047999999999999"/>
    <x v="6"/>
    <x v="0"/>
  </r>
  <r>
    <s v="CA-2016-165484"/>
    <x v="283"/>
    <d v="2016-10-29T00:00:00"/>
    <x v="1"/>
    <s v="HK-14890"/>
    <s v="Heather Kirkland"/>
    <x v="1"/>
    <s v="United States"/>
    <x v="9"/>
    <x v="8"/>
    <x v="3"/>
    <s v="FUR-FU-10001196"/>
    <s v="Furniture"/>
    <x v="3"/>
    <s v="DAX Cubicle Frames - 8x10"/>
    <n v="16.155999999999999"/>
    <n v="7"/>
    <n v="0.6"/>
    <n v="-12.117000000000001"/>
    <x v="6"/>
    <x v="1"/>
  </r>
  <r>
    <s v="CA-2014-132612"/>
    <x v="2"/>
    <d v="2014-06-11T00:00:00"/>
    <x v="0"/>
    <s v="FO-14305"/>
    <s v="Frank Olsen"/>
    <x v="0"/>
    <s v="United States"/>
    <x v="95"/>
    <x v="25"/>
    <x v="0"/>
    <s v="FUR-TA-10004534"/>
    <s v="Furniture"/>
    <x v="2"/>
    <s v="Bevis 44 x 96 Conference Tables"/>
    <n v="1441.3"/>
    <n v="7"/>
    <n v="0"/>
    <n v="245.02099999999999"/>
    <x v="3"/>
    <x v="2"/>
  </r>
  <r>
    <s v="US-2017-161193"/>
    <x v="93"/>
    <d v="2017-11-26T00:00:00"/>
    <x v="1"/>
    <s v="BT-11680"/>
    <s v="Brian Thompson"/>
    <x v="0"/>
    <s v="United States"/>
    <x v="19"/>
    <x v="15"/>
    <x v="2"/>
    <s v="FUR-FU-10001861"/>
    <s v="Furniture"/>
    <x v="3"/>
    <s v="Floodlight Indoor Halogen Bulbs, 1 Bulb per Pack, 60 Watts"/>
    <n v="77.599999999999994"/>
    <n v="5"/>
    <n v="0.2"/>
    <n v="28.13"/>
    <x v="6"/>
    <x v="0"/>
  </r>
  <r>
    <s v="US-2017-161193"/>
    <x v="93"/>
    <d v="2017-11-26T00:00:00"/>
    <x v="1"/>
    <s v="BT-11680"/>
    <s v="Brian Thompson"/>
    <x v="0"/>
    <s v="United States"/>
    <x v="19"/>
    <x v="15"/>
    <x v="2"/>
    <s v="FUR-FU-10000206"/>
    <s v="Furniture"/>
    <x v="3"/>
    <s v="GE General Purpose, Extra Long Life, Showcase &amp; Floodlight Incandescent Bulbs"/>
    <n v="4.6559999999999997"/>
    <n v="2"/>
    <n v="0.2"/>
    <n v="1.5713999999999999"/>
    <x v="6"/>
    <x v="0"/>
  </r>
  <r>
    <s v="CA-2015-131597"/>
    <x v="221"/>
    <d v="2015-09-18T00:00:00"/>
    <x v="1"/>
    <s v="SP-20620"/>
    <s v="Stefania Perrino"/>
    <x v="1"/>
    <s v="United States"/>
    <x v="2"/>
    <x v="2"/>
    <x v="1"/>
    <s v="FUR-TA-10002607"/>
    <s v="Furniture"/>
    <x v="2"/>
    <s v="KI Conference Tables"/>
    <n v="170.136"/>
    <n v="3"/>
    <n v="0.2"/>
    <n v="-8.5068000000000001"/>
    <x v="4"/>
    <x v="4"/>
  </r>
  <r>
    <s v="US-2014-130379"/>
    <x v="284"/>
    <d v="2014-05-29T00:00:00"/>
    <x v="1"/>
    <s v="JL-15235"/>
    <s v="Janet Lee"/>
    <x v="0"/>
    <s v="United States"/>
    <x v="9"/>
    <x v="8"/>
    <x v="3"/>
    <s v="FUR-FU-10002553"/>
    <s v="Furniture"/>
    <x v="3"/>
    <s v="Electrix Incandescent Magnifying Lamp, Black"/>
    <n v="29.32"/>
    <n v="2"/>
    <n v="0.6"/>
    <n v="-24.189"/>
    <x v="4"/>
    <x v="7"/>
  </r>
  <r>
    <s v="CA-2016-168956"/>
    <x v="285"/>
    <d v="2016-02-20T00:00:00"/>
    <x v="1"/>
    <s v="EA-14035"/>
    <s v="Erin Ashbrook"/>
    <x v="1"/>
    <s v="United States"/>
    <x v="9"/>
    <x v="8"/>
    <x v="3"/>
    <s v="FUR-CH-10004754"/>
    <s v="Furniture"/>
    <x v="1"/>
    <s v="Global Stack Chair with Arms, Black"/>
    <n v="62.957999999999998"/>
    <n v="3"/>
    <n v="0.3"/>
    <n v="-2.6981999999999999"/>
    <x v="4"/>
    <x v="11"/>
  </r>
  <r>
    <s v="CA-2016-167507"/>
    <x v="286"/>
    <d v="2016-12-28T00:00:00"/>
    <x v="1"/>
    <s v="SA-20830"/>
    <s v="Sue Ann Reed"/>
    <x v="0"/>
    <s v="United States"/>
    <x v="125"/>
    <x v="36"/>
    <x v="1"/>
    <s v="FUR-FU-10001935"/>
    <s v="Furniture"/>
    <x v="3"/>
    <s v="3M Hangers With Command Adhesive"/>
    <n v="11.84"/>
    <n v="4"/>
    <n v="0.2"/>
    <n v="3.1080000000000001"/>
    <x v="6"/>
    <x v="5"/>
  </r>
  <r>
    <s v="CA-2016-167507"/>
    <x v="286"/>
    <d v="2016-12-28T00:00:00"/>
    <x v="1"/>
    <s v="SA-20830"/>
    <s v="Sue Ann Reed"/>
    <x v="0"/>
    <s v="United States"/>
    <x v="125"/>
    <x v="36"/>
    <x v="1"/>
    <s v="FUR-FU-10002878"/>
    <s v="Furniture"/>
    <x v="3"/>
    <s v="Seth Thomas 14&quot; Day/Date Wall Clock"/>
    <n v="22.783999999999999"/>
    <n v="1"/>
    <n v="0.2"/>
    <n v="4.8415999999999997"/>
    <x v="6"/>
    <x v="5"/>
  </r>
  <r>
    <s v="CA-2017-145884"/>
    <x v="85"/>
    <d v="2017-10-21T00:00:00"/>
    <x v="3"/>
    <s v="SL-20155"/>
    <s v="Sara Luxemburg"/>
    <x v="2"/>
    <s v="United States"/>
    <x v="126"/>
    <x v="37"/>
    <x v="3"/>
    <s v="FUR-TA-10002356"/>
    <s v="Furniture"/>
    <x v="2"/>
    <s v="Bevis Boat-Shaped Conference Table"/>
    <n v="262.11"/>
    <n v="1"/>
    <n v="0"/>
    <n v="62.906399999999998"/>
    <x v="7"/>
    <x v="1"/>
  </r>
  <r>
    <s v="CA-2015-131422"/>
    <x v="287"/>
    <d v="2015-11-09T00:00:00"/>
    <x v="1"/>
    <s v="GB-14530"/>
    <s v="George Bell"/>
    <x v="1"/>
    <s v="United States"/>
    <x v="91"/>
    <x v="30"/>
    <x v="0"/>
    <s v="FUR-CH-10001270"/>
    <s v="Furniture"/>
    <x v="1"/>
    <s v="Harbour Creations Steel Folding Chair"/>
    <n v="207"/>
    <n v="3"/>
    <n v="0.2"/>
    <n v="25.875"/>
    <x v="4"/>
    <x v="0"/>
  </r>
  <r>
    <s v="CA-2014-117345"/>
    <x v="288"/>
    <d v="2014-08-05T00:00:00"/>
    <x v="1"/>
    <s v="BF-10975"/>
    <s v="Barbara Fisher"/>
    <x v="1"/>
    <s v="United States"/>
    <x v="127"/>
    <x v="30"/>
    <x v="0"/>
    <s v="FUR-FU-10000629"/>
    <s v="Furniture"/>
    <x v="3"/>
    <s v="9-3/4 Diameter Round Wall Clock"/>
    <n v="44.128"/>
    <n v="4"/>
    <n v="0.2"/>
    <n v="12.135199999999999"/>
    <x v="4"/>
    <x v="10"/>
  </r>
  <r>
    <s v="CA-2016-157763"/>
    <x v="196"/>
    <d v="2016-07-23T00:00:00"/>
    <x v="1"/>
    <s v="KH-16330"/>
    <s v="Katharine Harms"/>
    <x v="1"/>
    <s v="United States"/>
    <x v="128"/>
    <x v="0"/>
    <x v="0"/>
    <s v="FUR-CH-10000988"/>
    <s v="Furniture"/>
    <x v="1"/>
    <s v="Hon Olson Stacker Stools"/>
    <n v="140.81"/>
    <n v="1"/>
    <n v="0"/>
    <n v="39.4268"/>
    <x v="2"/>
    <x v="3"/>
  </r>
  <r>
    <s v="CA-2015-135391"/>
    <x v="289"/>
    <d v="2015-02-11T00:00:00"/>
    <x v="0"/>
    <s v="FA-14230"/>
    <s v="Frank Atkinson"/>
    <x v="1"/>
    <s v="United States"/>
    <x v="21"/>
    <x v="5"/>
    <x v="3"/>
    <s v="FUR-FU-10001986"/>
    <s v="Furniture"/>
    <x v="3"/>
    <s v="Dana Fluorescent Magnifying Lamp, White, 36&quot;"/>
    <n v="40.783999999999999"/>
    <n v="2"/>
    <n v="0.6"/>
    <n v="-30.588000000000001"/>
    <x v="3"/>
    <x v="11"/>
  </r>
  <r>
    <s v="US-2017-158512"/>
    <x v="290"/>
    <d v="2017-01-17T00:00:00"/>
    <x v="0"/>
    <s v="DA-13450"/>
    <s v="Dianna Arnett"/>
    <x v="2"/>
    <s v="United States"/>
    <x v="85"/>
    <x v="29"/>
    <x v="2"/>
    <s v="FUR-FU-10004973"/>
    <s v="Furniture"/>
    <x v="3"/>
    <s v="Flat Face Poster Frame"/>
    <n v="37.68"/>
    <n v="2"/>
    <n v="0"/>
    <n v="15.8256"/>
    <x v="2"/>
    <x v="8"/>
  </r>
  <r>
    <s v="CA-2017-128370"/>
    <x v="291"/>
    <d v="2017-09-10T00:00:00"/>
    <x v="3"/>
    <s v="FH-14275"/>
    <s v="Frank Hawley"/>
    <x v="1"/>
    <s v="United States"/>
    <x v="2"/>
    <x v="2"/>
    <x v="1"/>
    <s v="FUR-CH-10002602"/>
    <s v="Furniture"/>
    <x v="1"/>
    <s v="DMI Arturo Collection Mission-style Design Wood Chair"/>
    <n v="362.35199999999998"/>
    <n v="3"/>
    <n v="0.2"/>
    <n v="27.176400000000001"/>
    <x v="7"/>
    <x v="4"/>
  </r>
  <r>
    <s v="US-2017-121251"/>
    <x v="292"/>
    <d v="2017-03-27T00:00:00"/>
    <x v="2"/>
    <s v="GM-14440"/>
    <s v="Gary McGarr"/>
    <x v="0"/>
    <s v="United States"/>
    <x v="13"/>
    <x v="7"/>
    <x v="2"/>
    <s v="FUR-BO-10001918"/>
    <s v="Furniture"/>
    <x v="0"/>
    <s v="Sauder Forest Hills Library with Doors, Woodland Oak Finish"/>
    <n v="257.56799999999998"/>
    <n v="2"/>
    <n v="0.2"/>
    <n v="-28.976400000000002"/>
    <x v="5"/>
    <x v="9"/>
  </r>
  <r>
    <s v="US-2016-100839"/>
    <x v="25"/>
    <d v="2016-10-17T00:00:00"/>
    <x v="1"/>
    <s v="NC-18625"/>
    <s v="Noah Childs"/>
    <x v="1"/>
    <s v="United States"/>
    <x v="14"/>
    <x v="12"/>
    <x v="1"/>
    <s v="FUR-TA-10004575"/>
    <s v="Furniture"/>
    <x v="2"/>
    <s v="Hon 5100 Series Wood Tables"/>
    <n v="727.45"/>
    <n v="5"/>
    <n v="0.5"/>
    <n v="-465.56799999999998"/>
    <x v="4"/>
    <x v="1"/>
  </r>
  <r>
    <s v="US-2016-100839"/>
    <x v="25"/>
    <d v="2016-10-17T00:00:00"/>
    <x v="1"/>
    <s v="NC-18625"/>
    <s v="Noah Childs"/>
    <x v="1"/>
    <s v="United States"/>
    <x v="14"/>
    <x v="12"/>
    <x v="1"/>
    <s v="FUR-FU-10001617"/>
    <s v="Furniture"/>
    <x v="3"/>
    <s v="Executive Impressions 8-1/2&quot; Career Panel/Partition Cubicle Clock"/>
    <n v="24.96"/>
    <n v="3"/>
    <n v="0.2"/>
    <n v="4.3680000000000003"/>
    <x v="4"/>
    <x v="1"/>
  </r>
  <r>
    <s v="CA-2017-118857"/>
    <x v="293"/>
    <d v="2017-04-18T00:00:00"/>
    <x v="2"/>
    <s v="AH-10075"/>
    <s v="Adam Hart"/>
    <x v="1"/>
    <s v="United States"/>
    <x v="0"/>
    <x v="34"/>
    <x v="1"/>
    <s v="FUR-FU-10004460"/>
    <s v="Furniture"/>
    <x v="3"/>
    <s v="Howard Miller 12&quot; Round Wall Clock"/>
    <n v="196.45"/>
    <n v="5"/>
    <n v="0"/>
    <n v="70.721999999999994"/>
    <x v="0"/>
    <x v="6"/>
  </r>
  <r>
    <s v="CA-2014-116932"/>
    <x v="294"/>
    <d v="2014-07-25T00:00:00"/>
    <x v="1"/>
    <s v="ME-18010"/>
    <s v="Michelle Ellison"/>
    <x v="1"/>
    <s v="United States"/>
    <x v="28"/>
    <x v="2"/>
    <x v="1"/>
    <s v="FUR-CH-10001215"/>
    <s v="Furniture"/>
    <x v="1"/>
    <s v="Global Troy Executive Leather Low-Back Tilter"/>
    <n v="801.56799999999998"/>
    <n v="2"/>
    <n v="0.2"/>
    <n v="50.097999999999999"/>
    <x v="4"/>
    <x v="3"/>
  </r>
  <r>
    <s v="CA-2014-116932"/>
    <x v="294"/>
    <d v="2014-07-25T00:00:00"/>
    <x v="1"/>
    <s v="ME-18010"/>
    <s v="Michelle Ellison"/>
    <x v="1"/>
    <s v="United States"/>
    <x v="28"/>
    <x v="2"/>
    <x v="1"/>
    <s v="FUR-TA-10004175"/>
    <s v="Furniture"/>
    <x v="2"/>
    <s v="Hon 30&quot; x 60&quot; Table with Locking Drawer"/>
    <n v="272.84800000000001"/>
    <n v="1"/>
    <n v="0.2"/>
    <n v="27.284800000000001"/>
    <x v="4"/>
    <x v="3"/>
  </r>
  <r>
    <s v="CA-2017-142888"/>
    <x v="295"/>
    <d v="2017-11-25T00:00:00"/>
    <x v="1"/>
    <s v="BP-11230"/>
    <s v="Benjamin Patterson"/>
    <x v="0"/>
    <s v="United States"/>
    <x v="129"/>
    <x v="13"/>
    <x v="1"/>
    <s v="FUR-TA-10004767"/>
    <s v="Furniture"/>
    <x v="2"/>
    <s v="Safco Drafting Table"/>
    <n v="70.98"/>
    <n v="1"/>
    <n v="0"/>
    <n v="20.584199999999999"/>
    <x v="4"/>
    <x v="0"/>
  </r>
  <r>
    <s v="US-2016-112977"/>
    <x v="296"/>
    <d v="2016-03-16T00:00:00"/>
    <x v="1"/>
    <s v="CJ-12010"/>
    <s v="Caroline Jumper"/>
    <x v="0"/>
    <s v="United States"/>
    <x v="62"/>
    <x v="7"/>
    <x v="2"/>
    <s v="FUR-BO-10003272"/>
    <s v="Furniture"/>
    <x v="0"/>
    <s v="O'Sullivan Living Dimensions 5-Shelf Bookcases"/>
    <n v="176.78399999999999"/>
    <n v="1"/>
    <n v="0.2"/>
    <n v="-22.097999999999999"/>
    <x v="6"/>
    <x v="9"/>
  </r>
  <r>
    <s v="CA-2017-118885"/>
    <x v="297"/>
    <d v="2018-01-02T00:00:00"/>
    <x v="1"/>
    <s v="JG-15160"/>
    <s v="James Galang"/>
    <x v="0"/>
    <s v="United States"/>
    <x v="2"/>
    <x v="2"/>
    <x v="1"/>
    <s v="FUR-CH-10002880"/>
    <s v="Furniture"/>
    <x v="1"/>
    <s v="Global High-Back Leather Tilter, Burgundy"/>
    <n v="393.56799999999998"/>
    <n v="4"/>
    <n v="0.2"/>
    <n v="-44.276400000000002"/>
    <x v="4"/>
    <x v="5"/>
  </r>
  <r>
    <s v="CA-2015-109512"/>
    <x v="298"/>
    <d v="2015-03-05T00:00:00"/>
    <x v="3"/>
    <s v="LF-17185"/>
    <s v="Luke Foster"/>
    <x v="0"/>
    <s v="United States"/>
    <x v="13"/>
    <x v="7"/>
    <x v="2"/>
    <s v="FUR-CH-10001146"/>
    <s v="Furniture"/>
    <x v="1"/>
    <s v="Global Value Mid-Back Manager's Chair, Gray"/>
    <n v="383.60700000000003"/>
    <n v="7"/>
    <n v="0.1"/>
    <n v="63.9345"/>
    <x v="7"/>
    <x v="9"/>
  </r>
  <r>
    <s v="CA-2016-147578"/>
    <x v="74"/>
    <d v="2016-04-26T00:00:00"/>
    <x v="0"/>
    <s v="PG-18895"/>
    <s v="Paul Gonzalez"/>
    <x v="0"/>
    <s v="United States"/>
    <x v="28"/>
    <x v="2"/>
    <x v="1"/>
    <s v="FUR-FU-10001889"/>
    <s v="Furniture"/>
    <x v="3"/>
    <s v="Ultra Door Pull Handle"/>
    <n v="31.56"/>
    <n v="3"/>
    <n v="0"/>
    <n v="10.4148"/>
    <x v="4"/>
    <x v="6"/>
  </r>
  <r>
    <s v="CA-2014-142587"/>
    <x v="299"/>
    <d v="2014-10-22T00:00:00"/>
    <x v="2"/>
    <s v="TB-21520"/>
    <s v="Tracy Blumstein"/>
    <x v="0"/>
    <s v="United States"/>
    <x v="130"/>
    <x v="15"/>
    <x v="2"/>
    <s v="FUR-TA-10000617"/>
    <s v="Furniture"/>
    <x v="2"/>
    <s v="Hon Practical Foundations 30 x 60 Training Table, Light Gray/Charcoal"/>
    <n v="409.59"/>
    <n v="3"/>
    <n v="0.4"/>
    <n v="-122.877"/>
    <x v="5"/>
    <x v="1"/>
  </r>
  <r>
    <s v="CA-2014-169775"/>
    <x v="300"/>
    <d v="2014-09-02T00:00:00"/>
    <x v="0"/>
    <s v="RA-19945"/>
    <s v="Ryan Akin"/>
    <x v="0"/>
    <s v="United States"/>
    <x v="89"/>
    <x v="1"/>
    <x v="0"/>
    <s v="FUR-TA-10001857"/>
    <s v="Furniture"/>
    <x v="2"/>
    <s v="Balt Solid Wood Rectangular Table"/>
    <n v="174.05850000000001"/>
    <n v="3"/>
    <n v="0.45"/>
    <n v="-110.7645"/>
    <x v="4"/>
    <x v="10"/>
  </r>
  <r>
    <s v="CA-2017-167094"/>
    <x v="85"/>
    <d v="2017-10-22T00:00:00"/>
    <x v="2"/>
    <s v="DK-12835"/>
    <s v="Damala Kotsonis"/>
    <x v="1"/>
    <s v="United States"/>
    <x v="76"/>
    <x v="36"/>
    <x v="1"/>
    <s v="FUR-CH-10000155"/>
    <s v="Furniture"/>
    <x v="1"/>
    <s v="Global Comet Stacking Armless Chair"/>
    <n v="478.48"/>
    <n v="2"/>
    <n v="0.2"/>
    <n v="47.847999999999999"/>
    <x v="5"/>
    <x v="1"/>
  </r>
  <r>
    <s v="CA-2015-157959"/>
    <x v="136"/>
    <d v="2015-02-04T00:00:00"/>
    <x v="2"/>
    <s v="RW-19540"/>
    <s v="Rick Wilson"/>
    <x v="1"/>
    <s v="United States"/>
    <x v="2"/>
    <x v="2"/>
    <x v="1"/>
    <s v="FUR-FU-10004093"/>
    <s v="Furniture"/>
    <x v="3"/>
    <s v="Hand-Finished Solid Wood Document Frame"/>
    <n v="136.91999999999999"/>
    <n v="4"/>
    <n v="0"/>
    <n v="41.076000000000001"/>
    <x v="5"/>
    <x v="11"/>
  </r>
  <r>
    <s v="CA-2017-105886"/>
    <x v="186"/>
    <d v="2017-12-23T00:00:00"/>
    <x v="1"/>
    <s v="DB-13660"/>
    <s v="Duane Benoit"/>
    <x v="0"/>
    <s v="United States"/>
    <x v="64"/>
    <x v="7"/>
    <x v="2"/>
    <s v="FUR-FU-10001037"/>
    <s v="Furniture"/>
    <x v="3"/>
    <s v="DAX Charcoal/Nickel-Tone Document Frame, 5 x 7"/>
    <n v="18.96"/>
    <n v="2"/>
    <n v="0"/>
    <n v="8.532"/>
    <x v="2"/>
    <x v="5"/>
  </r>
  <r>
    <s v="US-2017-111423"/>
    <x v="301"/>
    <d v="2017-08-19T00:00:00"/>
    <x v="2"/>
    <s v="EH-13765"/>
    <s v="Edward Hooks"/>
    <x v="1"/>
    <s v="United States"/>
    <x v="115"/>
    <x v="7"/>
    <x v="2"/>
    <s v="FUR-CH-10003981"/>
    <s v="Furniture"/>
    <x v="1"/>
    <s v="Global Commerce Series Low-Back Swivel/Tilt Chairs"/>
    <n v="462.56400000000002"/>
    <n v="2"/>
    <n v="0.1"/>
    <n v="97.6524"/>
    <x v="3"/>
    <x v="10"/>
  </r>
  <r>
    <s v="CA-2017-161200"/>
    <x v="302"/>
    <d v="2017-08-10T00:00:00"/>
    <x v="0"/>
    <s v="SV-20365"/>
    <s v="Seth Vernon"/>
    <x v="0"/>
    <s v="United States"/>
    <x v="120"/>
    <x v="35"/>
    <x v="0"/>
    <s v="FUR-BO-10000468"/>
    <s v="Furniture"/>
    <x v="0"/>
    <s v="O'Sullivan 2-Shelf Heavy-Duty Bookcases"/>
    <n v="145.74"/>
    <n v="3"/>
    <n v="0"/>
    <n v="23.3184"/>
    <x v="4"/>
    <x v="10"/>
  </r>
  <r>
    <s v="CA-2017-161200"/>
    <x v="302"/>
    <d v="2017-08-10T00:00:00"/>
    <x v="0"/>
    <s v="SV-20365"/>
    <s v="Seth Vernon"/>
    <x v="0"/>
    <s v="United States"/>
    <x v="120"/>
    <x v="35"/>
    <x v="0"/>
    <s v="FUR-FU-10001706"/>
    <s v="Furniture"/>
    <x v="3"/>
    <s v="Longer-Life Soft White Bulbs"/>
    <n v="15.4"/>
    <n v="5"/>
    <n v="0"/>
    <n v="7.3920000000000003"/>
    <x v="4"/>
    <x v="10"/>
  </r>
  <r>
    <s v="CA-2015-141768"/>
    <x v="303"/>
    <d v="2015-05-27T00:00:00"/>
    <x v="0"/>
    <s v="NP-18685"/>
    <s v="Nora Pelletier"/>
    <x v="2"/>
    <s v="United States"/>
    <x v="28"/>
    <x v="2"/>
    <x v="1"/>
    <s v="FUR-FU-10002268"/>
    <s v="Furniture"/>
    <x v="3"/>
    <s v="Ultra Door Push Plate"/>
    <n v="14.73"/>
    <n v="3"/>
    <n v="0"/>
    <n v="4.8609"/>
    <x v="3"/>
    <x v="7"/>
  </r>
  <r>
    <s v="CA-2016-112109"/>
    <x v="304"/>
    <d v="2016-07-12T00:00:00"/>
    <x v="1"/>
    <s v="JE-15715"/>
    <s v="Joe Elijah"/>
    <x v="0"/>
    <s v="United States"/>
    <x v="131"/>
    <x v="12"/>
    <x v="1"/>
    <s v="FUR-CH-10004287"/>
    <s v="Furniture"/>
    <x v="1"/>
    <s v="SAFCO Arco Folding Chair"/>
    <n v="662.88"/>
    <n v="3"/>
    <n v="0.2"/>
    <n v="74.573999999999998"/>
    <x v="4"/>
    <x v="3"/>
  </r>
  <r>
    <s v="CA-2017-157987"/>
    <x v="113"/>
    <d v="2017-09-06T00:00:00"/>
    <x v="1"/>
    <s v="AC-10615"/>
    <s v="Ann Chong"/>
    <x v="1"/>
    <s v="United States"/>
    <x v="13"/>
    <x v="7"/>
    <x v="2"/>
    <s v="FUR-FU-10001196"/>
    <s v="Furniture"/>
    <x v="3"/>
    <s v="DAX Cubicle Frames - 8x10"/>
    <n v="11.54"/>
    <n v="2"/>
    <n v="0"/>
    <n v="3.4620000000000002"/>
    <x v="4"/>
    <x v="4"/>
  </r>
  <r>
    <s v="CA-2017-157987"/>
    <x v="113"/>
    <d v="2017-09-06T00:00:00"/>
    <x v="1"/>
    <s v="AC-10615"/>
    <s v="Ann Chong"/>
    <x v="1"/>
    <s v="United States"/>
    <x v="13"/>
    <x v="7"/>
    <x v="2"/>
    <s v="FUR-TA-10001889"/>
    <s v="Furniture"/>
    <x v="2"/>
    <s v="Bush Advantage Collection Racetrack Conference Table"/>
    <n v="254.52600000000001"/>
    <n v="1"/>
    <n v="0.4"/>
    <n v="-93.3262"/>
    <x v="4"/>
    <x v="4"/>
  </r>
  <r>
    <s v="CA-2017-157987"/>
    <x v="113"/>
    <d v="2017-09-06T00:00:00"/>
    <x v="1"/>
    <s v="AC-10615"/>
    <s v="Ann Chong"/>
    <x v="1"/>
    <s v="United States"/>
    <x v="13"/>
    <x v="7"/>
    <x v="2"/>
    <s v="FUR-CH-10003379"/>
    <s v="Furniture"/>
    <x v="1"/>
    <s v="Global Commerce Series High-Back Swivel/Tilt Chairs"/>
    <n v="1282.4100000000001"/>
    <n v="5"/>
    <n v="0.1"/>
    <n v="213.73500000000001"/>
    <x v="4"/>
    <x v="4"/>
  </r>
  <r>
    <s v="CA-2014-110408"/>
    <x v="305"/>
    <d v="2014-10-20T00:00:00"/>
    <x v="0"/>
    <s v="AS-10225"/>
    <s v="Alan Schoenberger"/>
    <x v="1"/>
    <s v="United States"/>
    <x v="132"/>
    <x v="33"/>
    <x v="0"/>
    <s v="FUR-CH-10003774"/>
    <s v="Furniture"/>
    <x v="1"/>
    <s v="Global Wood Trimmed Manager's Task Chair, Khaki"/>
    <n v="545.88"/>
    <n v="6"/>
    <n v="0"/>
    <n v="70.964399999999998"/>
    <x v="3"/>
    <x v="1"/>
  </r>
  <r>
    <s v="CA-2016-112669"/>
    <x v="65"/>
    <d v="2016-04-14T00:00:00"/>
    <x v="3"/>
    <s v="KT-16465"/>
    <s v="Kean Takahito"/>
    <x v="0"/>
    <s v="United States"/>
    <x v="110"/>
    <x v="22"/>
    <x v="1"/>
    <s v="FUR-CH-10004086"/>
    <s v="Furniture"/>
    <x v="1"/>
    <s v="Hon 4070 Series Pagoda Armless Upholstered Stacking Chairs"/>
    <n v="933.53599999999994"/>
    <n v="4"/>
    <n v="0.2"/>
    <n v="105.0228"/>
    <x v="7"/>
    <x v="6"/>
  </r>
  <r>
    <s v="CA-2014-164721"/>
    <x v="306"/>
    <d v="2014-11-27T00:00:00"/>
    <x v="0"/>
    <s v="LW-16825"/>
    <s v="Laurel Workman"/>
    <x v="1"/>
    <s v="United States"/>
    <x v="133"/>
    <x v="2"/>
    <x v="1"/>
    <s v="FUR-FU-10001940"/>
    <s v="Furniture"/>
    <x v="3"/>
    <s v="Staple-based wall hangings"/>
    <n v="23.88"/>
    <n v="3"/>
    <n v="0"/>
    <n v="10.507199999999999"/>
    <x v="3"/>
    <x v="0"/>
  </r>
  <r>
    <s v="CA-2015-127509"/>
    <x v="307"/>
    <d v="2015-11-13T00:00:00"/>
    <x v="1"/>
    <s v="AS-10090"/>
    <s v="Adam Shillingsburg"/>
    <x v="0"/>
    <s v="United States"/>
    <x v="76"/>
    <x v="23"/>
    <x v="3"/>
    <s v="FUR-TA-10002855"/>
    <s v="Furniture"/>
    <x v="2"/>
    <s v="Bevis Round Conference Table Top &amp; Single Column Base"/>
    <n v="1024.3800000000001"/>
    <n v="7"/>
    <n v="0"/>
    <n v="215.1198"/>
    <x v="4"/>
    <x v="0"/>
  </r>
  <r>
    <s v="US-2017-147221"/>
    <x v="308"/>
    <d v="2017-12-04T00:00:00"/>
    <x v="0"/>
    <s v="JS-16030"/>
    <s v="Joy Smith"/>
    <x v="0"/>
    <s v="United States"/>
    <x v="6"/>
    <x v="5"/>
    <x v="3"/>
    <s v="FUR-FU-10004020"/>
    <s v="Furniture"/>
    <x v="3"/>
    <s v="Advantus Panel Wall Acrylic Frame"/>
    <n v="8.7520000000000007"/>
    <n v="4"/>
    <n v="0.6"/>
    <n v="-3.7195999999999998"/>
    <x v="3"/>
    <x v="5"/>
  </r>
  <r>
    <s v="CA-2017-163510"/>
    <x v="19"/>
    <d v="2017-12-28T00:00:00"/>
    <x v="0"/>
    <s v="JW-15955"/>
    <s v="Joni Wasserman"/>
    <x v="0"/>
    <s v="United States"/>
    <x v="74"/>
    <x v="0"/>
    <x v="0"/>
    <s v="FUR-CH-10001146"/>
    <s v="Furniture"/>
    <x v="1"/>
    <s v="Global Value Mid-Back Manager's Chair, Gray"/>
    <n v="304.45"/>
    <n v="5"/>
    <n v="0"/>
    <n v="76.112499999999997"/>
    <x v="0"/>
    <x v="5"/>
  </r>
  <r>
    <s v="CA-2017-165386"/>
    <x v="309"/>
    <d v="2017-08-04T00:00:00"/>
    <x v="2"/>
    <s v="CM-12190"/>
    <s v="Charlotte Melton"/>
    <x v="0"/>
    <s v="United States"/>
    <x v="9"/>
    <x v="8"/>
    <x v="3"/>
    <s v="FUR-BO-10003034"/>
    <s v="Furniture"/>
    <x v="0"/>
    <s v="O'Sullivan Elevations Bookcase, Cherry Finish"/>
    <n v="183.37200000000001"/>
    <n v="2"/>
    <n v="0.3"/>
    <n v="-36.674399999999999"/>
    <x v="5"/>
    <x v="10"/>
  </r>
  <r>
    <s v="CA-2016-145905"/>
    <x v="126"/>
    <d v="2016-09-23T00:00:00"/>
    <x v="1"/>
    <s v="AM-10705"/>
    <s v="Anne McFarland"/>
    <x v="0"/>
    <s v="United States"/>
    <x v="83"/>
    <x v="33"/>
    <x v="0"/>
    <s v="FUR-CH-10001854"/>
    <s v="Furniture"/>
    <x v="1"/>
    <s v="Office Star - Professional Matrix Back Chair with 2-to-1 Synchro Tilt and Mesh Fabric Seat"/>
    <n v="350.98"/>
    <n v="1"/>
    <n v="0"/>
    <n v="84.235200000000006"/>
    <x v="2"/>
    <x v="4"/>
  </r>
  <r>
    <s v="CA-2016-168354"/>
    <x v="107"/>
    <d v="2016-09-21T00:00:00"/>
    <x v="2"/>
    <s v="RH-19510"/>
    <s v="Rick Huthwaite"/>
    <x v="2"/>
    <s v="United States"/>
    <x v="134"/>
    <x v="38"/>
    <x v="2"/>
    <s v="FUR-CH-10004675"/>
    <s v="Furniture"/>
    <x v="1"/>
    <s v="Lifetime Advantage Folding Chairs, 4/Carton"/>
    <n v="872.32"/>
    <n v="4"/>
    <n v="0"/>
    <n v="244.24959999999999"/>
    <x v="3"/>
    <x v="4"/>
  </r>
  <r>
    <s v="CA-2015-114237"/>
    <x v="310"/>
    <d v="2015-03-15T00:00:00"/>
    <x v="2"/>
    <s v="MC-17275"/>
    <s v="Marc Crier"/>
    <x v="0"/>
    <s v="United States"/>
    <x v="15"/>
    <x v="13"/>
    <x v="1"/>
    <s v="FUR-BO-10004409"/>
    <s v="Furniture"/>
    <x v="0"/>
    <s v="Safco Value Mate Series Steel Bookcases, Baked Enamel Finish on Steel, Gray"/>
    <n v="141.96"/>
    <n v="2"/>
    <n v="0"/>
    <n v="39.748800000000003"/>
    <x v="3"/>
    <x v="9"/>
  </r>
  <r>
    <s v="CA-2017-162481"/>
    <x v="58"/>
    <d v="2017-09-29T00:00:00"/>
    <x v="1"/>
    <s v="CT-11995"/>
    <s v="Carol Triggs"/>
    <x v="0"/>
    <s v="United States"/>
    <x v="77"/>
    <x v="11"/>
    <x v="3"/>
    <s v="FUR-CH-10003061"/>
    <s v="Furniture"/>
    <x v="1"/>
    <s v="Global Leather Task Chair, Black"/>
    <n v="269.97000000000003"/>
    <n v="3"/>
    <n v="0"/>
    <n v="51.2943"/>
    <x v="4"/>
    <x v="4"/>
  </r>
  <r>
    <s v="CA-2015-122287"/>
    <x v="311"/>
    <d v="2015-06-23T00:00:00"/>
    <x v="1"/>
    <s v="SN-20560"/>
    <s v="Skye Norling"/>
    <x v="2"/>
    <s v="United States"/>
    <x v="117"/>
    <x v="22"/>
    <x v="1"/>
    <s v="FUR-FU-10004973"/>
    <s v="Furniture"/>
    <x v="3"/>
    <s v="Flat Face Poster Frame"/>
    <n v="75.36"/>
    <n v="5"/>
    <n v="0.2"/>
    <n v="20.724"/>
    <x v="2"/>
    <x v="2"/>
  </r>
  <r>
    <s v="CA-2015-142237"/>
    <x v="312"/>
    <d v="2015-07-13T00:00:00"/>
    <x v="2"/>
    <s v="CK-12595"/>
    <s v="Clytie Kelty"/>
    <x v="0"/>
    <s v="United States"/>
    <x v="3"/>
    <x v="3"/>
    <x v="2"/>
    <s v="FUR-FU-10004848"/>
    <s v="Furniture"/>
    <x v="3"/>
    <s v="Howard Miller 13-3/4&quot; Diameter Brushed Chrome Round Wall Clock"/>
    <n v="289.8"/>
    <n v="7"/>
    <n v="0.2"/>
    <n v="36.225000000000001"/>
    <x v="3"/>
    <x v="3"/>
  </r>
  <r>
    <s v="CA-2015-142237"/>
    <x v="312"/>
    <d v="2015-07-13T00:00:00"/>
    <x v="2"/>
    <s v="CK-12595"/>
    <s v="Clytie Kelty"/>
    <x v="0"/>
    <s v="United States"/>
    <x v="3"/>
    <x v="3"/>
    <x v="2"/>
    <s v="FUR-CH-10003833"/>
    <s v="Furniture"/>
    <x v="1"/>
    <s v="Novimex Fabric Task Chair"/>
    <n v="341.488"/>
    <n v="8"/>
    <n v="0.3"/>
    <n v="-73.176000000000002"/>
    <x v="3"/>
    <x v="3"/>
  </r>
  <r>
    <s v="CA-2015-142237"/>
    <x v="312"/>
    <d v="2015-07-13T00:00:00"/>
    <x v="2"/>
    <s v="CK-12595"/>
    <s v="Clytie Kelty"/>
    <x v="0"/>
    <s v="United States"/>
    <x v="3"/>
    <x v="3"/>
    <x v="2"/>
    <s v="FUR-FU-10003142"/>
    <s v="Furniture"/>
    <x v="3"/>
    <s v="Master Big Foot Doorstop, Beige"/>
    <n v="25.344000000000001"/>
    <n v="6"/>
    <n v="0.2"/>
    <n v="3.4847999999999999"/>
    <x v="3"/>
    <x v="3"/>
  </r>
  <r>
    <s v="CA-2016-136434"/>
    <x v="193"/>
    <d v="2016-12-07T00:00:00"/>
    <x v="1"/>
    <s v="RD-19480"/>
    <s v="Rick Duston"/>
    <x v="0"/>
    <s v="United States"/>
    <x v="52"/>
    <x v="6"/>
    <x v="3"/>
    <s v="FUR-FU-10001196"/>
    <s v="Furniture"/>
    <x v="3"/>
    <s v="DAX Cubicle Frames - 8x10"/>
    <n v="17.309999999999999"/>
    <n v="3"/>
    <n v="0"/>
    <n v="5.1929999999999996"/>
    <x v="6"/>
    <x v="5"/>
  </r>
  <r>
    <s v="CA-2017-120376"/>
    <x v="313"/>
    <d v="2017-12-25T00:00:00"/>
    <x v="2"/>
    <s v="TP-21130"/>
    <s v="Theone Pippenger"/>
    <x v="0"/>
    <s v="United States"/>
    <x v="25"/>
    <x v="17"/>
    <x v="3"/>
    <s v="FUR-CH-10002335"/>
    <s v="Furniture"/>
    <x v="1"/>
    <s v="Hon GuestStacker Chair"/>
    <n v="1586.69"/>
    <n v="7"/>
    <n v="0"/>
    <n v="412.5394"/>
    <x v="0"/>
    <x v="5"/>
  </r>
  <r>
    <s v="CA-2017-120376"/>
    <x v="313"/>
    <d v="2017-12-25T00:00:00"/>
    <x v="2"/>
    <s v="TP-21130"/>
    <s v="Theone Pippenger"/>
    <x v="0"/>
    <s v="United States"/>
    <x v="25"/>
    <x v="17"/>
    <x v="3"/>
    <s v="FUR-TA-10004534"/>
    <s v="Furniture"/>
    <x v="2"/>
    <s v="Bevis 44 x 96 Conference Tables"/>
    <n v="411.8"/>
    <n v="2"/>
    <n v="0"/>
    <n v="70.006"/>
    <x v="0"/>
    <x v="5"/>
  </r>
  <r>
    <s v="CA-2014-106439"/>
    <x v="314"/>
    <d v="2014-11-04T00:00:00"/>
    <x v="1"/>
    <s v="GG-14650"/>
    <s v="Greg Guthrie"/>
    <x v="1"/>
    <s v="United States"/>
    <x v="2"/>
    <x v="2"/>
    <x v="1"/>
    <s v="FUR-CH-10003833"/>
    <s v="Furniture"/>
    <x v="1"/>
    <s v="Novimex Fabric Task Chair"/>
    <n v="146.352"/>
    <n v="3"/>
    <n v="0.2"/>
    <n v="-9.1470000000000002"/>
    <x v="4"/>
    <x v="1"/>
  </r>
  <r>
    <s v="CA-2015-133452"/>
    <x v="315"/>
    <d v="2015-04-19T00:00:00"/>
    <x v="1"/>
    <s v="ZC-21910"/>
    <s v="Zuschuss Carroll"/>
    <x v="0"/>
    <s v="United States"/>
    <x v="135"/>
    <x v="2"/>
    <x v="1"/>
    <s v="FUR-TA-10003954"/>
    <s v="Furniture"/>
    <x v="2"/>
    <s v="Hon 94000 Series Round Tables"/>
    <n v="710.83199999999999"/>
    <n v="3"/>
    <n v="0.2"/>
    <n v="-97.739400000000003"/>
    <x v="6"/>
    <x v="6"/>
  </r>
  <r>
    <s v="US-2017-110996"/>
    <x v="93"/>
    <d v="2017-11-25T00:00:00"/>
    <x v="1"/>
    <s v="KA-16525"/>
    <s v="Kelly Andreada"/>
    <x v="0"/>
    <s v="United States"/>
    <x v="136"/>
    <x v="2"/>
    <x v="1"/>
    <s v="FUR-CH-10003956"/>
    <s v="Furniture"/>
    <x v="1"/>
    <s v="Novimex High-Tech Fabric Mesh Task Chair"/>
    <n v="283.92"/>
    <n v="5"/>
    <n v="0.2"/>
    <n v="-46.137"/>
    <x v="2"/>
    <x v="0"/>
  </r>
  <r>
    <s v="CA-2014-131051"/>
    <x v="280"/>
    <d v="2014-12-05T00:00:00"/>
    <x v="1"/>
    <s v="TR-21325"/>
    <s v="Toby Ritter"/>
    <x v="0"/>
    <s v="United States"/>
    <x v="28"/>
    <x v="2"/>
    <x v="1"/>
    <s v="FUR-FU-10001861"/>
    <s v="Furniture"/>
    <x v="3"/>
    <s v="Floodlight Indoor Halogen Bulbs, 1 Bulb per Pack, 60 Watts"/>
    <n v="58.2"/>
    <n v="3"/>
    <n v="0"/>
    <n v="28.518000000000001"/>
    <x v="4"/>
    <x v="5"/>
  </r>
  <r>
    <s v="CA-2015-120103"/>
    <x v="37"/>
    <d v="2015-12-29T00:00:00"/>
    <x v="1"/>
    <s v="MS-17365"/>
    <s v="Maribeth Schnelling"/>
    <x v="0"/>
    <s v="United States"/>
    <x v="43"/>
    <x v="22"/>
    <x v="1"/>
    <s v="FUR-FU-10002885"/>
    <s v="Furniture"/>
    <x v="3"/>
    <s v="Magna Visual Magnetic Picture Hangers"/>
    <n v="7.7119999999999997"/>
    <n v="2"/>
    <n v="0.2"/>
    <n v="1.7352000000000001"/>
    <x v="2"/>
    <x v="5"/>
  </r>
  <r>
    <s v="CA-2017-166142"/>
    <x v="316"/>
    <d v="2017-07-19T00:00:00"/>
    <x v="1"/>
    <s v="MM-17260"/>
    <s v="Magdelene Morse"/>
    <x v="0"/>
    <s v="United States"/>
    <x v="16"/>
    <x v="14"/>
    <x v="2"/>
    <s v="FUR-TA-10004607"/>
    <s v="Furniture"/>
    <x v="2"/>
    <s v="Hon 2111 Invitation Series Straight Table"/>
    <n v="310.44299999999998"/>
    <n v="3"/>
    <n v="0.3"/>
    <n v="-48.783900000000003"/>
    <x v="4"/>
    <x v="3"/>
  </r>
  <r>
    <s v="CA-2014-145926"/>
    <x v="317"/>
    <d v="2014-11-21T00:00:00"/>
    <x v="1"/>
    <s v="MP-17470"/>
    <s v="Mark Packer"/>
    <x v="2"/>
    <s v="United States"/>
    <x v="137"/>
    <x v="11"/>
    <x v="3"/>
    <s v="FUR-CH-10004289"/>
    <s v="Furniture"/>
    <x v="1"/>
    <s v="Global Super Steno Chair"/>
    <n v="479.9"/>
    <n v="5"/>
    <n v="0"/>
    <n v="81.582999999999998"/>
    <x v="4"/>
    <x v="0"/>
  </r>
  <r>
    <s v="CA-2014-123295"/>
    <x v="318"/>
    <d v="2014-07-18T00:00:00"/>
    <x v="3"/>
    <s v="AH-10120"/>
    <s v="Adrian Hane"/>
    <x v="2"/>
    <s v="United States"/>
    <x v="104"/>
    <x v="22"/>
    <x v="1"/>
    <s v="FUR-CH-10002372"/>
    <s v="Furniture"/>
    <x v="1"/>
    <s v="Office Star - Ergonomically Designed Knee Chair"/>
    <n v="259.13600000000002"/>
    <n v="4"/>
    <n v="0.2"/>
    <n v="-25.913599999999999"/>
    <x v="7"/>
    <x v="3"/>
  </r>
  <r>
    <s v="CA-2015-164882"/>
    <x v="319"/>
    <d v="2015-10-31T00:00:00"/>
    <x v="3"/>
    <s v="SG-20080"/>
    <s v="Sandra Glassco"/>
    <x v="0"/>
    <s v="United States"/>
    <x v="138"/>
    <x v="2"/>
    <x v="1"/>
    <s v="FUR-CH-10004218"/>
    <s v="Furniture"/>
    <x v="1"/>
    <s v="Global Fabric Manager's Chair, Dark Gray"/>
    <n v="323.13600000000002"/>
    <n v="4"/>
    <n v="0.2"/>
    <n v="20.196000000000002"/>
    <x v="7"/>
    <x v="1"/>
  </r>
  <r>
    <s v="CA-2015-164882"/>
    <x v="319"/>
    <d v="2015-10-31T00:00:00"/>
    <x v="3"/>
    <s v="SG-20080"/>
    <s v="Sandra Glassco"/>
    <x v="0"/>
    <s v="United States"/>
    <x v="138"/>
    <x v="2"/>
    <x v="1"/>
    <s v="FUR-BO-10002213"/>
    <s v="Furniture"/>
    <x v="0"/>
    <s v="DMI Eclipse Executive Suite Bookcases"/>
    <n v="425.83300000000003"/>
    <n v="1"/>
    <n v="0.15"/>
    <n v="20.039200000000001"/>
    <x v="7"/>
    <x v="1"/>
  </r>
  <r>
    <s v="CA-2015-159786"/>
    <x v="33"/>
    <d v="2015-10-17T00:00:00"/>
    <x v="0"/>
    <s v="RK-19300"/>
    <s v="Ralph Kennedy"/>
    <x v="0"/>
    <s v="United States"/>
    <x v="77"/>
    <x v="7"/>
    <x v="2"/>
    <s v="FUR-TA-10001307"/>
    <s v="Furniture"/>
    <x v="2"/>
    <s v="SAFCO PlanMaster Heigh-Adjustable Drafting Table Base, 43w x 30d x 30-37h, Black"/>
    <n v="209.67"/>
    <n v="1"/>
    <n v="0.4"/>
    <n v="-13.978"/>
    <x v="2"/>
    <x v="1"/>
  </r>
  <r>
    <s v="CA-2017-158246"/>
    <x v="17"/>
    <d v="2017-11-11T00:00:00"/>
    <x v="2"/>
    <s v="JB-15400"/>
    <s v="Jennifer Braxton"/>
    <x v="1"/>
    <s v="United States"/>
    <x v="139"/>
    <x v="2"/>
    <x v="1"/>
    <s v="FUR-CH-10003061"/>
    <s v="Furniture"/>
    <x v="1"/>
    <s v="Global Leather Task Chair, Black"/>
    <n v="215.976"/>
    <n v="3"/>
    <n v="0.2"/>
    <n v="-2.6997"/>
    <x v="3"/>
    <x v="0"/>
  </r>
  <r>
    <s v="CA-2017-167381"/>
    <x v="320"/>
    <d v="2017-09-24T00:00:00"/>
    <x v="0"/>
    <s v="EH-14005"/>
    <s v="Erica Hernandez"/>
    <x v="2"/>
    <s v="United States"/>
    <x v="140"/>
    <x v="17"/>
    <x v="3"/>
    <s v="FUR-BO-10001972"/>
    <s v="Furniture"/>
    <x v="0"/>
    <s v="O'Sullivan 4-Shelf Bookcase in Odessa Pine"/>
    <n v="241.96"/>
    <n v="2"/>
    <n v="0"/>
    <n v="41.133200000000002"/>
    <x v="3"/>
    <x v="4"/>
  </r>
  <r>
    <s v="CA-2015-134859"/>
    <x v="103"/>
    <d v="2015-10-09T00:00:00"/>
    <x v="1"/>
    <s v="JK-16120"/>
    <s v="Julie Kriz"/>
    <x v="2"/>
    <s v="United States"/>
    <x v="3"/>
    <x v="3"/>
    <x v="2"/>
    <s v="FUR-FU-10003623"/>
    <s v="Furniture"/>
    <x v="3"/>
    <s v="DataProducts Ampli Magnifier Task Lamp, Black,"/>
    <n v="64.944000000000003"/>
    <n v="3"/>
    <n v="0.2"/>
    <n v="6.4943999999999997"/>
    <x v="2"/>
    <x v="1"/>
  </r>
  <r>
    <s v="US-2014-114188"/>
    <x v="321"/>
    <d v="2014-05-22T00:00:00"/>
    <x v="0"/>
    <s v="RF-19345"/>
    <s v="Randy Ferguson"/>
    <x v="1"/>
    <s v="United States"/>
    <x v="63"/>
    <x v="28"/>
    <x v="2"/>
    <s v="FUR-FU-10000076"/>
    <s v="Furniture"/>
    <x v="3"/>
    <s v="24-Hour Round Wall Clock"/>
    <n v="139.86000000000001"/>
    <n v="7"/>
    <n v="0"/>
    <n v="60.139800000000001"/>
    <x v="3"/>
    <x v="7"/>
  </r>
  <r>
    <s v="CA-2015-156377"/>
    <x v="322"/>
    <d v="2016-01-05T00:00:00"/>
    <x v="1"/>
    <s v="TB-21625"/>
    <s v="Trudy Brown"/>
    <x v="0"/>
    <s v="United States"/>
    <x v="141"/>
    <x v="5"/>
    <x v="3"/>
    <s v="FUR-FU-10002364"/>
    <s v="Furniture"/>
    <x v="3"/>
    <s v="Eldon Expressions Wood Desk Accessories, Oak"/>
    <n v="14.76"/>
    <n v="5"/>
    <n v="0.6"/>
    <n v="-11.439"/>
    <x v="2"/>
    <x v="5"/>
  </r>
  <r>
    <s v="CA-2014-159520"/>
    <x v="323"/>
    <d v="2014-06-11T00:00:00"/>
    <x v="1"/>
    <s v="GT-14635"/>
    <s v="Grant Thornton"/>
    <x v="1"/>
    <s v="United States"/>
    <x v="62"/>
    <x v="7"/>
    <x v="2"/>
    <s v="FUR-TA-10003238"/>
    <s v="Furniture"/>
    <x v="2"/>
    <s v="Chromcraft Bull-Nose Wood 48&quot; x 96&quot; Rectangular Conference Tables"/>
    <n v="991.76400000000001"/>
    <n v="3"/>
    <n v="0.4"/>
    <n v="-347.11739999999998"/>
    <x v="2"/>
    <x v="2"/>
  </r>
  <r>
    <s v="US-2016-152051"/>
    <x v="324"/>
    <d v="2016-06-29T00:00:00"/>
    <x v="1"/>
    <s v="TS-21160"/>
    <s v="Theresa Swint"/>
    <x v="1"/>
    <s v="United States"/>
    <x v="142"/>
    <x v="3"/>
    <x v="2"/>
    <s v="FUR-CH-10002965"/>
    <s v="Furniture"/>
    <x v="1"/>
    <s v="Global Leather Highback Executive Chair with Pneumatic Height Adjustment, Black"/>
    <n v="422.05799999999999"/>
    <n v="3"/>
    <n v="0.3"/>
    <n v="-18.088200000000001"/>
    <x v="4"/>
    <x v="2"/>
  </r>
  <r>
    <s v="CA-2014-141607"/>
    <x v="202"/>
    <d v="2014-12-17T00:00:00"/>
    <x v="1"/>
    <s v="WB-21850"/>
    <s v="William Brown"/>
    <x v="0"/>
    <s v="United States"/>
    <x v="41"/>
    <x v="2"/>
    <x v="1"/>
    <s v="FUR-FU-10003975"/>
    <s v="Furniture"/>
    <x v="3"/>
    <s v="Eldon Advantage Chair Mats for Low to Medium Pile Carpets"/>
    <n v="43.31"/>
    <n v="1"/>
    <n v="0"/>
    <n v="4.3310000000000004"/>
    <x v="2"/>
    <x v="5"/>
  </r>
  <r>
    <s v="US-2017-139969"/>
    <x v="49"/>
    <d v="2017-11-26T00:00:00"/>
    <x v="1"/>
    <s v="AF-10870"/>
    <s v="Art Ferguson"/>
    <x v="0"/>
    <s v="United States"/>
    <x v="143"/>
    <x v="5"/>
    <x v="3"/>
    <s v="FUR-CH-10001973"/>
    <s v="Furniture"/>
    <x v="1"/>
    <s v="Office Star Flex Back Scooter Chair with White Frame"/>
    <n v="233.05799999999999"/>
    <n v="3"/>
    <n v="0.3"/>
    <n v="-53.270400000000002"/>
    <x v="1"/>
    <x v="0"/>
  </r>
  <r>
    <s v="US-2016-120460"/>
    <x v="325"/>
    <d v="2016-05-05T00:00:00"/>
    <x v="1"/>
    <s v="BF-11170"/>
    <s v="Ben Ferrer"/>
    <x v="2"/>
    <s v="United States"/>
    <x v="144"/>
    <x v="5"/>
    <x v="3"/>
    <s v="FUR-FU-10004973"/>
    <s v="Furniture"/>
    <x v="3"/>
    <s v="Flat Face Poster Frame"/>
    <n v="22.608000000000001"/>
    <n v="3"/>
    <n v="0.6"/>
    <n v="-10.1736"/>
    <x v="2"/>
    <x v="6"/>
  </r>
  <r>
    <s v="CA-2016-141019"/>
    <x v="326"/>
    <d v="2016-05-14T00:00:00"/>
    <x v="3"/>
    <s v="LH-17155"/>
    <s v="Logan Haushalter"/>
    <x v="0"/>
    <s v="United States"/>
    <x v="145"/>
    <x v="15"/>
    <x v="2"/>
    <s v="FUR-FU-10002937"/>
    <s v="Furniture"/>
    <x v="3"/>
    <s v="GE 48&quot; Fluorescent Tube, Cool White Energy Saver, 34 Watts, 30/Box"/>
    <n v="79.384"/>
    <n v="1"/>
    <n v="0.2"/>
    <n v="29.768999999999998"/>
    <x v="7"/>
    <x v="7"/>
  </r>
  <r>
    <s v="CA-2016-154018"/>
    <x v="25"/>
    <d v="2016-10-19T00:00:00"/>
    <x v="1"/>
    <s v="HA-14920"/>
    <s v="Helen Andreada"/>
    <x v="0"/>
    <s v="United States"/>
    <x v="146"/>
    <x v="5"/>
    <x v="3"/>
    <s v="FUR-FU-10003394"/>
    <s v="Furniture"/>
    <x v="3"/>
    <s v="Tenex &quot;The Solids&quot; Textured Chair Mats"/>
    <n v="139.91999999999999"/>
    <n v="5"/>
    <n v="0.6"/>
    <n v="-150.41399999999999"/>
    <x v="6"/>
    <x v="1"/>
  </r>
  <r>
    <s v="US-2017-137491"/>
    <x v="49"/>
    <d v="2017-11-25T00:00:00"/>
    <x v="1"/>
    <s v="LC-16930"/>
    <s v="Linda Cazamias"/>
    <x v="1"/>
    <s v="United States"/>
    <x v="147"/>
    <x v="5"/>
    <x v="3"/>
    <s v="FUR-CH-10004675"/>
    <s v="Furniture"/>
    <x v="1"/>
    <s v="Lifetime Advantage Folding Chairs, 4/Carton"/>
    <n v="305.31200000000001"/>
    <n v="2"/>
    <n v="0.3"/>
    <n v="-8.7232000000000003"/>
    <x v="6"/>
    <x v="0"/>
  </r>
  <r>
    <s v="CA-2016-128818"/>
    <x v="327"/>
    <d v="2016-05-11T00:00:00"/>
    <x v="1"/>
    <s v="CJ-12010"/>
    <s v="Caroline Jumper"/>
    <x v="0"/>
    <s v="United States"/>
    <x v="13"/>
    <x v="7"/>
    <x v="2"/>
    <s v="FUR-CH-10002084"/>
    <s v="Furniture"/>
    <x v="1"/>
    <s v="Hon Mobius Operator's Chair"/>
    <n v="442.76400000000001"/>
    <n v="4"/>
    <n v="0.1"/>
    <n v="59.035200000000003"/>
    <x v="4"/>
    <x v="7"/>
  </r>
  <r>
    <s v="CA-2016-128818"/>
    <x v="327"/>
    <d v="2016-05-11T00:00:00"/>
    <x v="1"/>
    <s v="CJ-12010"/>
    <s v="Caroline Jumper"/>
    <x v="0"/>
    <s v="United States"/>
    <x v="13"/>
    <x v="7"/>
    <x v="2"/>
    <s v="FUR-FU-10001940"/>
    <s v="Furniture"/>
    <x v="3"/>
    <s v="Staple-based wall hangings"/>
    <n v="63.68"/>
    <n v="8"/>
    <n v="0"/>
    <n v="28.019200000000001"/>
    <x v="4"/>
    <x v="7"/>
  </r>
  <r>
    <s v="CA-2017-143063"/>
    <x v="328"/>
    <d v="2017-08-15T00:00:00"/>
    <x v="1"/>
    <s v="IL-15100"/>
    <s v="Ivan Liston"/>
    <x v="0"/>
    <s v="United States"/>
    <x v="29"/>
    <x v="6"/>
    <x v="3"/>
    <s v="FUR-FU-10003708"/>
    <s v="Furniture"/>
    <x v="3"/>
    <s v="Tenex Traditional Chairmats for Medium Pile Carpet, Standard Lip, 36&quot; x 48&quot;"/>
    <n v="121.3"/>
    <n v="2"/>
    <n v="0"/>
    <n v="25.472999999999999"/>
    <x v="2"/>
    <x v="10"/>
  </r>
  <r>
    <s v="US-2014-165659"/>
    <x v="42"/>
    <d v="2014-06-06T00:00:00"/>
    <x v="1"/>
    <s v="LT-17110"/>
    <s v="Liz Thompson"/>
    <x v="0"/>
    <s v="United States"/>
    <x v="148"/>
    <x v="31"/>
    <x v="0"/>
    <s v="FUR-FU-10001935"/>
    <s v="Furniture"/>
    <x v="3"/>
    <s v="3M Hangers With Command Adhesive"/>
    <n v="22.2"/>
    <n v="6"/>
    <n v="0"/>
    <n v="9.1020000000000003"/>
    <x v="2"/>
    <x v="2"/>
  </r>
  <r>
    <s v="CA-2015-138002"/>
    <x v="329"/>
    <d v="2015-09-12T00:00:00"/>
    <x v="1"/>
    <s v="BT-11305"/>
    <s v="Beth Thompson"/>
    <x v="2"/>
    <s v="United States"/>
    <x v="15"/>
    <x v="13"/>
    <x v="1"/>
    <s v="FUR-FU-10004748"/>
    <s v="Furniture"/>
    <x v="3"/>
    <s v="Howard Miller 16&quot; Diameter Gallery Wall Clock"/>
    <n v="191.82"/>
    <n v="3"/>
    <n v="0"/>
    <n v="74.809799999999996"/>
    <x v="6"/>
    <x v="4"/>
  </r>
  <r>
    <s v="CA-2015-128860"/>
    <x v="330"/>
    <d v="2015-07-05T00:00:00"/>
    <x v="1"/>
    <s v="SC-20725"/>
    <s v="Steven Cartwright"/>
    <x v="0"/>
    <s v="United States"/>
    <x v="68"/>
    <x v="3"/>
    <x v="2"/>
    <s v="FUR-FU-10001473"/>
    <s v="Furniture"/>
    <x v="3"/>
    <s v="Eldon Executive Woodline II Desk Accessories, Mahogany"/>
    <n v="20.103999999999999"/>
    <n v="1"/>
    <n v="0.2"/>
    <n v="1.7591000000000001"/>
    <x v="6"/>
    <x v="2"/>
  </r>
  <r>
    <s v="CA-2017-107874"/>
    <x v="295"/>
    <d v="2017-11-25T00:00:00"/>
    <x v="1"/>
    <s v="SW-20275"/>
    <s v="Scott Williamson"/>
    <x v="0"/>
    <s v="United States"/>
    <x v="13"/>
    <x v="7"/>
    <x v="2"/>
    <s v="FUR-FU-10003535"/>
    <s v="Furniture"/>
    <x v="3"/>
    <s v="Howard Miller Distant Time Traveler Alarm Clock"/>
    <n v="27.42"/>
    <n v="1"/>
    <n v="0"/>
    <n v="11.2422"/>
    <x v="4"/>
    <x v="0"/>
  </r>
  <r>
    <s v="CA-2017-129378"/>
    <x v="95"/>
    <d v="2017-10-02T00:00:00"/>
    <x v="2"/>
    <s v="NS-18505"/>
    <s v="Neola Schneider"/>
    <x v="0"/>
    <s v="United States"/>
    <x v="124"/>
    <x v="2"/>
    <x v="1"/>
    <s v="FUR-CH-10000553"/>
    <s v="Furniture"/>
    <x v="1"/>
    <s v="Metal Folding Chairs, Beige, 4/Carton"/>
    <n v="108.608"/>
    <n v="4"/>
    <n v="0.2"/>
    <n v="9.5031999999999996"/>
    <x v="5"/>
    <x v="1"/>
  </r>
  <r>
    <s v="CA-2015-131884"/>
    <x v="248"/>
    <d v="2015-12-06T00:00:00"/>
    <x v="3"/>
    <s v="DK-13375"/>
    <s v="Dennis Kane"/>
    <x v="0"/>
    <s v="United States"/>
    <x v="149"/>
    <x v="15"/>
    <x v="2"/>
    <s v="FUR-CH-10004860"/>
    <s v="Furniture"/>
    <x v="1"/>
    <s v="Global Low Back Tilter Chair"/>
    <n v="70.686000000000007"/>
    <n v="1"/>
    <n v="0.3"/>
    <n v="-24.235199999999999"/>
    <x v="7"/>
    <x v="5"/>
  </r>
  <r>
    <s v="CA-2016-106383"/>
    <x v="331"/>
    <d v="2016-03-21T00:00:00"/>
    <x v="0"/>
    <s v="BT-11440"/>
    <s v="Bobby Trafton"/>
    <x v="0"/>
    <s v="United States"/>
    <x v="150"/>
    <x v="12"/>
    <x v="1"/>
    <s v="FUR-BO-10002202"/>
    <s v="Furniture"/>
    <x v="0"/>
    <s v="Atlantic Metals Mobile 2-Shelf Bookcases, Custom Colors"/>
    <n v="72.293999999999997"/>
    <n v="1"/>
    <n v="0.7"/>
    <n v="-98.8018"/>
    <x v="3"/>
    <x v="9"/>
  </r>
  <r>
    <s v="CA-2016-139157"/>
    <x v="180"/>
    <d v="2016-10-05T00:00:00"/>
    <x v="1"/>
    <s v="GM-14680"/>
    <s v="Greg Matthias"/>
    <x v="0"/>
    <s v="United States"/>
    <x v="13"/>
    <x v="7"/>
    <x v="2"/>
    <s v="FUR-TA-10003238"/>
    <s v="Furniture"/>
    <x v="2"/>
    <s v="Chromcraft Bull-Nose Wood 48&quot; x 96&quot; Rectangular Conference Tables"/>
    <n v="330.58800000000002"/>
    <n v="1"/>
    <n v="0.4"/>
    <n v="-115.7058"/>
    <x v="4"/>
    <x v="1"/>
  </r>
  <r>
    <s v="CA-2017-157091"/>
    <x v="332"/>
    <d v="2017-07-01T00:00:00"/>
    <x v="1"/>
    <s v="DB-13405"/>
    <s v="Denny Blanton"/>
    <x v="0"/>
    <s v="United States"/>
    <x v="101"/>
    <x v="6"/>
    <x v="3"/>
    <s v="FUR-FU-10000293"/>
    <s v="Furniture"/>
    <x v="3"/>
    <s v="Eldon Antistatic Chair Mats for Low to Medium Pile Carpets"/>
    <n v="526.45000000000005"/>
    <n v="5"/>
    <n v="0"/>
    <n v="31.587"/>
    <x v="2"/>
    <x v="2"/>
  </r>
  <r>
    <s v="CA-2017-166849"/>
    <x v="333"/>
    <d v="2017-04-26T00:00:00"/>
    <x v="1"/>
    <s v="SJ-20125"/>
    <s v="Sanjit Jacobs"/>
    <x v="2"/>
    <s v="United States"/>
    <x v="9"/>
    <x v="8"/>
    <x v="3"/>
    <s v="FUR-FU-10004597"/>
    <s v="Furniture"/>
    <x v="3"/>
    <s v="Eldon Cleatmat Chair Mats for Medium Pile Carpets"/>
    <n v="44.4"/>
    <n v="2"/>
    <n v="0.6"/>
    <n v="-52.17"/>
    <x v="6"/>
    <x v="6"/>
  </r>
  <r>
    <s v="CA-2016-164091"/>
    <x v="334"/>
    <d v="2016-09-22T00:00:00"/>
    <x v="1"/>
    <s v="LA-16780"/>
    <s v="Laura Armstrong"/>
    <x v="1"/>
    <s v="United States"/>
    <x v="151"/>
    <x v="39"/>
    <x v="2"/>
    <s v="FUR-FU-10004952"/>
    <s v="Furniture"/>
    <x v="3"/>
    <s v="C-Line Cubicle Keepers Polyproplyene Holder w/Velcro Back, 8-1/2x11, 25/Bx"/>
    <n v="109.48"/>
    <n v="2"/>
    <n v="0"/>
    <n v="33.938800000000001"/>
    <x v="2"/>
    <x v="4"/>
  </r>
  <r>
    <s v="CA-2017-105214"/>
    <x v="140"/>
    <d v="2017-06-19T00:00:00"/>
    <x v="2"/>
    <s v="TS-21610"/>
    <s v="Troy Staebel"/>
    <x v="0"/>
    <s v="United States"/>
    <x v="28"/>
    <x v="2"/>
    <x v="1"/>
    <s v="FUR-CH-10000015"/>
    <s v="Furniture"/>
    <x v="1"/>
    <s v="Hon Multipurpose Stacking Arm Chairs"/>
    <n v="1212.96"/>
    <n v="7"/>
    <n v="0.2"/>
    <n v="90.971999999999994"/>
    <x v="0"/>
    <x v="2"/>
  </r>
  <r>
    <s v="CA-2017-122994"/>
    <x v="335"/>
    <d v="2017-02-09T00:00:00"/>
    <x v="2"/>
    <s v="MV-17485"/>
    <s v="Mark Van Huff"/>
    <x v="0"/>
    <s v="United States"/>
    <x v="58"/>
    <x v="25"/>
    <x v="0"/>
    <s v="FUR-BO-10004015"/>
    <s v="Furniture"/>
    <x v="0"/>
    <s v="Bush Andora Bookcase, Maple/Graphite Gray Finish"/>
    <n v="359.97"/>
    <n v="3"/>
    <n v="0"/>
    <n v="79.193399999999997"/>
    <x v="0"/>
    <x v="11"/>
  </r>
  <r>
    <s v="CA-2015-142944"/>
    <x v="336"/>
    <d v="2015-03-11T00:00:00"/>
    <x v="1"/>
    <s v="JL-15850"/>
    <s v="John Lucas"/>
    <x v="0"/>
    <s v="United States"/>
    <x v="28"/>
    <x v="2"/>
    <x v="1"/>
    <s v="FUR-FU-10000308"/>
    <s v="Furniture"/>
    <x v="3"/>
    <s v="Deflect-o Glass Clear Studded Chair Mats"/>
    <n v="435.26"/>
    <n v="7"/>
    <n v="0"/>
    <n v="95.757199999999997"/>
    <x v="2"/>
    <x v="9"/>
  </r>
  <r>
    <s v="CA-2014-157882"/>
    <x v="215"/>
    <d v="2014-10-08T00:00:00"/>
    <x v="0"/>
    <s v="AR-10405"/>
    <s v="Allen Rosenblatt"/>
    <x v="1"/>
    <s v="United States"/>
    <x v="2"/>
    <x v="2"/>
    <x v="1"/>
    <s v="FUR-TA-10001866"/>
    <s v="Furniture"/>
    <x v="2"/>
    <s v="Bevis Round Conference Room Tables and Bases"/>
    <n v="143.43199999999999"/>
    <n v="1"/>
    <n v="0.2"/>
    <n v="3.5857999999999999"/>
    <x v="2"/>
    <x v="1"/>
  </r>
  <r>
    <s v="CA-2014-157882"/>
    <x v="215"/>
    <d v="2014-10-08T00:00:00"/>
    <x v="0"/>
    <s v="AR-10405"/>
    <s v="Allen Rosenblatt"/>
    <x v="1"/>
    <s v="United States"/>
    <x v="2"/>
    <x v="2"/>
    <x v="1"/>
    <s v="FUR-CH-10002774"/>
    <s v="Furniture"/>
    <x v="1"/>
    <s v="Global Deluxe Stacking Chair, Gray"/>
    <n v="122.352"/>
    <n v="3"/>
    <n v="0.2"/>
    <n v="13.7646"/>
    <x v="2"/>
    <x v="1"/>
  </r>
  <r>
    <s v="CA-2014-104283"/>
    <x v="337"/>
    <d v="2014-07-01T00:00:00"/>
    <x v="1"/>
    <s v="LM-17065"/>
    <s v="Liz MacKendrick"/>
    <x v="0"/>
    <s v="United States"/>
    <x v="152"/>
    <x v="21"/>
    <x v="0"/>
    <s v="FUR-TA-10001039"/>
    <s v="Furniture"/>
    <x v="2"/>
    <s v="KI Adjustable-Height Table"/>
    <n v="85.98"/>
    <n v="1"/>
    <n v="0"/>
    <n v="22.354800000000001"/>
    <x v="4"/>
    <x v="2"/>
  </r>
  <r>
    <s v="CA-2017-142622"/>
    <x v="242"/>
    <d v="2017-11-02T00:00:00"/>
    <x v="2"/>
    <s v="JK-15625"/>
    <s v="Jim Karlsson"/>
    <x v="0"/>
    <s v="United States"/>
    <x v="15"/>
    <x v="13"/>
    <x v="1"/>
    <s v="FUR-CH-10003833"/>
    <s v="Furniture"/>
    <x v="1"/>
    <s v="Novimex Fabric Task Chair"/>
    <n v="97.567999999999998"/>
    <n v="2"/>
    <n v="0.2"/>
    <n v="-6.0979999999999999"/>
    <x v="0"/>
    <x v="1"/>
  </r>
  <r>
    <s v="CA-2017-142622"/>
    <x v="242"/>
    <d v="2017-11-02T00:00:00"/>
    <x v="2"/>
    <s v="JK-15625"/>
    <s v="Jim Karlsson"/>
    <x v="0"/>
    <s v="United States"/>
    <x v="15"/>
    <x v="13"/>
    <x v="1"/>
    <s v="FUR-CH-10004289"/>
    <s v="Furniture"/>
    <x v="1"/>
    <s v="Global Super Steno Chair"/>
    <n v="614.27200000000005"/>
    <n v="8"/>
    <n v="0.2"/>
    <n v="-23.0352"/>
    <x v="0"/>
    <x v="1"/>
  </r>
  <r>
    <s v="CA-2017-142622"/>
    <x v="242"/>
    <d v="2017-11-02T00:00:00"/>
    <x v="2"/>
    <s v="JK-15625"/>
    <s v="Jim Karlsson"/>
    <x v="0"/>
    <s v="United States"/>
    <x v="15"/>
    <x v="13"/>
    <x v="1"/>
    <s v="FUR-BO-10004467"/>
    <s v="Furniture"/>
    <x v="0"/>
    <s v="Bestar Classic Bookcase"/>
    <n v="199.98"/>
    <n v="2"/>
    <n v="0"/>
    <n v="37.996200000000002"/>
    <x v="0"/>
    <x v="1"/>
  </r>
  <r>
    <s v="CA-2017-115154"/>
    <x v="338"/>
    <d v="2017-01-11T00:00:00"/>
    <x v="2"/>
    <s v="RS-19420"/>
    <s v="Ricardo Sperren"/>
    <x v="1"/>
    <s v="United States"/>
    <x v="15"/>
    <x v="13"/>
    <x v="1"/>
    <s v="FUR-TA-10001950"/>
    <s v="Furniture"/>
    <x v="2"/>
    <s v="Balt Solid Wood Round Tables"/>
    <n v="892.98"/>
    <n v="2"/>
    <n v="0"/>
    <n v="80.368200000000002"/>
    <x v="0"/>
    <x v="8"/>
  </r>
  <r>
    <s v="CA-2015-149342"/>
    <x v="339"/>
    <d v="2015-04-25T00:00:00"/>
    <x v="1"/>
    <s v="TS-21160"/>
    <s v="Theresa Swint"/>
    <x v="1"/>
    <s v="United States"/>
    <x v="29"/>
    <x v="24"/>
    <x v="0"/>
    <s v="FUR-FU-10002937"/>
    <s v="Furniture"/>
    <x v="3"/>
    <s v="GE 48&quot; Fluorescent Tube, Cool White Energy Saver, 34 Watts, 30/Box"/>
    <n v="595.38"/>
    <n v="6"/>
    <n v="0"/>
    <n v="297.69"/>
    <x v="2"/>
    <x v="6"/>
  </r>
  <r>
    <s v="CA-2017-127929"/>
    <x v="340"/>
    <d v="2017-12-27T00:00:00"/>
    <x v="1"/>
    <s v="FM-14215"/>
    <s v="Filia McAdams"/>
    <x v="1"/>
    <s v="United States"/>
    <x v="108"/>
    <x v="19"/>
    <x v="2"/>
    <s v="FUR-FU-10003708"/>
    <s v="Furniture"/>
    <x v="3"/>
    <s v="Tenex Traditional Chairmats for Medium Pile Carpet, Standard Lip, 36&quot; x 48&quot;"/>
    <n v="181.95"/>
    <n v="3"/>
    <n v="0"/>
    <n v="38.209499999999998"/>
    <x v="4"/>
    <x v="5"/>
  </r>
  <r>
    <s v="CA-2015-113145"/>
    <x v="341"/>
    <d v="2015-11-05T00:00:00"/>
    <x v="1"/>
    <s v="VD-21670"/>
    <s v="Valerie Dominguez"/>
    <x v="0"/>
    <s v="United States"/>
    <x v="13"/>
    <x v="7"/>
    <x v="2"/>
    <s v="FUR-FU-10000965"/>
    <s v="Furniture"/>
    <x v="3"/>
    <s v="Howard Miller 11-1/2&quot; Diameter Ridgewood Wall Clock"/>
    <n v="259.7"/>
    <n v="5"/>
    <n v="0"/>
    <n v="106.477"/>
    <x v="4"/>
    <x v="0"/>
  </r>
  <r>
    <s v="CA-2017-157931"/>
    <x v="342"/>
    <d v="2017-09-22T00:00:00"/>
    <x v="0"/>
    <s v="MO-17800"/>
    <s v="Meg O'Connel"/>
    <x v="2"/>
    <s v="United States"/>
    <x v="153"/>
    <x v="24"/>
    <x v="0"/>
    <s v="FUR-CH-10000785"/>
    <s v="Furniture"/>
    <x v="1"/>
    <s v="Global Ergonomic Managers Chair"/>
    <n v="723.92"/>
    <n v="4"/>
    <n v="0"/>
    <n v="188.2192"/>
    <x v="2"/>
    <x v="4"/>
  </r>
  <r>
    <s v="CA-2016-115574"/>
    <x v="207"/>
    <d v="2016-12-24T00:00:00"/>
    <x v="2"/>
    <s v="BP-11185"/>
    <s v="Ben Peterman"/>
    <x v="1"/>
    <s v="United States"/>
    <x v="9"/>
    <x v="8"/>
    <x v="3"/>
    <s v="FUR-BO-10003441"/>
    <s v="Furniture"/>
    <x v="0"/>
    <s v="Bush Westfield Collection Bookcases, Fully Assembled"/>
    <n v="141.37200000000001"/>
    <n v="2"/>
    <n v="0.3"/>
    <n v="-14.1372"/>
    <x v="5"/>
    <x v="5"/>
  </r>
  <r>
    <s v="US-2017-120418"/>
    <x v="343"/>
    <d v="2017-06-12T00:00:00"/>
    <x v="2"/>
    <s v="BC-11125"/>
    <s v="Becky Castell"/>
    <x v="2"/>
    <s v="United States"/>
    <x v="117"/>
    <x v="22"/>
    <x v="1"/>
    <s v="FUR-CH-10001394"/>
    <s v="Furniture"/>
    <x v="1"/>
    <s v="Global Leather Executive Chair"/>
    <n v="280.79199999999997"/>
    <n v="1"/>
    <n v="0.2"/>
    <n v="35.098999999999997"/>
    <x v="5"/>
    <x v="2"/>
  </r>
  <r>
    <s v="CA-2017-122035"/>
    <x v="96"/>
    <d v="2017-07-25T00:00:00"/>
    <x v="1"/>
    <s v="EM-13825"/>
    <s v="Elizabeth Moffitt"/>
    <x v="1"/>
    <s v="United States"/>
    <x v="154"/>
    <x v="40"/>
    <x v="3"/>
    <s v="FUR-CH-10003833"/>
    <s v="Furniture"/>
    <x v="1"/>
    <s v="Novimex Fabric Task Chair"/>
    <n v="182.94"/>
    <n v="3"/>
    <n v="0"/>
    <n v="27.440999999999999"/>
    <x v="2"/>
    <x v="3"/>
  </r>
  <r>
    <s v="CA-2015-105102"/>
    <x v="195"/>
    <d v="2015-09-19T00:00:00"/>
    <x v="0"/>
    <s v="BM-11575"/>
    <s v="Brendan Murry"/>
    <x v="1"/>
    <s v="United States"/>
    <x v="13"/>
    <x v="7"/>
    <x v="2"/>
    <s v="FUR-BO-10004709"/>
    <s v="Furniture"/>
    <x v="0"/>
    <s v="Bush Westfield Collection Bookcases, Medium Cherry Finish"/>
    <n v="46.384"/>
    <n v="1"/>
    <n v="0.2"/>
    <n v="1.1596"/>
    <x v="4"/>
    <x v="4"/>
  </r>
  <r>
    <s v="US-2015-147739"/>
    <x v="344"/>
    <d v="2015-12-29T00:00:00"/>
    <x v="1"/>
    <s v="JD-16150"/>
    <s v="Justin Deggeller"/>
    <x v="1"/>
    <s v="United States"/>
    <x v="3"/>
    <x v="3"/>
    <x v="2"/>
    <s v="FUR-FU-10001468"/>
    <s v="Furniture"/>
    <x v="3"/>
    <s v="Tenex Antistatic Computer Chair Mats"/>
    <n v="547.13599999999997"/>
    <n v="4"/>
    <n v="0.2"/>
    <n v="-68.391999999999996"/>
    <x v="4"/>
    <x v="5"/>
  </r>
  <r>
    <s v="US-2014-143231"/>
    <x v="252"/>
    <d v="2015-01-03T00:00:00"/>
    <x v="2"/>
    <s v="GM-14455"/>
    <s v="Gary Mitchum"/>
    <x v="2"/>
    <s v="United States"/>
    <x v="20"/>
    <x v="20"/>
    <x v="2"/>
    <s v="FUR-FU-10002501"/>
    <s v="Furniture"/>
    <x v="3"/>
    <s v="Nu-Dell Executive Frame"/>
    <n v="63.2"/>
    <n v="5"/>
    <n v="0"/>
    <n v="23.384"/>
    <x v="0"/>
    <x v="5"/>
  </r>
  <r>
    <s v="CA-2016-159373"/>
    <x v="345"/>
    <d v="2016-03-18T00:00:00"/>
    <x v="1"/>
    <s v="LT-17110"/>
    <s v="Liz Thompson"/>
    <x v="0"/>
    <s v="United States"/>
    <x v="21"/>
    <x v="5"/>
    <x v="3"/>
    <s v="FUR-TA-10004619"/>
    <s v="Furniture"/>
    <x v="2"/>
    <s v="Hon Non-Folding Utility Tables"/>
    <n v="557.58500000000004"/>
    <n v="5"/>
    <n v="0.3"/>
    <n v="0"/>
    <x v="2"/>
    <x v="9"/>
  </r>
  <r>
    <s v="CA-2015-111514"/>
    <x v="346"/>
    <d v="2015-09-02T00:00:00"/>
    <x v="2"/>
    <s v="SC-20260"/>
    <s v="Scott Cohen"/>
    <x v="1"/>
    <s v="United States"/>
    <x v="28"/>
    <x v="2"/>
    <x v="1"/>
    <s v="FUR-BO-10002545"/>
    <s v="Furniture"/>
    <x v="0"/>
    <s v="Atlantic Metals Mobile 3-Shelf Bookcases, Custom Colors"/>
    <n v="1552.8309999999999"/>
    <n v="7"/>
    <n v="0.15"/>
    <n v="200.9546"/>
    <x v="3"/>
    <x v="10"/>
  </r>
  <r>
    <s v="US-2014-148838"/>
    <x v="347"/>
    <d v="2014-03-21T00:00:00"/>
    <x v="1"/>
    <s v="CP-12340"/>
    <s v="Christine Phan"/>
    <x v="1"/>
    <s v="United States"/>
    <x v="13"/>
    <x v="7"/>
    <x v="2"/>
    <s v="FUR-TA-10003473"/>
    <s v="Furniture"/>
    <x v="2"/>
    <s v="Bretford Rectangular Conference Table Tops"/>
    <n v="1579.7460000000001"/>
    <n v="7"/>
    <n v="0.4"/>
    <n v="-447.59469999999999"/>
    <x v="4"/>
    <x v="9"/>
  </r>
  <r>
    <s v="US-2014-148838"/>
    <x v="347"/>
    <d v="2014-03-21T00:00:00"/>
    <x v="1"/>
    <s v="CP-12340"/>
    <s v="Christine Phan"/>
    <x v="1"/>
    <s v="United States"/>
    <x v="13"/>
    <x v="7"/>
    <x v="2"/>
    <s v="FUR-TA-10001950"/>
    <s v="Furniture"/>
    <x v="2"/>
    <s v="Balt Solid Wood Round Tables"/>
    <n v="1071.576"/>
    <n v="4"/>
    <n v="0.4"/>
    <n v="-553.64760000000001"/>
    <x v="4"/>
    <x v="9"/>
  </r>
  <r>
    <s v="US-2014-148838"/>
    <x v="347"/>
    <d v="2014-03-21T00:00:00"/>
    <x v="1"/>
    <s v="CP-12340"/>
    <s v="Christine Phan"/>
    <x v="1"/>
    <s v="United States"/>
    <x v="13"/>
    <x v="7"/>
    <x v="2"/>
    <s v="FUR-TA-10004175"/>
    <s v="Furniture"/>
    <x v="2"/>
    <s v="Hon 30&quot; x 60&quot; Table with Locking Drawer"/>
    <n v="613.90800000000002"/>
    <n v="3"/>
    <n v="0.4"/>
    <n v="-122.7816"/>
    <x v="4"/>
    <x v="9"/>
  </r>
  <r>
    <s v="US-2016-108637"/>
    <x v="345"/>
    <d v="2016-03-18T00:00:00"/>
    <x v="1"/>
    <s v="AB-10060"/>
    <s v="Adam Bellavance"/>
    <x v="2"/>
    <s v="United States"/>
    <x v="61"/>
    <x v="25"/>
    <x v="0"/>
    <s v="FUR-FU-10004864"/>
    <s v="Furniture"/>
    <x v="3"/>
    <s v="Howard Miller 14-1/2&quot; Diameter Chrome Round Wall Clock"/>
    <n v="127.88"/>
    <n v="2"/>
    <n v="0"/>
    <n v="40.921599999999998"/>
    <x v="2"/>
    <x v="9"/>
  </r>
  <r>
    <s v="CA-2014-102295"/>
    <x v="168"/>
    <d v="2014-11-26T00:00:00"/>
    <x v="0"/>
    <s v="EH-13990"/>
    <s v="Erica Hackney"/>
    <x v="0"/>
    <s v="United States"/>
    <x v="155"/>
    <x v="2"/>
    <x v="1"/>
    <s v="FUR-CH-10001714"/>
    <s v="Furniture"/>
    <x v="1"/>
    <s v="Global Leather &amp; Oak Executive Chair, Burgundy"/>
    <n v="120.712"/>
    <n v="1"/>
    <n v="0.2"/>
    <n v="-18.1068"/>
    <x v="3"/>
    <x v="0"/>
  </r>
  <r>
    <s v="US-2016-129469"/>
    <x v="348"/>
    <d v="2016-09-27T00:00:00"/>
    <x v="1"/>
    <s v="KL-16555"/>
    <s v="Kelly Lampkin"/>
    <x v="1"/>
    <s v="United States"/>
    <x v="130"/>
    <x v="15"/>
    <x v="2"/>
    <s v="FUR-FU-10002298"/>
    <s v="Furniture"/>
    <x v="3"/>
    <s v="Rubbermaid ClusterMat Chairmats, Mat Size- 66&quot; x 60&quot;, Lip 20&quot; x 11&quot; -90 Degree Angle"/>
    <n v="532.70399999999995"/>
    <n v="6"/>
    <n v="0.2"/>
    <n v="-26.635200000000001"/>
    <x v="4"/>
    <x v="4"/>
  </r>
  <r>
    <s v="CA-2016-159940"/>
    <x v="281"/>
    <d v="2016-07-11T00:00:00"/>
    <x v="0"/>
    <s v="BF-11020"/>
    <s v="Barry Franzšsisch"/>
    <x v="1"/>
    <s v="United States"/>
    <x v="14"/>
    <x v="8"/>
    <x v="3"/>
    <s v="FUR-FU-10004973"/>
    <s v="Furniture"/>
    <x v="3"/>
    <s v="Flat Face Poster Frame"/>
    <n v="60.287999999999997"/>
    <n v="8"/>
    <n v="0.6"/>
    <n v="-27.1296"/>
    <x v="4"/>
    <x v="3"/>
  </r>
  <r>
    <s v="CA-2016-159940"/>
    <x v="281"/>
    <d v="2016-07-11T00:00:00"/>
    <x v="0"/>
    <s v="BF-11020"/>
    <s v="Barry Franzšsisch"/>
    <x v="1"/>
    <s v="United States"/>
    <x v="14"/>
    <x v="8"/>
    <x v="3"/>
    <s v="FUR-CH-10000785"/>
    <s v="Furniture"/>
    <x v="1"/>
    <s v="Global Ergonomic Managers Chair"/>
    <n v="253.37200000000001"/>
    <n v="2"/>
    <n v="0.3"/>
    <n v="-14.478400000000001"/>
    <x v="4"/>
    <x v="3"/>
  </r>
  <r>
    <s v="CA-2016-118052"/>
    <x v="349"/>
    <d v="2016-05-10T00:00:00"/>
    <x v="1"/>
    <s v="BE-11455"/>
    <s v="Brad Eason"/>
    <x v="2"/>
    <s v="United States"/>
    <x v="75"/>
    <x v="15"/>
    <x v="2"/>
    <s v="FUR-FU-10004848"/>
    <s v="Furniture"/>
    <x v="3"/>
    <s v="DAX Solid Wood Frames"/>
    <n v="54.712000000000003"/>
    <n v="7"/>
    <n v="0.2"/>
    <n v="11.626300000000001"/>
    <x v="4"/>
    <x v="7"/>
  </r>
  <r>
    <s v="US-2015-127040"/>
    <x v="248"/>
    <d v="2015-12-10T00:00:00"/>
    <x v="1"/>
    <s v="SG-20605"/>
    <s v="Speros Goranitis"/>
    <x v="0"/>
    <s v="United States"/>
    <x v="13"/>
    <x v="7"/>
    <x v="2"/>
    <s v="FUR-FU-10002878"/>
    <s v="Furniture"/>
    <x v="3"/>
    <s v="Seth Thomas 14&quot; Day/Date Wall Clock"/>
    <n v="113.92"/>
    <n v="4"/>
    <n v="0"/>
    <n v="42.150399999999998"/>
    <x v="4"/>
    <x v="5"/>
  </r>
  <r>
    <s v="US-2016-110170"/>
    <x v="350"/>
    <d v="2016-10-03T00:00:00"/>
    <x v="1"/>
    <s v="HM-14860"/>
    <s v="Harry Marie"/>
    <x v="1"/>
    <s v="United States"/>
    <x v="156"/>
    <x v="5"/>
    <x v="3"/>
    <s v="FUR-BO-10000780"/>
    <s v="Furniture"/>
    <x v="0"/>
    <s v="O'Sullivan Plantations 2-Door Library in Landvery Oak"/>
    <n v="956.66480000000001"/>
    <n v="7"/>
    <n v="0.32"/>
    <n v="-225.0976"/>
    <x v="6"/>
    <x v="4"/>
  </r>
  <r>
    <s v="CA-2017-155985"/>
    <x v="351"/>
    <d v="2017-03-25T00:00:00"/>
    <x v="2"/>
    <s v="BE-11335"/>
    <s v="Bill Eplett"/>
    <x v="2"/>
    <s v="United States"/>
    <x v="28"/>
    <x v="2"/>
    <x v="1"/>
    <s v="FUR-FU-10000758"/>
    <s v="Furniture"/>
    <x v="3"/>
    <s v="DAX Natural Wood-Tone Poster Frame"/>
    <n v="211.84"/>
    <n v="8"/>
    <n v="0"/>
    <n v="76.2624"/>
    <x v="3"/>
    <x v="9"/>
  </r>
  <r>
    <s v="CA-2014-151295"/>
    <x v="352"/>
    <d v="2014-11-16T00:00:00"/>
    <x v="1"/>
    <s v="JA-15970"/>
    <s v="Joseph Airdo"/>
    <x v="0"/>
    <s v="United States"/>
    <x v="2"/>
    <x v="2"/>
    <x v="1"/>
    <s v="FUR-TA-10002356"/>
    <s v="Furniture"/>
    <x v="2"/>
    <s v="Bevis Boat-Shaped Conference Table"/>
    <n v="629.06399999999996"/>
    <n v="3"/>
    <n v="0.2"/>
    <n v="31.453199999999999"/>
    <x v="4"/>
    <x v="0"/>
  </r>
  <r>
    <s v="CA-2016-156300"/>
    <x v="353"/>
    <d v="2017-01-02T00:00:00"/>
    <x v="1"/>
    <s v="TB-21595"/>
    <s v="Troy Blackwell"/>
    <x v="0"/>
    <s v="United States"/>
    <x v="79"/>
    <x v="16"/>
    <x v="3"/>
    <s v="FUR-CH-10001714"/>
    <s v="Furniture"/>
    <x v="1"/>
    <s v="Global Leather &amp; Oak Executive Chair, Burgundy"/>
    <n v="754.45"/>
    <n v="5"/>
    <n v="0"/>
    <n v="60.356000000000002"/>
    <x v="4"/>
    <x v="5"/>
  </r>
  <r>
    <s v="CA-2015-146087"/>
    <x v="171"/>
    <d v="2015-07-11T00:00:00"/>
    <x v="1"/>
    <s v="PP-18955"/>
    <s v="Paul Prost"/>
    <x v="2"/>
    <s v="United States"/>
    <x v="157"/>
    <x v="20"/>
    <x v="2"/>
    <s v="FUR-BO-10002824"/>
    <s v="Furniture"/>
    <x v="0"/>
    <s v="Bush Mission Pointe Library"/>
    <n v="301.95999999999998"/>
    <n v="2"/>
    <n v="0"/>
    <n v="60.392000000000003"/>
    <x v="2"/>
    <x v="3"/>
  </r>
  <r>
    <s v="US-2017-147669"/>
    <x v="19"/>
    <d v="2017-12-30T00:00:00"/>
    <x v="1"/>
    <s v="SV-20935"/>
    <s v="Susan Vittorini"/>
    <x v="0"/>
    <s v="United States"/>
    <x v="130"/>
    <x v="15"/>
    <x v="2"/>
    <s v="FUR-TA-10002645"/>
    <s v="Furniture"/>
    <x v="2"/>
    <s v="Hon Rectangular Conference Tables"/>
    <n v="273.06"/>
    <n v="2"/>
    <n v="0.4"/>
    <n v="-104.673"/>
    <x v="2"/>
    <x v="5"/>
  </r>
  <r>
    <s v="CA-2016-169922"/>
    <x v="354"/>
    <d v="2016-06-17T00:00:00"/>
    <x v="1"/>
    <s v="MZ-17515"/>
    <s v="Mary Zewe"/>
    <x v="1"/>
    <s v="United States"/>
    <x v="58"/>
    <x v="5"/>
    <x v="3"/>
    <s v="FUR-FU-10004415"/>
    <s v="Furniture"/>
    <x v="3"/>
    <s v="Stacking Tray, Side-Loading, Legal, Smoke"/>
    <n v="12.544"/>
    <n v="7"/>
    <n v="0.6"/>
    <n v="-9.0944000000000003"/>
    <x v="6"/>
    <x v="2"/>
  </r>
  <r>
    <s v="CA-2017-129805"/>
    <x v="158"/>
    <d v="2018-01-02T00:00:00"/>
    <x v="1"/>
    <s v="HM-14860"/>
    <s v="Harry Marie"/>
    <x v="1"/>
    <s v="United States"/>
    <x v="15"/>
    <x v="13"/>
    <x v="1"/>
    <s v="FUR-FU-10001935"/>
    <s v="Furniture"/>
    <x v="3"/>
    <s v="3M Hangers With Command Adhesive"/>
    <n v="7.4"/>
    <n v="2"/>
    <n v="0"/>
    <n v="3.0339999999999998"/>
    <x v="2"/>
    <x v="5"/>
  </r>
  <r>
    <s v="CA-2014-148586"/>
    <x v="355"/>
    <d v="2014-04-01T00:00:00"/>
    <x v="1"/>
    <s v="AZ-10750"/>
    <s v="Annie Zypern"/>
    <x v="0"/>
    <s v="United States"/>
    <x v="13"/>
    <x v="7"/>
    <x v="2"/>
    <s v="FUR-CH-10002439"/>
    <s v="Furniture"/>
    <x v="1"/>
    <s v="Iceberg Nesting Folding Chair, 19w x 6d x 43h"/>
    <n v="366.786"/>
    <n v="7"/>
    <n v="0.1"/>
    <n v="65.206400000000002"/>
    <x v="1"/>
    <x v="9"/>
  </r>
  <r>
    <s v="CA-2017-140053"/>
    <x v="209"/>
    <d v="2017-07-10T00:00:00"/>
    <x v="1"/>
    <s v="CA-12265"/>
    <s v="Christina Anderson"/>
    <x v="0"/>
    <s v="United States"/>
    <x v="158"/>
    <x v="41"/>
    <x v="1"/>
    <s v="FUR-FU-10003708"/>
    <s v="Furniture"/>
    <x v="3"/>
    <s v="Tenex Traditional Chairmats for Medium Pile Carpet, Standard Lip, 36&quot; x 48&quot;"/>
    <n v="545.85"/>
    <n v="9"/>
    <n v="0"/>
    <n v="114.6285"/>
    <x v="1"/>
    <x v="3"/>
  </r>
  <r>
    <s v="CA-2014-164210"/>
    <x v="356"/>
    <d v="2014-11-20T00:00:00"/>
    <x v="0"/>
    <s v="PW-19240"/>
    <s v="Pierre Wener"/>
    <x v="0"/>
    <s v="United States"/>
    <x v="74"/>
    <x v="12"/>
    <x v="1"/>
    <s v="FUR-TA-10000849"/>
    <s v="Furniture"/>
    <x v="2"/>
    <s v="Bevis Rectangular Conference Tables"/>
    <n v="145.97999999999999"/>
    <n v="2"/>
    <n v="0.5"/>
    <n v="-99.266400000000004"/>
    <x v="3"/>
    <x v="0"/>
  </r>
  <r>
    <s v="CA-2017-139948"/>
    <x v="357"/>
    <d v="2017-07-22T00:00:00"/>
    <x v="1"/>
    <s v="SW-20455"/>
    <s v="Shaun Weien"/>
    <x v="0"/>
    <s v="United States"/>
    <x v="26"/>
    <x v="1"/>
    <x v="0"/>
    <s v="FUR-FU-10002597"/>
    <s v="Furniture"/>
    <x v="3"/>
    <s v="C-Line Magnetic Cubicle Keepers, Clear Polypropylene"/>
    <n v="7.9039999999999999"/>
    <n v="2"/>
    <n v="0.2"/>
    <n v="2.1736"/>
    <x v="2"/>
    <x v="3"/>
  </r>
  <r>
    <s v="CA-2016-146934"/>
    <x v="358"/>
    <d v="2016-05-27T00:00:00"/>
    <x v="1"/>
    <s v="AF-10870"/>
    <s v="Art Ferguson"/>
    <x v="0"/>
    <s v="United States"/>
    <x v="159"/>
    <x v="18"/>
    <x v="2"/>
    <s v="FUR-TA-10003748"/>
    <s v="Furniture"/>
    <x v="2"/>
    <s v="Bevis 36 x 72 Conference Tables"/>
    <n v="174.286"/>
    <n v="2"/>
    <n v="0.3"/>
    <n v="-19.918399999999998"/>
    <x v="2"/>
    <x v="7"/>
  </r>
  <r>
    <s v="CA-2016-119165"/>
    <x v="359"/>
    <d v="2016-11-06T00:00:00"/>
    <x v="1"/>
    <s v="BD-11320"/>
    <s v="Bill Donatelli"/>
    <x v="0"/>
    <s v="United States"/>
    <x v="3"/>
    <x v="3"/>
    <x v="2"/>
    <s v="FUR-CH-10000988"/>
    <s v="Furniture"/>
    <x v="1"/>
    <s v="Hon Olson Stacker Stools"/>
    <n v="492.83499999999998"/>
    <n v="5"/>
    <n v="0.3"/>
    <n v="-14.081"/>
    <x v="6"/>
    <x v="1"/>
  </r>
  <r>
    <s v="US-2016-135923"/>
    <x v="360"/>
    <d v="2016-01-28T00:00:00"/>
    <x v="1"/>
    <s v="CM-11935"/>
    <s v="Carlos Meador"/>
    <x v="0"/>
    <s v="United States"/>
    <x v="160"/>
    <x v="30"/>
    <x v="0"/>
    <s v="FUR-FU-10002107"/>
    <s v="Furniture"/>
    <x v="3"/>
    <s v="Eldon Pizzaz Desk Accessories"/>
    <n v="14.272"/>
    <n v="8"/>
    <n v="0.2"/>
    <n v="4.2816000000000001"/>
    <x v="6"/>
    <x v="8"/>
  </r>
  <r>
    <s v="US-2016-135923"/>
    <x v="360"/>
    <d v="2016-01-28T00:00:00"/>
    <x v="1"/>
    <s v="CM-11935"/>
    <s v="Carlos Meador"/>
    <x v="0"/>
    <s v="United States"/>
    <x v="160"/>
    <x v="30"/>
    <x v="0"/>
    <s v="FUR-BO-10002213"/>
    <s v="Furniture"/>
    <x v="0"/>
    <s v="Sauder Forest Hills Library, Woodland Oak Finish"/>
    <n v="451.13600000000002"/>
    <n v="4"/>
    <n v="0.2"/>
    <n v="-67.670400000000001"/>
    <x v="6"/>
    <x v="8"/>
  </r>
  <r>
    <s v="CA-2016-114972"/>
    <x v="361"/>
    <d v="2016-11-06T00:00:00"/>
    <x v="2"/>
    <s v="PF-19225"/>
    <s v="Phillip Flathmann"/>
    <x v="0"/>
    <s v="United States"/>
    <x v="2"/>
    <x v="2"/>
    <x v="1"/>
    <s v="FUR-CH-10001190"/>
    <s v="Furniture"/>
    <x v="1"/>
    <s v="Global Deluxe High-Back Office Chair in Storm"/>
    <n v="217.584"/>
    <n v="2"/>
    <n v="0.2"/>
    <n v="-29.9178"/>
    <x v="0"/>
    <x v="0"/>
  </r>
  <r>
    <s v="CA-2017-102750"/>
    <x v="362"/>
    <d v="2017-09-08T00:00:00"/>
    <x v="0"/>
    <s v="GM-14695"/>
    <s v="Greg Maxwell"/>
    <x v="1"/>
    <s v="United States"/>
    <x v="2"/>
    <x v="2"/>
    <x v="1"/>
    <s v="FUR-TA-10000198"/>
    <s v="Furniture"/>
    <x v="2"/>
    <s v="Chromcraft Bull-Nose Wood Oval Conference Tables &amp; Bases"/>
    <n v="1322.3520000000001"/>
    <n v="3"/>
    <n v="0.2"/>
    <n v="-99.176400000000001"/>
    <x v="4"/>
    <x v="4"/>
  </r>
  <r>
    <s v="CA-2017-126067"/>
    <x v="363"/>
    <d v="2017-09-03T00:00:00"/>
    <x v="1"/>
    <s v="KN-16705"/>
    <s v="Kristina Nunn"/>
    <x v="2"/>
    <s v="United States"/>
    <x v="15"/>
    <x v="13"/>
    <x v="1"/>
    <s v="FUR-TA-10000617"/>
    <s v="Furniture"/>
    <x v="2"/>
    <s v="Hon Practical Foundations 30 x 60 Training Table, Light Gray/Charcoal"/>
    <n v="1137.75"/>
    <n v="5"/>
    <n v="0"/>
    <n v="250.30500000000001"/>
    <x v="6"/>
    <x v="10"/>
  </r>
  <r>
    <s v="CA-2016-146206"/>
    <x v="364"/>
    <d v="2016-09-14T00:00:00"/>
    <x v="0"/>
    <s v="KT-16480"/>
    <s v="Kean Thornton"/>
    <x v="0"/>
    <s v="United States"/>
    <x v="6"/>
    <x v="5"/>
    <x v="3"/>
    <s v="FUR-TA-10004086"/>
    <s v="Furniture"/>
    <x v="2"/>
    <s v="KI Adjustable-Height Table"/>
    <n v="300.93"/>
    <n v="5"/>
    <n v="0.3"/>
    <n v="-34.392000000000003"/>
    <x v="4"/>
    <x v="4"/>
  </r>
  <r>
    <s v="CA-2014-136644"/>
    <x v="365"/>
    <d v="2014-06-22T00:00:00"/>
    <x v="1"/>
    <s v="SC-20575"/>
    <s v="Sonia Cooley"/>
    <x v="0"/>
    <s v="United States"/>
    <x v="161"/>
    <x v="6"/>
    <x v="3"/>
    <s v="FUR-CH-10000225"/>
    <s v="Furniture"/>
    <x v="1"/>
    <s v="Global Geo Office Task Chair, Gray"/>
    <n v="647.84"/>
    <n v="8"/>
    <n v="0"/>
    <n v="32.392000000000003"/>
    <x v="6"/>
    <x v="2"/>
  </r>
  <r>
    <s v="CA-2014-143917"/>
    <x v="366"/>
    <d v="2014-07-27T00:00:00"/>
    <x v="0"/>
    <s v="KL-16645"/>
    <s v="Ken Lonsdale"/>
    <x v="0"/>
    <s v="United States"/>
    <x v="28"/>
    <x v="2"/>
    <x v="1"/>
    <s v="FUR-FU-10004351"/>
    <s v="Furniture"/>
    <x v="3"/>
    <s v="Staple-based wall hangings"/>
    <n v="77.92"/>
    <n v="8"/>
    <n v="0"/>
    <n v="34.284799999999997"/>
    <x v="3"/>
    <x v="3"/>
  </r>
  <r>
    <s v="CA-2016-124506"/>
    <x v="367"/>
    <d v="2016-11-17T00:00:00"/>
    <x v="1"/>
    <s v="BB-11545"/>
    <s v="Brenda Bowman"/>
    <x v="1"/>
    <s v="United States"/>
    <x v="9"/>
    <x v="8"/>
    <x v="3"/>
    <s v="FUR-CH-10004540"/>
    <s v="Furniture"/>
    <x v="1"/>
    <s v="Global Chrome Stack Chair"/>
    <n v="47.991999999999997"/>
    <n v="2"/>
    <n v="0.3"/>
    <n v="-2.0568"/>
    <x v="6"/>
    <x v="0"/>
  </r>
  <r>
    <s v="CA-2017-123134"/>
    <x v="368"/>
    <d v="2017-05-07T00:00:00"/>
    <x v="1"/>
    <s v="DW-13585"/>
    <s v="Dorothy Wardle"/>
    <x v="1"/>
    <s v="United States"/>
    <x v="162"/>
    <x v="18"/>
    <x v="2"/>
    <s v="FUR-FU-10003975"/>
    <s v="Furniture"/>
    <x v="3"/>
    <s v="Eldon Advantage Chair Mats for Low to Medium Pile Carpets"/>
    <n v="129.93"/>
    <n v="3"/>
    <n v="0"/>
    <n v="12.993"/>
    <x v="2"/>
    <x v="7"/>
  </r>
  <r>
    <s v="CA-2015-168746"/>
    <x v="369"/>
    <d v="2015-01-29T00:00:00"/>
    <x v="0"/>
    <s v="SV-20365"/>
    <s v="Seth Vernon"/>
    <x v="0"/>
    <s v="United States"/>
    <x v="59"/>
    <x v="15"/>
    <x v="2"/>
    <s v="FUR-CH-10000513"/>
    <s v="Furniture"/>
    <x v="1"/>
    <s v="High-Back Leather Manager's Chair"/>
    <n v="181.98599999999999"/>
    <n v="2"/>
    <n v="0.3"/>
    <n v="-54.595799999999997"/>
    <x v="3"/>
    <x v="8"/>
  </r>
  <r>
    <s v="CA-2015-113404"/>
    <x v="370"/>
    <d v="2015-07-16T00:00:00"/>
    <x v="3"/>
    <s v="EM-13810"/>
    <s v="Eleni McCrary"/>
    <x v="1"/>
    <s v="United States"/>
    <x v="28"/>
    <x v="2"/>
    <x v="1"/>
    <s v="FUR-CH-10003312"/>
    <s v="Furniture"/>
    <x v="1"/>
    <s v="Hon 2090 ÒPillow SoftÓ Series Mid Back Swivel/Tilt Chairs"/>
    <n v="1348.704"/>
    <n v="6"/>
    <n v="0.2"/>
    <n v="-219.1644"/>
    <x v="7"/>
    <x v="3"/>
  </r>
  <r>
    <s v="CA-2015-113404"/>
    <x v="370"/>
    <d v="2015-07-16T00:00:00"/>
    <x v="3"/>
    <s v="EM-13810"/>
    <s v="Eleni McCrary"/>
    <x v="1"/>
    <s v="United States"/>
    <x v="28"/>
    <x v="2"/>
    <x v="1"/>
    <s v="FUR-CH-10004086"/>
    <s v="Furniture"/>
    <x v="1"/>
    <s v="Hon 4070 Series Pagoda Armless Upholstered Stacking Chairs"/>
    <n v="700.15200000000004"/>
    <n v="3"/>
    <n v="0.2"/>
    <n v="78.767099999999999"/>
    <x v="7"/>
    <x v="3"/>
  </r>
  <r>
    <s v="CA-2016-144792"/>
    <x v="325"/>
    <d v="2016-05-04T00:00:00"/>
    <x v="1"/>
    <s v="KD-16615"/>
    <s v="Ken Dana"/>
    <x v="1"/>
    <s v="United States"/>
    <x v="163"/>
    <x v="22"/>
    <x v="1"/>
    <s v="FUR-FU-10002759"/>
    <s v="Furniture"/>
    <x v="3"/>
    <s v="12-1/2 Diameter Round Wall Clock"/>
    <n v="111.88800000000001"/>
    <n v="7"/>
    <n v="0.2"/>
    <n v="22.377600000000001"/>
    <x v="4"/>
    <x v="6"/>
  </r>
  <r>
    <s v="US-2016-114174"/>
    <x v="63"/>
    <d v="2016-09-14T00:00:00"/>
    <x v="1"/>
    <s v="AP-10720"/>
    <s v="Anne Pryor"/>
    <x v="2"/>
    <s v="United States"/>
    <x v="164"/>
    <x v="20"/>
    <x v="2"/>
    <s v="FUR-BO-10003450"/>
    <s v="Furniture"/>
    <x v="0"/>
    <s v="Bush Westfield Collection Bookcases, Dark Cherry Finish"/>
    <n v="173.94"/>
    <n v="3"/>
    <n v="0"/>
    <n v="13.9152"/>
    <x v="6"/>
    <x v="4"/>
  </r>
  <r>
    <s v="CA-2017-108070"/>
    <x v="371"/>
    <d v="2017-04-20T00:00:00"/>
    <x v="1"/>
    <s v="JE-15745"/>
    <s v="Joel Eaton"/>
    <x v="0"/>
    <s v="United States"/>
    <x v="124"/>
    <x v="2"/>
    <x v="1"/>
    <s v="FUR-BO-10001337"/>
    <s v="Furniture"/>
    <x v="0"/>
    <s v="O'Sullivan Living Dimensions 2-Shelf Bookcases"/>
    <n v="102.833"/>
    <n v="1"/>
    <n v="0.15"/>
    <n v="-6.0490000000000004"/>
    <x v="4"/>
    <x v="6"/>
  </r>
  <r>
    <s v="CA-2017-101042"/>
    <x v="49"/>
    <d v="2017-11-23T00:00:00"/>
    <x v="1"/>
    <s v="AB-10105"/>
    <s v="Adrian Barton"/>
    <x v="0"/>
    <s v="United States"/>
    <x v="0"/>
    <x v="0"/>
    <x v="0"/>
    <s v="FUR-FU-10004665"/>
    <s v="Furniture"/>
    <x v="3"/>
    <s v="3M Polarizing Task Lamp with Clamp Arm, Light Gray"/>
    <n v="821.88"/>
    <n v="6"/>
    <n v="0"/>
    <n v="213.68879999999999"/>
    <x v="4"/>
    <x v="0"/>
  </r>
  <r>
    <s v="US-2016-126844"/>
    <x v="372"/>
    <d v="2016-10-14T00:00:00"/>
    <x v="1"/>
    <s v="BW-11110"/>
    <s v="Bart Watters"/>
    <x v="1"/>
    <s v="United States"/>
    <x v="6"/>
    <x v="5"/>
    <x v="3"/>
    <s v="FUR-FU-10004909"/>
    <s v="Furniture"/>
    <x v="3"/>
    <s v="Contemporary Wood/Metal Frame"/>
    <n v="51.712000000000003"/>
    <n v="8"/>
    <n v="0.6"/>
    <n v="-32.32"/>
    <x v="6"/>
    <x v="1"/>
  </r>
  <r>
    <s v="CA-2015-147788"/>
    <x v="151"/>
    <d v="2015-06-04T00:00:00"/>
    <x v="1"/>
    <s v="TM-21010"/>
    <s v="Tamara Manning"/>
    <x v="0"/>
    <s v="United States"/>
    <x v="4"/>
    <x v="4"/>
    <x v="1"/>
    <s v="FUR-BO-10004357"/>
    <s v="Furniture"/>
    <x v="0"/>
    <s v="O'Sullivan Living Dimensions 3-Shelf Bookcases"/>
    <n v="1406.86"/>
    <n v="7"/>
    <n v="0"/>
    <n v="140.68600000000001"/>
    <x v="4"/>
    <x v="7"/>
  </r>
  <r>
    <s v="CA-2017-123967"/>
    <x v="373"/>
    <d v="2017-11-03T00:00:00"/>
    <x v="0"/>
    <s v="SF-20200"/>
    <s v="Sarah Foster"/>
    <x v="0"/>
    <s v="United States"/>
    <x v="165"/>
    <x v="13"/>
    <x v="1"/>
    <s v="FUR-TA-10003954"/>
    <s v="Furniture"/>
    <x v="2"/>
    <s v="Hon 94000 Series Round Tables"/>
    <n v="2665.62"/>
    <n v="9"/>
    <n v="0"/>
    <n v="239.9058"/>
    <x v="3"/>
    <x v="0"/>
  </r>
  <r>
    <s v="CA-2017-145128"/>
    <x v="374"/>
    <d v="2017-07-14T00:00:00"/>
    <x v="1"/>
    <s v="SM-20320"/>
    <s v="Sean Miller"/>
    <x v="2"/>
    <s v="United States"/>
    <x v="120"/>
    <x v="6"/>
    <x v="3"/>
    <s v="FUR-FU-10000293"/>
    <s v="Furniture"/>
    <x v="3"/>
    <s v="Eldon Antistatic Chair Mats for Low to Medium Pile Carpets"/>
    <n v="526.45000000000005"/>
    <n v="5"/>
    <n v="0"/>
    <n v="31.587"/>
    <x v="2"/>
    <x v="3"/>
  </r>
  <r>
    <s v="US-2014-155502"/>
    <x v="375"/>
    <d v="2014-01-31T00:00:00"/>
    <x v="1"/>
    <s v="SD-20485"/>
    <s v="Shirley Daniels"/>
    <x v="2"/>
    <s v="United States"/>
    <x v="166"/>
    <x v="25"/>
    <x v="0"/>
    <s v="FUR-FU-10004587"/>
    <s v="Furniture"/>
    <x v="3"/>
    <s v="GE General Use Halogen Bulbs, 100 Watts, 1 Bulb per Pack"/>
    <n v="62.82"/>
    <n v="3"/>
    <n v="0"/>
    <n v="30.7818"/>
    <x v="2"/>
    <x v="8"/>
  </r>
  <r>
    <s v="US-2014-155502"/>
    <x v="375"/>
    <d v="2014-01-31T00:00:00"/>
    <x v="1"/>
    <s v="SD-20485"/>
    <s v="Shirley Daniels"/>
    <x v="2"/>
    <s v="United States"/>
    <x v="166"/>
    <x v="25"/>
    <x v="0"/>
    <s v="FUR-FU-10001847"/>
    <s v="Furniture"/>
    <x v="3"/>
    <s v="Eldon Image Series Black Desk Accessories"/>
    <n v="12.42"/>
    <n v="3"/>
    <n v="0"/>
    <n v="4.4711999999999996"/>
    <x v="2"/>
    <x v="8"/>
  </r>
  <r>
    <s v="CA-2017-131695"/>
    <x v="254"/>
    <d v="2017-07-06T00:00:00"/>
    <x v="1"/>
    <s v="RA-19285"/>
    <s v="Ralph Arnett"/>
    <x v="0"/>
    <s v="United States"/>
    <x v="13"/>
    <x v="7"/>
    <x v="2"/>
    <s v="FUR-FU-10002045"/>
    <s v="Furniture"/>
    <x v="3"/>
    <s v="Executive Impressions 14&quot;"/>
    <n v="22.23"/>
    <n v="1"/>
    <n v="0"/>
    <n v="9.7812000000000001"/>
    <x v="6"/>
    <x v="2"/>
  </r>
  <r>
    <s v="US-2016-115455"/>
    <x v="63"/>
    <d v="2016-09-14T00:00:00"/>
    <x v="1"/>
    <s v="SE-20110"/>
    <s v="Sanjit Engle"/>
    <x v="0"/>
    <s v="United States"/>
    <x v="167"/>
    <x v="8"/>
    <x v="3"/>
    <s v="FUR-FU-10004671"/>
    <s v="Furniture"/>
    <x v="3"/>
    <s v="Executive Impressions 12&quot; Wall Clock"/>
    <n v="14.135999999999999"/>
    <n v="2"/>
    <n v="0.6"/>
    <n v="-7.7747999999999999"/>
    <x v="6"/>
    <x v="4"/>
  </r>
  <r>
    <s v="US-2016-115455"/>
    <x v="63"/>
    <d v="2016-09-14T00:00:00"/>
    <x v="1"/>
    <s v="SE-20110"/>
    <s v="Sanjit Engle"/>
    <x v="0"/>
    <s v="United States"/>
    <x v="167"/>
    <x v="8"/>
    <x v="3"/>
    <s v="FUR-TA-10003569"/>
    <s v="Furniture"/>
    <x v="2"/>
    <s v="Bretford CR8500 Series Meeting Room Furniture"/>
    <n v="601.47"/>
    <n v="3"/>
    <n v="0.5"/>
    <n v="-300.73500000000001"/>
    <x v="6"/>
    <x v="4"/>
  </r>
  <r>
    <s v="CA-2016-165848"/>
    <x v="41"/>
    <d v="2016-06-04T00:00:00"/>
    <x v="3"/>
    <s v="EN-13780"/>
    <s v="Edward Nazzal"/>
    <x v="0"/>
    <s v="United States"/>
    <x v="13"/>
    <x v="7"/>
    <x v="2"/>
    <s v="FUR-BO-10000362"/>
    <s v="Furniture"/>
    <x v="0"/>
    <s v="Sauder Inglewood Library Bookcases"/>
    <n v="136.78399999999999"/>
    <n v="1"/>
    <n v="0.2"/>
    <n v="5.1294000000000004"/>
    <x v="7"/>
    <x v="2"/>
  </r>
  <r>
    <s v="CA-2016-165848"/>
    <x v="41"/>
    <d v="2016-06-04T00:00:00"/>
    <x v="3"/>
    <s v="EN-13780"/>
    <s v="Edward Nazzal"/>
    <x v="0"/>
    <s v="United States"/>
    <x v="13"/>
    <x v="7"/>
    <x v="2"/>
    <s v="FUR-FU-10003878"/>
    <s v="Furniture"/>
    <x v="3"/>
    <s v="Linden 10&quot; Round Wall Clock, Black"/>
    <n v="61.12"/>
    <n v="4"/>
    <n v="0"/>
    <n v="20.780799999999999"/>
    <x v="7"/>
    <x v="2"/>
  </r>
  <r>
    <s v="CA-2014-127446"/>
    <x v="306"/>
    <d v="2014-11-30T00:00:00"/>
    <x v="1"/>
    <s v="MC-17590"/>
    <s v="Matt Collister"/>
    <x v="1"/>
    <s v="United States"/>
    <x v="58"/>
    <x v="5"/>
    <x v="3"/>
    <s v="FUR-TA-10000577"/>
    <s v="Furniture"/>
    <x v="2"/>
    <s v="Bretford CR4500 Series Slim Rectangular Table"/>
    <n v="1218.7349999999999"/>
    <n v="5"/>
    <n v="0.3"/>
    <n v="-121.87350000000001"/>
    <x v="2"/>
    <x v="0"/>
  </r>
  <r>
    <s v="CA-2014-127446"/>
    <x v="306"/>
    <d v="2014-11-30T00:00:00"/>
    <x v="1"/>
    <s v="MC-17590"/>
    <s v="Matt Collister"/>
    <x v="1"/>
    <s v="United States"/>
    <x v="58"/>
    <x v="5"/>
    <x v="3"/>
    <s v="FUR-FU-10000221"/>
    <s v="Furniture"/>
    <x v="3"/>
    <s v="Master Caster Door Stop, Brown"/>
    <n v="6.0960000000000001"/>
    <n v="3"/>
    <n v="0.6"/>
    <n v="-3.9624000000000001"/>
    <x v="2"/>
    <x v="0"/>
  </r>
  <r>
    <s v="CA-2016-137204"/>
    <x v="376"/>
    <d v="2016-05-05T00:00:00"/>
    <x v="1"/>
    <s v="BO-11350"/>
    <s v="Bill Overfelt"/>
    <x v="1"/>
    <s v="United States"/>
    <x v="2"/>
    <x v="2"/>
    <x v="1"/>
    <s v="FUR-CH-10002304"/>
    <s v="Furniture"/>
    <x v="1"/>
    <s v="Global Stack Chair without Arms, Black"/>
    <n v="41.567999999999998"/>
    <n v="2"/>
    <n v="0.2"/>
    <n v="2.5979999999999999"/>
    <x v="1"/>
    <x v="6"/>
  </r>
  <r>
    <s v="CA-2014-147298"/>
    <x v="377"/>
    <d v="2014-05-03T00:00:00"/>
    <x v="1"/>
    <s v="AG-10300"/>
    <s v="Aleksandra Gannaway"/>
    <x v="1"/>
    <s v="United States"/>
    <x v="2"/>
    <x v="2"/>
    <x v="1"/>
    <s v="FUR-CH-10004886"/>
    <s v="Furniture"/>
    <x v="1"/>
    <s v="Bevis Steel Folding Chairs"/>
    <n v="230.28"/>
    <n v="3"/>
    <n v="0.2"/>
    <n v="23.027999999999999"/>
    <x v="1"/>
    <x v="6"/>
  </r>
  <r>
    <s v="US-2017-110604"/>
    <x v="378"/>
    <d v="2017-05-20T00:00:00"/>
    <x v="1"/>
    <s v="JF-15295"/>
    <s v="Jason Fortune-"/>
    <x v="0"/>
    <s v="United States"/>
    <x v="15"/>
    <x v="13"/>
    <x v="1"/>
    <s v="FUR-FU-10000076"/>
    <s v="Furniture"/>
    <x v="3"/>
    <s v="24-Hour Round Wall Clock"/>
    <n v="39.96"/>
    <n v="2"/>
    <n v="0"/>
    <n v="17.1828"/>
    <x v="2"/>
    <x v="7"/>
  </r>
  <r>
    <s v="US-2017-110604"/>
    <x v="378"/>
    <d v="2017-05-20T00:00:00"/>
    <x v="1"/>
    <s v="JF-15295"/>
    <s v="Jason Fortune-"/>
    <x v="0"/>
    <s v="United States"/>
    <x v="15"/>
    <x v="13"/>
    <x v="1"/>
    <s v="FUR-CH-10002017"/>
    <s v="Furniture"/>
    <x v="1"/>
    <s v="SAFCO Optional Arm Kit for Workspace Cribbage Stacking Chair"/>
    <n v="42.624000000000002"/>
    <n v="2"/>
    <n v="0.2"/>
    <n v="4.2624000000000004"/>
    <x v="2"/>
    <x v="7"/>
  </r>
  <r>
    <s v="US-2017-110604"/>
    <x v="378"/>
    <d v="2017-05-20T00:00:00"/>
    <x v="1"/>
    <s v="JF-15295"/>
    <s v="Jason Fortune-"/>
    <x v="0"/>
    <s v="United States"/>
    <x v="15"/>
    <x v="13"/>
    <x v="1"/>
    <s v="FUR-CH-10004287"/>
    <s v="Furniture"/>
    <x v="1"/>
    <s v="SAFCO Arco Folding Chair"/>
    <n v="220.96"/>
    <n v="1"/>
    <n v="0.2"/>
    <n v="24.858000000000001"/>
    <x v="2"/>
    <x v="7"/>
  </r>
  <r>
    <s v="CA-2015-116750"/>
    <x v="379"/>
    <d v="2015-07-10T00:00:00"/>
    <x v="0"/>
    <s v="BF-10975"/>
    <s v="Barbara Fisher"/>
    <x v="1"/>
    <s v="United States"/>
    <x v="160"/>
    <x v="30"/>
    <x v="0"/>
    <s v="FUR-FU-10003829"/>
    <s v="Furniture"/>
    <x v="3"/>
    <s v="Stackable Trays"/>
    <n v="4.9279999999999999"/>
    <n v="2"/>
    <n v="0.2"/>
    <n v="0.73919999999999997"/>
    <x v="2"/>
    <x v="3"/>
  </r>
  <r>
    <s v="CA-2017-108441"/>
    <x v="235"/>
    <d v="2017-06-18T00:00:00"/>
    <x v="1"/>
    <s v="SB-20170"/>
    <s v="Sarah Bern"/>
    <x v="0"/>
    <s v="United States"/>
    <x v="13"/>
    <x v="7"/>
    <x v="2"/>
    <s v="FUR-CH-10000595"/>
    <s v="Furniture"/>
    <x v="1"/>
    <s v="Safco Contoured Stacking Chairs"/>
    <n v="858.24"/>
    <n v="4"/>
    <n v="0.1"/>
    <n v="143.04"/>
    <x v="6"/>
    <x v="2"/>
  </r>
  <r>
    <s v="CA-2016-149111"/>
    <x v="380"/>
    <d v="2016-04-21T00:00:00"/>
    <x v="0"/>
    <s v="BF-11170"/>
    <s v="Ben Ferrer"/>
    <x v="2"/>
    <s v="United States"/>
    <x v="168"/>
    <x v="30"/>
    <x v="0"/>
    <s v="FUR-FU-10000206"/>
    <s v="Furniture"/>
    <x v="3"/>
    <s v="GE General Purpose, Extra Long Life, Showcase &amp; Floodlight Incandescent Bulbs"/>
    <n v="18.623999999999999"/>
    <n v="8"/>
    <n v="0.2"/>
    <n v="6.2855999999999996"/>
    <x v="4"/>
    <x v="6"/>
  </r>
  <r>
    <s v="CA-2014-131002"/>
    <x v="266"/>
    <d v="2014-09-12T00:00:00"/>
    <x v="0"/>
    <s v="TB-21400"/>
    <s v="Tom Boeckenhauer"/>
    <x v="0"/>
    <s v="United States"/>
    <x v="169"/>
    <x v="37"/>
    <x v="3"/>
    <s v="FUR-FU-10004270"/>
    <s v="Furniture"/>
    <x v="3"/>
    <s v="Executive Impressions 13&quot; Clairmont Wall Clock"/>
    <n v="57.69"/>
    <n v="3"/>
    <n v="0"/>
    <n v="23.652899999999999"/>
    <x v="2"/>
    <x v="4"/>
  </r>
  <r>
    <s v="CA-2014-131002"/>
    <x v="266"/>
    <d v="2014-09-12T00:00:00"/>
    <x v="0"/>
    <s v="TB-21400"/>
    <s v="Tom Boeckenhauer"/>
    <x v="0"/>
    <s v="United States"/>
    <x v="169"/>
    <x v="37"/>
    <x v="3"/>
    <s v="FUR-FU-10004665"/>
    <s v="Furniture"/>
    <x v="3"/>
    <s v="3M Polarizing Task Lamp with Clamp Arm, Light Gray"/>
    <n v="821.88"/>
    <n v="6"/>
    <n v="0"/>
    <n v="213.68879999999999"/>
    <x v="2"/>
    <x v="4"/>
  </r>
  <r>
    <s v="US-2016-146794"/>
    <x v="73"/>
    <d v="2016-10-01T00:00:00"/>
    <x v="1"/>
    <s v="SH-19975"/>
    <s v="Sally Hughsby"/>
    <x v="1"/>
    <s v="United States"/>
    <x v="170"/>
    <x v="2"/>
    <x v="1"/>
    <s v="FUR-BO-10004467"/>
    <s v="Furniture"/>
    <x v="0"/>
    <s v="Bestar Classic Bookcase"/>
    <n v="424.95749999999998"/>
    <n v="5"/>
    <n v="0.15"/>
    <n v="19.998000000000001"/>
    <x v="2"/>
    <x v="4"/>
  </r>
  <r>
    <s v="CA-2017-112515"/>
    <x v="342"/>
    <d v="2017-09-21T00:00:00"/>
    <x v="0"/>
    <s v="AS-10225"/>
    <s v="Alan Schoenberger"/>
    <x v="1"/>
    <s v="United States"/>
    <x v="106"/>
    <x v="4"/>
    <x v="1"/>
    <s v="FUR-BO-10003404"/>
    <s v="Furniture"/>
    <x v="0"/>
    <s v="Global Adaptabilites Bookcase, Cherry/Storm Gray Finish"/>
    <n v="1292.94"/>
    <n v="3"/>
    <n v="0"/>
    <n v="77.576400000000007"/>
    <x v="4"/>
    <x v="4"/>
  </r>
  <r>
    <s v="CA-2015-135538"/>
    <x v="37"/>
    <d v="2015-12-28T00:00:00"/>
    <x v="1"/>
    <s v="HR-14830"/>
    <s v="Harold Ryan"/>
    <x v="1"/>
    <s v="United States"/>
    <x v="171"/>
    <x v="22"/>
    <x v="1"/>
    <s v="FUR-CH-10004287"/>
    <s v="Furniture"/>
    <x v="1"/>
    <s v="SAFCO Arco Folding Chair"/>
    <n v="883.84"/>
    <n v="4"/>
    <n v="0.2"/>
    <n v="99.432000000000002"/>
    <x v="4"/>
    <x v="5"/>
  </r>
  <r>
    <s v="CA-2016-164784"/>
    <x v="381"/>
    <d v="2016-05-04T00:00:00"/>
    <x v="2"/>
    <s v="HF-14995"/>
    <s v="Herbert Flentye"/>
    <x v="0"/>
    <s v="United States"/>
    <x v="10"/>
    <x v="9"/>
    <x v="0"/>
    <s v="FUR-TA-10004534"/>
    <s v="Furniture"/>
    <x v="2"/>
    <s v="Bevis 44 x 96 Conference Tables"/>
    <n v="370.62"/>
    <n v="3"/>
    <n v="0.4"/>
    <n v="-142.071"/>
    <x v="0"/>
    <x v="7"/>
  </r>
  <r>
    <s v="US-2015-139759"/>
    <x v="382"/>
    <d v="2015-08-30T00:00:00"/>
    <x v="1"/>
    <s v="NL-18310"/>
    <s v="Nancy Lomonaco"/>
    <x v="2"/>
    <s v="United States"/>
    <x v="2"/>
    <x v="2"/>
    <x v="1"/>
    <s v="FUR-CH-10002774"/>
    <s v="Furniture"/>
    <x v="1"/>
    <s v="Global Deluxe Stacking Chair, Gray"/>
    <n v="40.783999999999999"/>
    <n v="1"/>
    <n v="0.2"/>
    <n v="4.5881999999999996"/>
    <x v="2"/>
    <x v="10"/>
  </r>
  <r>
    <s v="CA-2014-126403"/>
    <x v="383"/>
    <d v="2014-09-12T00:00:00"/>
    <x v="0"/>
    <s v="RR-19525"/>
    <s v="Rick Reed"/>
    <x v="1"/>
    <s v="United States"/>
    <x v="172"/>
    <x v="20"/>
    <x v="2"/>
    <s v="FUR-CH-10003761"/>
    <s v="Furniture"/>
    <x v="1"/>
    <s v="Global Italian Leather Office Chair"/>
    <n v="785.88"/>
    <n v="6"/>
    <n v="0"/>
    <n v="212.1876"/>
    <x v="0"/>
    <x v="4"/>
  </r>
  <r>
    <s v="CA-2016-138079"/>
    <x v="360"/>
    <d v="2016-01-28T00:00:00"/>
    <x v="1"/>
    <s v="AJ-10795"/>
    <s v="Anthony Johnson"/>
    <x v="1"/>
    <s v="United States"/>
    <x v="15"/>
    <x v="13"/>
    <x v="1"/>
    <s v="FUR-FU-10001475"/>
    <s v="Furniture"/>
    <x v="3"/>
    <s v="Contract Clock, 14&quot;, Brown"/>
    <n v="109.9"/>
    <n v="5"/>
    <n v="0"/>
    <n v="37.366"/>
    <x v="6"/>
    <x v="8"/>
  </r>
  <r>
    <s v="CA-2014-143182"/>
    <x v="384"/>
    <d v="2014-10-20T00:00:00"/>
    <x v="1"/>
    <s v="DL-12865"/>
    <s v="Dan Lawera"/>
    <x v="0"/>
    <s v="United States"/>
    <x v="173"/>
    <x v="1"/>
    <x v="0"/>
    <s v="FUR-FU-10004270"/>
    <s v="Furniture"/>
    <x v="3"/>
    <s v="Executive Impressions 13&quot; Clairmont Wall Clock"/>
    <n v="15.384"/>
    <n v="1"/>
    <n v="0.2"/>
    <n v="4.0382999999999996"/>
    <x v="2"/>
    <x v="1"/>
  </r>
  <r>
    <s v="CA-2014-145317"/>
    <x v="385"/>
    <d v="2014-03-23T00:00:00"/>
    <x v="1"/>
    <s v="SM-20320"/>
    <s v="Sean Miller"/>
    <x v="2"/>
    <s v="United States"/>
    <x v="51"/>
    <x v="1"/>
    <x v="0"/>
    <s v="FUR-FU-10004270"/>
    <s v="Furniture"/>
    <x v="3"/>
    <s v="Executive Impressions 13&quot; Clairmont Wall Clock"/>
    <n v="30.768000000000001"/>
    <n v="2"/>
    <n v="0.2"/>
    <n v="8.0765999999999991"/>
    <x v="2"/>
    <x v="9"/>
  </r>
  <r>
    <s v="CA-2014-145317"/>
    <x v="385"/>
    <d v="2014-03-23T00:00:00"/>
    <x v="1"/>
    <s v="SM-20320"/>
    <s v="Sean Miller"/>
    <x v="2"/>
    <s v="United States"/>
    <x v="51"/>
    <x v="1"/>
    <x v="0"/>
    <s v="FUR-FU-10001986"/>
    <s v="Furniture"/>
    <x v="3"/>
    <s v="Dana Fluorescent Magnifying Lamp, White, 36&quot;"/>
    <n v="122.352"/>
    <n v="3"/>
    <n v="0.2"/>
    <n v="15.294"/>
    <x v="2"/>
    <x v="9"/>
  </r>
  <r>
    <s v="CA-2015-121797"/>
    <x v="386"/>
    <d v="2015-02-06T00:00:00"/>
    <x v="1"/>
    <s v="CC-12145"/>
    <s v="Charles Crestani"/>
    <x v="0"/>
    <s v="United States"/>
    <x v="2"/>
    <x v="2"/>
    <x v="1"/>
    <s v="FUR-FU-10001876"/>
    <s v="Furniture"/>
    <x v="3"/>
    <s v="Computer Room Manger, 14&quot;"/>
    <n v="227.36"/>
    <n v="7"/>
    <n v="0"/>
    <n v="81.849599999999995"/>
    <x v="1"/>
    <x v="8"/>
  </r>
  <r>
    <s v="CA-2017-132430"/>
    <x v="224"/>
    <d v="2017-10-11T00:00:00"/>
    <x v="2"/>
    <s v="CP-12085"/>
    <s v="Cathy Prescott"/>
    <x v="1"/>
    <s v="United States"/>
    <x v="174"/>
    <x v="15"/>
    <x v="2"/>
    <s v="FUR-FU-10003577"/>
    <s v="Furniture"/>
    <x v="3"/>
    <s v="Nu-Dell Leatherette Frames"/>
    <n v="45.887999999999998"/>
    <n v="4"/>
    <n v="0.2"/>
    <n v="9.1776"/>
    <x v="3"/>
    <x v="1"/>
  </r>
  <r>
    <s v="CA-2014-110030"/>
    <x v="387"/>
    <d v="2014-12-08T00:00:00"/>
    <x v="0"/>
    <s v="LF-17185"/>
    <s v="Luke Foster"/>
    <x v="0"/>
    <s v="United States"/>
    <x v="6"/>
    <x v="5"/>
    <x v="3"/>
    <s v="FUR-FU-10002759"/>
    <s v="Furniture"/>
    <x v="3"/>
    <s v="12-1/2 Diameter Round Wall Clock"/>
    <n v="23.975999999999999"/>
    <n v="3"/>
    <n v="0.6"/>
    <n v="-14.3856"/>
    <x v="3"/>
    <x v="5"/>
  </r>
  <r>
    <s v="CA-2017-149888"/>
    <x v="388"/>
    <d v="2017-11-13T00:00:00"/>
    <x v="1"/>
    <s v="EP-13915"/>
    <s v="Emily Phan"/>
    <x v="0"/>
    <s v="United States"/>
    <x v="3"/>
    <x v="3"/>
    <x v="2"/>
    <s v="FUR-TA-10000849"/>
    <s v="Furniture"/>
    <x v="2"/>
    <s v="Bevis Rectangular Conference Tables"/>
    <n v="350.35199999999998"/>
    <n v="4"/>
    <n v="0.4"/>
    <n v="-140.14080000000001"/>
    <x v="6"/>
    <x v="0"/>
  </r>
  <r>
    <s v="CA-2017-104801"/>
    <x v="389"/>
    <d v="2017-02-19T00:00:00"/>
    <x v="1"/>
    <s v="FH-14350"/>
    <s v="Fred Harton"/>
    <x v="0"/>
    <s v="United States"/>
    <x v="15"/>
    <x v="13"/>
    <x v="1"/>
    <s v="FUR-FU-10004017"/>
    <s v="Furniture"/>
    <x v="3"/>
    <s v="Tenex Contemporary Contur Chairmats for Low and Medium Pile Carpet, Computer, 39&quot; x 49&quot;"/>
    <n v="107.53"/>
    <n v="1"/>
    <n v="0"/>
    <n v="21.506"/>
    <x v="6"/>
    <x v="11"/>
  </r>
  <r>
    <s v="CA-2015-115798"/>
    <x v="18"/>
    <d v="2015-11-19T00:00:00"/>
    <x v="1"/>
    <s v="KL-16645"/>
    <s v="Ken Lonsdale"/>
    <x v="0"/>
    <s v="United States"/>
    <x v="19"/>
    <x v="14"/>
    <x v="2"/>
    <s v="FUR-BO-10004467"/>
    <s v="Furniture"/>
    <x v="0"/>
    <s v="Bestar Classic Bookcase"/>
    <n v="299.97000000000003"/>
    <n v="3"/>
    <n v="0"/>
    <n v="56.994300000000003"/>
    <x v="6"/>
    <x v="0"/>
  </r>
  <r>
    <s v="CA-2014-149244"/>
    <x v="53"/>
    <d v="2014-11-08T00:00:00"/>
    <x v="1"/>
    <s v="MS-17530"/>
    <s v="MaryBeth Skach"/>
    <x v="0"/>
    <s v="United States"/>
    <x v="53"/>
    <x v="2"/>
    <x v="1"/>
    <s v="FUR-FU-10004671"/>
    <s v="Furniture"/>
    <x v="3"/>
    <s v="Executive Impressions 12&quot; Wall Clock"/>
    <n v="35.340000000000003"/>
    <n v="2"/>
    <n v="0"/>
    <n v="13.4292"/>
    <x v="4"/>
    <x v="0"/>
  </r>
  <r>
    <s v="CA-2015-140144"/>
    <x v="390"/>
    <d v="2015-06-25T00:00:00"/>
    <x v="0"/>
    <s v="SC-20770"/>
    <s v="Stewart Carmichael"/>
    <x v="1"/>
    <s v="United States"/>
    <x v="28"/>
    <x v="2"/>
    <x v="1"/>
    <s v="FUR-FU-10002253"/>
    <s v="Furniture"/>
    <x v="3"/>
    <s v="Howard Miller 13&quot; Diameter Pewter Finish Round Wall Clock"/>
    <n v="257.64"/>
    <n v="6"/>
    <n v="0"/>
    <n v="100.4796"/>
    <x v="2"/>
    <x v="2"/>
  </r>
  <r>
    <s v="CA-2014-155887"/>
    <x v="264"/>
    <d v="2014-05-17T00:00:00"/>
    <x v="1"/>
    <s v="KT-16480"/>
    <s v="Kean Thornton"/>
    <x v="0"/>
    <s v="United States"/>
    <x v="20"/>
    <x v="20"/>
    <x v="2"/>
    <s v="FUR-TA-10002228"/>
    <s v="Furniture"/>
    <x v="2"/>
    <s v="Bevis Traditional Conference Table Top, Plinth Base"/>
    <n v="700.05600000000004"/>
    <n v="3"/>
    <n v="0.3"/>
    <n v="-130.0104"/>
    <x v="2"/>
    <x v="7"/>
  </r>
  <r>
    <s v="US-2014-141257"/>
    <x v="391"/>
    <d v="2014-06-14T00:00:00"/>
    <x v="1"/>
    <s v="CS-11950"/>
    <s v="Carlos Soltero"/>
    <x v="0"/>
    <s v="United States"/>
    <x v="15"/>
    <x v="13"/>
    <x v="1"/>
    <s v="FUR-CH-10002758"/>
    <s v="Furniture"/>
    <x v="1"/>
    <s v="Hon Deluxe Fabric Upholstered Stacking Chairs, Squared Back"/>
    <n v="585.55200000000002"/>
    <n v="3"/>
    <n v="0.2"/>
    <n v="73.194000000000003"/>
    <x v="6"/>
    <x v="2"/>
  </r>
  <r>
    <s v="CA-2014-158029"/>
    <x v="261"/>
    <d v="2014-05-30T00:00:00"/>
    <x v="1"/>
    <s v="HF-14995"/>
    <s v="Herbert Flentye"/>
    <x v="0"/>
    <s v="United States"/>
    <x v="2"/>
    <x v="2"/>
    <x v="1"/>
    <s v="FUR-CH-10000988"/>
    <s v="Furniture"/>
    <x v="1"/>
    <s v="Hon Olson Stacker Stools"/>
    <n v="225.29599999999999"/>
    <n v="2"/>
    <n v="0.2"/>
    <n v="22.529599999999999"/>
    <x v="4"/>
    <x v="7"/>
  </r>
  <r>
    <s v="CA-2016-146171"/>
    <x v="237"/>
    <d v="2016-03-15T00:00:00"/>
    <x v="1"/>
    <s v="JP-16135"/>
    <s v="Julie Prescott"/>
    <x v="2"/>
    <s v="United States"/>
    <x v="29"/>
    <x v="24"/>
    <x v="0"/>
    <s v="FUR-FU-10004270"/>
    <s v="Furniture"/>
    <x v="3"/>
    <s v="Executive Impressions 13&quot; Clairmont Wall Clock"/>
    <n v="76.92"/>
    <n v="4"/>
    <n v="0"/>
    <n v="31.537199999999999"/>
    <x v="4"/>
    <x v="9"/>
  </r>
  <r>
    <s v="CA-2017-158967"/>
    <x v="247"/>
    <d v="2017-12-12T00:00:00"/>
    <x v="2"/>
    <s v="BT-11680"/>
    <s v="Brian Thompson"/>
    <x v="0"/>
    <s v="United States"/>
    <x v="1"/>
    <x v="1"/>
    <x v="0"/>
    <s v="FUR-FU-10001940"/>
    <s v="Furniture"/>
    <x v="3"/>
    <s v="Staple-based wall hangings"/>
    <n v="19.103999999999999"/>
    <n v="3"/>
    <n v="0.2"/>
    <n v="5.7312000000000003"/>
    <x v="3"/>
    <x v="5"/>
  </r>
  <r>
    <s v="CA-2015-138534"/>
    <x v="392"/>
    <d v="2015-07-19T00:00:00"/>
    <x v="0"/>
    <s v="JM-15535"/>
    <s v="Jessica Myrick"/>
    <x v="0"/>
    <s v="United States"/>
    <x v="175"/>
    <x v="2"/>
    <x v="1"/>
    <s v="FUR-BO-10003159"/>
    <s v="Furniture"/>
    <x v="0"/>
    <s v="Sauder Camden County Collection Libraries, Planked Cherry Finish"/>
    <n v="195.46600000000001"/>
    <n v="2"/>
    <n v="0.15"/>
    <n v="-13.797599999999999"/>
    <x v="3"/>
    <x v="3"/>
  </r>
  <r>
    <s v="CA-2017-108322"/>
    <x v="393"/>
    <d v="2017-05-05T00:00:00"/>
    <x v="1"/>
    <s v="SS-20140"/>
    <s v="Saphhira Shifley"/>
    <x v="1"/>
    <s v="United States"/>
    <x v="176"/>
    <x v="1"/>
    <x v="0"/>
    <s v="FUR-FU-10001935"/>
    <s v="Furniture"/>
    <x v="3"/>
    <s v="3M Hangers With Command Adhesive"/>
    <n v="23.68"/>
    <n v="8"/>
    <n v="0.2"/>
    <n v="6.2160000000000002"/>
    <x v="2"/>
    <x v="6"/>
  </r>
  <r>
    <s v="CA-2015-149972"/>
    <x v="231"/>
    <d v="2015-09-23T00:00:00"/>
    <x v="2"/>
    <s v="CD-12790"/>
    <s v="Cynthia Delaney"/>
    <x v="2"/>
    <s v="United States"/>
    <x v="2"/>
    <x v="2"/>
    <x v="1"/>
    <s v="FUR-CH-10004997"/>
    <s v="Furniture"/>
    <x v="1"/>
    <s v="Hon Every-Day Series Multi-Task Chairs"/>
    <n v="601.53599999999994"/>
    <n v="4"/>
    <n v="0.2"/>
    <n v="0"/>
    <x v="3"/>
    <x v="4"/>
  </r>
  <r>
    <s v="US-2014-117744"/>
    <x v="116"/>
    <d v="2014-12-06T00:00:00"/>
    <x v="1"/>
    <s v="MD-17860"/>
    <s v="Michael Dominguez"/>
    <x v="1"/>
    <s v="United States"/>
    <x v="177"/>
    <x v="5"/>
    <x v="3"/>
    <s v="FUR-FU-10001588"/>
    <s v="Furniture"/>
    <x v="3"/>
    <s v="Deflect-o SuperTray Unbreakable Stackable Tray, Letter, Black"/>
    <n v="58.36"/>
    <n v="5"/>
    <n v="0.6"/>
    <n v="-24.803000000000001"/>
    <x v="4"/>
    <x v="5"/>
  </r>
  <r>
    <s v="US-2014-117744"/>
    <x v="116"/>
    <d v="2014-12-06T00:00:00"/>
    <x v="1"/>
    <s v="MD-17860"/>
    <s v="Michael Dominguez"/>
    <x v="1"/>
    <s v="United States"/>
    <x v="177"/>
    <x v="5"/>
    <x v="3"/>
    <s v="FUR-FU-10002759"/>
    <s v="Furniture"/>
    <x v="3"/>
    <s v="12-1/2 Diameter Round Wall Clock"/>
    <n v="39.96"/>
    <n v="5"/>
    <n v="0.6"/>
    <n v="-23.975999999999999"/>
    <x v="4"/>
    <x v="5"/>
  </r>
  <r>
    <s v="CA-2014-154599"/>
    <x v="394"/>
    <d v="2014-04-17T00:00:00"/>
    <x v="1"/>
    <s v="KN-16450"/>
    <s v="Kean Nguyen"/>
    <x v="1"/>
    <s v="United States"/>
    <x v="178"/>
    <x v="2"/>
    <x v="1"/>
    <s v="FUR-BO-10001337"/>
    <s v="Furniture"/>
    <x v="0"/>
    <s v="O'Sullivan Living Dimensions 2-Shelf Bookcases"/>
    <n v="308.49900000000002"/>
    <n v="3"/>
    <n v="0.15"/>
    <n v="-18.146999999999998"/>
    <x v="2"/>
    <x v="6"/>
  </r>
  <r>
    <s v="CA-2017-143329"/>
    <x v="54"/>
    <d v="2017-11-08T00:00:00"/>
    <x v="1"/>
    <s v="DL-13330"/>
    <s v="Denise Leinenbach"/>
    <x v="0"/>
    <s v="United States"/>
    <x v="179"/>
    <x v="41"/>
    <x v="1"/>
    <s v="FUR-FU-10000629"/>
    <s v="Furniture"/>
    <x v="3"/>
    <s v="9-3/4 Diameter Round Wall Clock"/>
    <n v="41.37"/>
    <n v="3"/>
    <n v="0"/>
    <n v="17.375399999999999"/>
    <x v="2"/>
    <x v="0"/>
  </r>
  <r>
    <s v="CA-2015-122623"/>
    <x v="395"/>
    <d v="2015-09-11T00:00:00"/>
    <x v="1"/>
    <s v="CC-12145"/>
    <s v="Charles Crestani"/>
    <x v="0"/>
    <s v="United States"/>
    <x v="116"/>
    <x v="5"/>
    <x v="3"/>
    <s v="FUR-CH-10000553"/>
    <s v="Furniture"/>
    <x v="1"/>
    <s v="Metal Folding Chairs, Beige, 4/Carton"/>
    <n v="47.515999999999998"/>
    <n v="2"/>
    <n v="0.3"/>
    <n v="-2.0364"/>
    <x v="4"/>
    <x v="4"/>
  </r>
  <r>
    <s v="CA-2015-148635"/>
    <x v="396"/>
    <d v="2015-07-27T00:00:00"/>
    <x v="0"/>
    <s v="MH-18025"/>
    <s v="Michelle Huthwaite"/>
    <x v="0"/>
    <s v="United States"/>
    <x v="15"/>
    <x v="13"/>
    <x v="1"/>
    <s v="FUR-BO-10002213"/>
    <s v="Furniture"/>
    <x v="0"/>
    <s v="Sauder Forest Hills Library, Woodland Oak Finish"/>
    <n v="704.9"/>
    <n v="5"/>
    <n v="0"/>
    <n v="56.392000000000003"/>
    <x v="3"/>
    <x v="3"/>
  </r>
  <r>
    <s v="CA-2015-148635"/>
    <x v="396"/>
    <d v="2015-07-27T00:00:00"/>
    <x v="0"/>
    <s v="MH-18025"/>
    <s v="Michelle Huthwaite"/>
    <x v="0"/>
    <s v="United States"/>
    <x v="15"/>
    <x v="13"/>
    <x v="1"/>
    <s v="FUR-CH-10001854"/>
    <s v="Furniture"/>
    <x v="1"/>
    <s v="Office Star - Professional Matrix Back Chair with 2-to-1 Synchro Tilt and Mesh Fabric Seat"/>
    <n v="561.56799999999998"/>
    <n v="2"/>
    <n v="0.2"/>
    <n v="28.078399999999998"/>
    <x v="3"/>
    <x v="3"/>
  </r>
  <r>
    <s v="CA-2015-135685"/>
    <x v="397"/>
    <d v="2015-11-18T00:00:00"/>
    <x v="0"/>
    <s v="MP-18175"/>
    <s v="Mike Pelletier"/>
    <x v="2"/>
    <s v="United States"/>
    <x v="79"/>
    <x v="16"/>
    <x v="3"/>
    <s v="FUR-FU-10001185"/>
    <s v="Furniture"/>
    <x v="3"/>
    <s v="Advantus Employee of the Month Certificate Frame, 11 x 13-1/2"/>
    <n v="185.58"/>
    <n v="6"/>
    <n v="0"/>
    <n v="76.087800000000001"/>
    <x v="3"/>
    <x v="0"/>
  </r>
  <r>
    <s v="CA-2015-135685"/>
    <x v="397"/>
    <d v="2015-11-18T00:00:00"/>
    <x v="0"/>
    <s v="MP-18175"/>
    <s v="Mike Pelletier"/>
    <x v="2"/>
    <s v="United States"/>
    <x v="79"/>
    <x v="16"/>
    <x v="3"/>
    <s v="FUR-TA-10001520"/>
    <s v="Furniture"/>
    <x v="2"/>
    <s v="Lesro Sheffield Collection Coffee Table, End Table, Center Table, Corner Table"/>
    <n v="214.11"/>
    <n v="3"/>
    <n v="0"/>
    <n v="36.398699999999998"/>
    <x v="3"/>
    <x v="0"/>
  </r>
  <r>
    <s v="CA-2015-135685"/>
    <x v="397"/>
    <d v="2015-11-18T00:00:00"/>
    <x v="0"/>
    <s v="MP-18175"/>
    <s v="Mike Pelletier"/>
    <x v="2"/>
    <s v="United States"/>
    <x v="79"/>
    <x v="16"/>
    <x v="3"/>
    <s v="FUR-TA-10000688"/>
    <s v="Furniture"/>
    <x v="2"/>
    <s v="Chromcraft Bull-Nose Wood Round Conference Table Top, Wood Base"/>
    <n v="653.54999999999995"/>
    <n v="3"/>
    <n v="0"/>
    <n v="111.1035"/>
    <x v="3"/>
    <x v="0"/>
  </r>
  <r>
    <s v="CA-2015-104626"/>
    <x v="398"/>
    <d v="2015-09-08T00:00:00"/>
    <x v="1"/>
    <s v="DR-12940"/>
    <s v="Daniel Raglin"/>
    <x v="2"/>
    <s v="United States"/>
    <x v="20"/>
    <x v="20"/>
    <x v="2"/>
    <s v="FUR-CH-10003817"/>
    <s v="Furniture"/>
    <x v="1"/>
    <s v="Global Value Steno Chair, Gray"/>
    <n v="60.74"/>
    <n v="1"/>
    <n v="0"/>
    <n v="15.185"/>
    <x v="1"/>
    <x v="4"/>
  </r>
  <r>
    <s v="CA-2015-104626"/>
    <x v="398"/>
    <d v="2015-09-08T00:00:00"/>
    <x v="1"/>
    <s v="DR-12940"/>
    <s v="Daniel Raglin"/>
    <x v="2"/>
    <s v="United States"/>
    <x v="20"/>
    <x v="20"/>
    <x v="2"/>
    <s v="FUR-FU-10000308"/>
    <s v="Furniture"/>
    <x v="3"/>
    <s v="Deflect-o Glass Clear Studded Chair Mats"/>
    <n v="124.36"/>
    <n v="2"/>
    <n v="0"/>
    <n v="27.359200000000001"/>
    <x v="1"/>
    <x v="4"/>
  </r>
  <r>
    <s v="CA-2016-160500"/>
    <x v="399"/>
    <d v="2016-05-08T00:00:00"/>
    <x v="2"/>
    <s v="DM-13015"/>
    <s v="Darrin Martin"/>
    <x v="0"/>
    <s v="United States"/>
    <x v="92"/>
    <x v="2"/>
    <x v="1"/>
    <s v="FUR-TA-10003748"/>
    <s v="Furniture"/>
    <x v="2"/>
    <s v="Bevis 36 x 72 Conference Tables"/>
    <n v="298.77600000000001"/>
    <n v="3"/>
    <n v="0.2"/>
    <n v="7.4694000000000003"/>
    <x v="0"/>
    <x v="7"/>
  </r>
  <r>
    <s v="US-2014-112914"/>
    <x v="400"/>
    <d v="2014-09-30T00:00:00"/>
    <x v="1"/>
    <s v="MT-18070"/>
    <s v="Michelle Tran"/>
    <x v="2"/>
    <s v="United States"/>
    <x v="6"/>
    <x v="5"/>
    <x v="3"/>
    <s v="FUR-BO-10003272"/>
    <s v="Furniture"/>
    <x v="0"/>
    <s v="O'Sullivan Living Dimensions 5-Shelf Bookcases"/>
    <n v="300.53280000000001"/>
    <n v="2"/>
    <n v="0.32"/>
    <n v="-97.231200000000001"/>
    <x v="2"/>
    <x v="4"/>
  </r>
  <r>
    <s v="US-2014-125521"/>
    <x v="401"/>
    <d v="2014-03-19T00:00:00"/>
    <x v="1"/>
    <s v="CK-12325"/>
    <s v="Christine Kargatis"/>
    <x v="2"/>
    <s v="United States"/>
    <x v="180"/>
    <x v="25"/>
    <x v="0"/>
    <s v="FUR-CH-10003379"/>
    <s v="Furniture"/>
    <x v="1"/>
    <s v="Global Commerce Series High-Back Swivel/Tilt Chairs"/>
    <n v="1139.92"/>
    <n v="4"/>
    <n v="0"/>
    <n v="284.98"/>
    <x v="2"/>
    <x v="9"/>
  </r>
  <r>
    <s v="US-2016-162852"/>
    <x v="402"/>
    <d v="2016-12-31T00:00:00"/>
    <x v="1"/>
    <s v="BG-11695"/>
    <s v="Brooke Gillingham"/>
    <x v="1"/>
    <s v="United States"/>
    <x v="181"/>
    <x v="8"/>
    <x v="3"/>
    <s v="FUR-CH-10004853"/>
    <s v="Furniture"/>
    <x v="1"/>
    <s v="Global Manager's Adjustable Task Chair, Storm"/>
    <n v="845.48800000000006"/>
    <n v="8"/>
    <n v="0.3"/>
    <n v="-12.0784"/>
    <x v="4"/>
    <x v="5"/>
  </r>
  <r>
    <s v="CA-2017-157854"/>
    <x v="403"/>
    <d v="2017-04-15T00:00:00"/>
    <x v="1"/>
    <s v="DM-13345"/>
    <s v="Denise Monton"/>
    <x v="1"/>
    <s v="United States"/>
    <x v="153"/>
    <x v="24"/>
    <x v="0"/>
    <s v="FUR-FU-10003832"/>
    <s v="Furniture"/>
    <x v="3"/>
    <s v="Eldon Expressions Punched Metal &amp; Wood Desk Accessories, Black &amp; Cherry"/>
    <n v="56.28"/>
    <n v="6"/>
    <n v="0"/>
    <n v="15.7584"/>
    <x v="1"/>
    <x v="6"/>
  </r>
  <r>
    <s v="CA-2016-136371"/>
    <x v="331"/>
    <d v="2016-03-21T00:00:00"/>
    <x v="0"/>
    <s v="SV-20935"/>
    <s v="Susan Vittorini"/>
    <x v="0"/>
    <s v="United States"/>
    <x v="64"/>
    <x v="7"/>
    <x v="2"/>
    <s v="FUR-FU-10000409"/>
    <s v="Furniture"/>
    <x v="3"/>
    <s v="GE 4 Foot Flourescent Tube, 40 Watt"/>
    <n v="14.98"/>
    <n v="1"/>
    <n v="0"/>
    <n v="6.8907999999999996"/>
    <x v="3"/>
    <x v="9"/>
  </r>
  <r>
    <s v="CA-2016-136371"/>
    <x v="331"/>
    <d v="2016-03-21T00:00:00"/>
    <x v="0"/>
    <s v="SV-20935"/>
    <s v="Susan Vittorini"/>
    <x v="0"/>
    <s v="United States"/>
    <x v="64"/>
    <x v="7"/>
    <x v="2"/>
    <s v="FUR-FU-10000221"/>
    <s v="Furniture"/>
    <x v="3"/>
    <s v="Master Caster Door Stop, Brown"/>
    <n v="20.32"/>
    <n v="4"/>
    <n v="0"/>
    <n v="6.9088000000000003"/>
    <x v="3"/>
    <x v="9"/>
  </r>
  <r>
    <s v="CA-2016-128594"/>
    <x v="238"/>
    <d v="2016-08-29T00:00:00"/>
    <x v="2"/>
    <s v="DJ-13510"/>
    <s v="Don Jones"/>
    <x v="1"/>
    <s v="United States"/>
    <x v="53"/>
    <x v="2"/>
    <x v="1"/>
    <s v="FUR-CH-10001215"/>
    <s v="Furniture"/>
    <x v="1"/>
    <s v="Global Troy Executive Leather Low-Back Tilter"/>
    <n v="1603.136"/>
    <n v="4"/>
    <n v="0.2"/>
    <n v="100.196"/>
    <x v="0"/>
    <x v="10"/>
  </r>
  <r>
    <s v="CA-2016-154690"/>
    <x v="404"/>
    <d v="2016-08-17T00:00:00"/>
    <x v="0"/>
    <s v="CC-12370"/>
    <s v="Christopher Conant"/>
    <x v="0"/>
    <s v="United States"/>
    <x v="160"/>
    <x v="30"/>
    <x v="0"/>
    <s v="FUR-CH-10000988"/>
    <s v="Furniture"/>
    <x v="1"/>
    <s v="Hon Olson Stacker Stools"/>
    <n v="225.29599999999999"/>
    <n v="2"/>
    <n v="0.2"/>
    <n v="22.529599999999999"/>
    <x v="3"/>
    <x v="10"/>
  </r>
  <r>
    <s v="CA-2017-138975"/>
    <x v="405"/>
    <d v="2017-05-23T00:00:00"/>
    <x v="1"/>
    <s v="SC-20380"/>
    <s v="Shahid Collister"/>
    <x v="0"/>
    <s v="United States"/>
    <x v="182"/>
    <x v="24"/>
    <x v="0"/>
    <s v="FUR-BO-10004695"/>
    <s v="Furniture"/>
    <x v="0"/>
    <s v="O'Sullivan 2-Door Barrister Bookcase in Odessa Pine"/>
    <n v="1628.82"/>
    <n v="9"/>
    <n v="0"/>
    <n v="374.62860000000001"/>
    <x v="4"/>
    <x v="7"/>
  </r>
  <r>
    <s v="CA-2017-143861"/>
    <x v="235"/>
    <d v="2017-06-19T00:00:00"/>
    <x v="1"/>
    <s v="LC-16885"/>
    <s v="Lena Creighton"/>
    <x v="0"/>
    <s v="United States"/>
    <x v="66"/>
    <x v="1"/>
    <x v="0"/>
    <s v="FUR-FU-10001546"/>
    <s v="Furniture"/>
    <x v="3"/>
    <s v="Dana Swing-Arm Lamps"/>
    <n v="17.088000000000001"/>
    <n v="2"/>
    <n v="0.2"/>
    <n v="1.0680000000000001"/>
    <x v="1"/>
    <x v="2"/>
  </r>
  <r>
    <s v="CA-2014-148040"/>
    <x v="406"/>
    <d v="2014-03-26T00:00:00"/>
    <x v="1"/>
    <s v="BF-11275"/>
    <s v="Beth Fritzler"/>
    <x v="1"/>
    <s v="United States"/>
    <x v="104"/>
    <x v="22"/>
    <x v="1"/>
    <s v="FUR-CH-10001482"/>
    <s v="Furniture"/>
    <x v="1"/>
    <s v="Office Star - Mesh Screen back chair with Vinyl seat"/>
    <n v="314.35199999999998"/>
    <n v="3"/>
    <n v="0.2"/>
    <n v="-35.364600000000003"/>
    <x v="4"/>
    <x v="9"/>
  </r>
  <r>
    <s v="US-2016-167339"/>
    <x v="407"/>
    <d v="2016-01-23T00:00:00"/>
    <x v="0"/>
    <s v="TD-20995"/>
    <s v="Tamara Dahlen"/>
    <x v="0"/>
    <s v="United States"/>
    <x v="53"/>
    <x v="2"/>
    <x v="1"/>
    <s v="FUR-CH-10004289"/>
    <s v="Furniture"/>
    <x v="1"/>
    <s v="Global Super Steno Chair"/>
    <n v="153.56800000000001"/>
    <n v="2"/>
    <n v="0.2"/>
    <n v="-5.7587999999999999"/>
    <x v="3"/>
    <x v="8"/>
  </r>
  <r>
    <s v="US-2016-167339"/>
    <x v="407"/>
    <d v="2016-01-23T00:00:00"/>
    <x v="0"/>
    <s v="TD-20995"/>
    <s v="Tamara Dahlen"/>
    <x v="0"/>
    <s v="United States"/>
    <x v="53"/>
    <x v="2"/>
    <x v="1"/>
    <s v="FUR-CH-10000785"/>
    <s v="Furniture"/>
    <x v="1"/>
    <s v="Global Ergonomic Managers Chair"/>
    <n v="1013.4880000000001"/>
    <n v="7"/>
    <n v="0.2"/>
    <n v="76.011600000000001"/>
    <x v="3"/>
    <x v="8"/>
  </r>
  <r>
    <s v="CA-2016-130799"/>
    <x v="367"/>
    <d v="2016-11-16T00:00:00"/>
    <x v="0"/>
    <s v="BK-11260"/>
    <s v="Berenike Kampe"/>
    <x v="0"/>
    <s v="United States"/>
    <x v="28"/>
    <x v="2"/>
    <x v="1"/>
    <s v="FUR-FU-10001852"/>
    <s v="Furniture"/>
    <x v="3"/>
    <s v="Eldon Regeneration Recycled Desk Accessories, Smoke"/>
    <n v="6.96"/>
    <n v="4"/>
    <n v="0"/>
    <n v="2.2271999999999998"/>
    <x v="2"/>
    <x v="0"/>
  </r>
  <r>
    <s v="US-2016-159856"/>
    <x v="408"/>
    <d v="2016-10-22T00:00:00"/>
    <x v="1"/>
    <s v="EP-13915"/>
    <s v="Emily Phan"/>
    <x v="0"/>
    <s v="United States"/>
    <x v="183"/>
    <x v="22"/>
    <x v="1"/>
    <s v="FUR-CH-10003396"/>
    <s v="Furniture"/>
    <x v="1"/>
    <s v="Global Deluxe Steno Chair"/>
    <n v="307.92"/>
    <n v="5"/>
    <n v="0.2"/>
    <n v="-34.640999999999998"/>
    <x v="4"/>
    <x v="1"/>
  </r>
  <r>
    <s v="CA-2014-142727"/>
    <x v="149"/>
    <d v="2014-05-01T00:00:00"/>
    <x v="0"/>
    <s v="HG-14845"/>
    <s v="Harry Greene"/>
    <x v="0"/>
    <s v="United States"/>
    <x v="184"/>
    <x v="35"/>
    <x v="0"/>
    <s v="FUR-CH-10002304"/>
    <s v="Furniture"/>
    <x v="1"/>
    <s v="Global Stack Chair without Arms, Black"/>
    <n v="51.96"/>
    <n v="2"/>
    <n v="0"/>
    <n v="12.99"/>
    <x v="3"/>
    <x v="6"/>
  </r>
  <r>
    <s v="CA-2017-139913"/>
    <x v="409"/>
    <d v="2017-10-29T00:00:00"/>
    <x v="1"/>
    <s v="JC-16105"/>
    <s v="Julie Creighton"/>
    <x v="1"/>
    <s v="United States"/>
    <x v="77"/>
    <x v="7"/>
    <x v="2"/>
    <s v="FUR-FU-10000771"/>
    <s v="Furniture"/>
    <x v="3"/>
    <s v="Eldon 200 Class Desk Accessories, Smoke"/>
    <n v="69.08"/>
    <n v="11"/>
    <n v="0"/>
    <n v="29.0136"/>
    <x v="6"/>
    <x v="1"/>
  </r>
  <r>
    <s v="US-2015-114839"/>
    <x v="12"/>
    <d v="2015-04-30T00:00:00"/>
    <x v="1"/>
    <s v="PW-19240"/>
    <s v="Pierre Wener"/>
    <x v="0"/>
    <s v="United States"/>
    <x v="6"/>
    <x v="5"/>
    <x v="3"/>
    <s v="FUR-CH-10004086"/>
    <s v="Furniture"/>
    <x v="1"/>
    <s v="Hon 4070 Series Pagoda Armless Upholstered Stacking Chairs"/>
    <n v="408.42200000000003"/>
    <n v="2"/>
    <n v="0.3"/>
    <n v="-5.8346"/>
    <x v="4"/>
    <x v="6"/>
  </r>
  <r>
    <s v="CA-2016-153577"/>
    <x v="410"/>
    <d v="2016-07-01T00:00:00"/>
    <x v="1"/>
    <s v="KH-16330"/>
    <s v="Katharine Harms"/>
    <x v="1"/>
    <s v="United States"/>
    <x v="185"/>
    <x v="8"/>
    <x v="3"/>
    <s v="FUR-CH-10003981"/>
    <s v="Furniture"/>
    <x v="1"/>
    <s v="Global Commerce Series Low-Back Swivel/Tilt Chairs"/>
    <n v="539.65800000000002"/>
    <n v="3"/>
    <n v="0.3"/>
    <n v="-7.7093999999999996"/>
    <x v="4"/>
    <x v="2"/>
  </r>
  <r>
    <s v="CA-2016-160129"/>
    <x v="411"/>
    <d v="2016-11-23T00:00:00"/>
    <x v="3"/>
    <s v="LS-17200"/>
    <s v="Luke Schmidt"/>
    <x v="1"/>
    <s v="United States"/>
    <x v="3"/>
    <x v="3"/>
    <x v="2"/>
    <s v="FUR-FU-10002088"/>
    <s v="Furniture"/>
    <x v="3"/>
    <s v="Nu-Dell Float Frame 11 x 14 1/2"/>
    <n v="14.368"/>
    <n v="2"/>
    <n v="0.2"/>
    <n v="3.9512"/>
    <x v="7"/>
    <x v="0"/>
  </r>
  <r>
    <s v="CA-2016-160129"/>
    <x v="411"/>
    <d v="2016-11-23T00:00:00"/>
    <x v="3"/>
    <s v="LS-17200"/>
    <s v="Luke Schmidt"/>
    <x v="1"/>
    <s v="United States"/>
    <x v="3"/>
    <x v="3"/>
    <x v="2"/>
    <s v="FUR-FU-10003976"/>
    <s v="Furniture"/>
    <x v="3"/>
    <s v="DAX Executive Solid Wood Document Frame, Desktop or Hang, Mahogany, 5 x 7"/>
    <n v="70.447999999999993"/>
    <n v="7"/>
    <n v="0.2"/>
    <n v="12.3284"/>
    <x v="7"/>
    <x v="0"/>
  </r>
  <r>
    <s v="CA-2014-157721"/>
    <x v="412"/>
    <d v="2014-09-05T00:00:00"/>
    <x v="2"/>
    <s v="JM-16195"/>
    <s v="Justin MacKendrick"/>
    <x v="0"/>
    <s v="United States"/>
    <x v="115"/>
    <x v="7"/>
    <x v="2"/>
    <s v="FUR-FU-10002116"/>
    <s v="Furniture"/>
    <x v="3"/>
    <s v="Tenex Carpeted, Granite-Look or Clear Contemporary Contour Shape Chair Mats"/>
    <n v="70.709999999999994"/>
    <n v="1"/>
    <n v="0"/>
    <n v="4.9497"/>
    <x v="0"/>
    <x v="4"/>
  </r>
  <r>
    <s v="CA-2017-128629"/>
    <x v="413"/>
    <d v="2017-07-14T00:00:00"/>
    <x v="0"/>
    <s v="BP-11155"/>
    <s v="Becky Pak"/>
    <x v="0"/>
    <s v="United States"/>
    <x v="29"/>
    <x v="24"/>
    <x v="0"/>
    <s v="FUR-FU-10000771"/>
    <s v="Furniture"/>
    <x v="3"/>
    <s v="Eldon 200 Class Desk Accessories, Smoke"/>
    <n v="18.84"/>
    <n v="3"/>
    <n v="0"/>
    <n v="7.9127999999999998"/>
    <x v="4"/>
    <x v="3"/>
  </r>
  <r>
    <s v="CA-2017-143434"/>
    <x v="414"/>
    <d v="2017-11-24T00:00:00"/>
    <x v="1"/>
    <s v="ME-17320"/>
    <s v="Maria Etezadi"/>
    <x v="2"/>
    <s v="United States"/>
    <x v="186"/>
    <x v="17"/>
    <x v="3"/>
    <s v="FUR-FU-10002597"/>
    <s v="Furniture"/>
    <x v="3"/>
    <s v="C-Line Magnetic Cubicle Keepers, Clear Polypropylene"/>
    <n v="19.760000000000002"/>
    <n v="4"/>
    <n v="0"/>
    <n v="8.2992000000000008"/>
    <x v="6"/>
    <x v="0"/>
  </r>
  <r>
    <s v="CA-2015-168564"/>
    <x v="415"/>
    <d v="2015-08-08T00:00:00"/>
    <x v="3"/>
    <s v="TT-21220"/>
    <s v="Thomas Thornton"/>
    <x v="0"/>
    <s v="United States"/>
    <x v="28"/>
    <x v="2"/>
    <x v="1"/>
    <s v="FUR-CH-10000785"/>
    <s v="Furniture"/>
    <x v="1"/>
    <s v="Global Ergonomic Managers Chair"/>
    <n v="144.78399999999999"/>
    <n v="1"/>
    <n v="0.2"/>
    <n v="10.8588"/>
    <x v="7"/>
    <x v="10"/>
  </r>
  <r>
    <s v="CA-2017-155880"/>
    <x v="416"/>
    <d v="2017-03-31T00:00:00"/>
    <x v="1"/>
    <s v="JD-16150"/>
    <s v="Justin Deggeller"/>
    <x v="1"/>
    <s v="United States"/>
    <x v="79"/>
    <x v="16"/>
    <x v="3"/>
    <s v="FUR-CH-10000422"/>
    <s v="Furniture"/>
    <x v="1"/>
    <s v="Global Highback Leather Tilter in Burgundy"/>
    <n v="90.99"/>
    <n v="1"/>
    <n v="0"/>
    <n v="14.558400000000001"/>
    <x v="6"/>
    <x v="9"/>
  </r>
  <r>
    <s v="CA-2017-155880"/>
    <x v="416"/>
    <d v="2017-03-31T00:00:00"/>
    <x v="1"/>
    <s v="JD-16150"/>
    <s v="Justin Deggeller"/>
    <x v="1"/>
    <s v="United States"/>
    <x v="79"/>
    <x v="16"/>
    <x v="3"/>
    <s v="FUR-CH-10004675"/>
    <s v="Furniture"/>
    <x v="1"/>
    <s v="Lifetime Advantage Folding Chairs, 4/Carton"/>
    <n v="1526.56"/>
    <n v="7"/>
    <n v="0"/>
    <n v="427.43680000000001"/>
    <x v="6"/>
    <x v="9"/>
  </r>
  <r>
    <s v="CA-2017-155880"/>
    <x v="416"/>
    <d v="2017-03-31T00:00:00"/>
    <x v="1"/>
    <s v="JD-16150"/>
    <s v="Justin Deggeller"/>
    <x v="1"/>
    <s v="United States"/>
    <x v="79"/>
    <x v="16"/>
    <x v="3"/>
    <s v="FUR-CH-10002880"/>
    <s v="Furniture"/>
    <x v="1"/>
    <s v="Global High-Back Leather Tilter, Burgundy"/>
    <n v="368.97"/>
    <n v="3"/>
    <n v="0"/>
    <n v="40.5867"/>
    <x v="6"/>
    <x v="9"/>
  </r>
  <r>
    <s v="CA-2017-126242"/>
    <x v="49"/>
    <d v="2017-11-24T00:00:00"/>
    <x v="1"/>
    <s v="MC-18100"/>
    <s v="Mick Crebagga"/>
    <x v="0"/>
    <s v="United States"/>
    <x v="2"/>
    <x v="2"/>
    <x v="1"/>
    <s v="FUR-FU-10002685"/>
    <s v="Furniture"/>
    <x v="3"/>
    <s v="Executive Impressions 13-1/2&quot; Indoor/Outdoor Wall Clock"/>
    <n v="18.7"/>
    <n v="1"/>
    <n v="0"/>
    <n v="7.1059999999999999"/>
    <x v="2"/>
    <x v="0"/>
  </r>
  <r>
    <s v="CA-2016-166443"/>
    <x v="114"/>
    <d v="2016-11-05T00:00:00"/>
    <x v="2"/>
    <s v="LH-17020"/>
    <s v="Lisa Hazard"/>
    <x v="0"/>
    <s v="United States"/>
    <x v="28"/>
    <x v="2"/>
    <x v="1"/>
    <s v="FUR-FU-10004020"/>
    <s v="Furniture"/>
    <x v="3"/>
    <s v="Advantus Panel Wall Acrylic Frame"/>
    <n v="38.29"/>
    <n v="7"/>
    <n v="0"/>
    <n v="16.464700000000001"/>
    <x v="5"/>
    <x v="0"/>
  </r>
  <r>
    <s v="CA-2017-169859"/>
    <x v="417"/>
    <d v="2017-12-18T00:00:00"/>
    <x v="1"/>
    <s v="MP-18175"/>
    <s v="Mike Pelletier"/>
    <x v="2"/>
    <s v="United States"/>
    <x v="53"/>
    <x v="2"/>
    <x v="1"/>
    <s v="FUR-FU-10004963"/>
    <s v="Furniture"/>
    <x v="3"/>
    <s v="Eldon 400 Class Desk Accessories, Black Carbon"/>
    <n v="26.25"/>
    <n v="3"/>
    <n v="0"/>
    <n v="11.025"/>
    <x v="4"/>
    <x v="5"/>
  </r>
  <r>
    <s v="CA-2017-134915"/>
    <x v="418"/>
    <d v="2017-11-12T00:00:00"/>
    <x v="3"/>
    <s v="EM-14140"/>
    <s v="Eugene Moren"/>
    <x v="2"/>
    <s v="United States"/>
    <x v="110"/>
    <x v="22"/>
    <x v="1"/>
    <s v="FUR-CH-10004875"/>
    <s v="Furniture"/>
    <x v="1"/>
    <s v="Harbour Creations 67200 Series Stacking Chairs"/>
    <n v="113.88800000000001"/>
    <n v="2"/>
    <n v="0.2"/>
    <n v="9.9651999999999994"/>
    <x v="7"/>
    <x v="0"/>
  </r>
  <r>
    <s v="CA-2017-134915"/>
    <x v="418"/>
    <d v="2017-11-12T00:00:00"/>
    <x v="3"/>
    <s v="EM-14140"/>
    <s v="Eugene Moren"/>
    <x v="2"/>
    <s v="United States"/>
    <x v="110"/>
    <x v="22"/>
    <x v="1"/>
    <s v="FUR-FU-10000305"/>
    <s v="Furniture"/>
    <x v="3"/>
    <s v="Tenex V2T-RE Standard Weight Series Chair Mat, 45&quot; x 53&quot;, Lip 25&quot; x 12&quot;"/>
    <n v="113.568"/>
    <n v="2"/>
    <n v="0.2"/>
    <n v="-5.6783999999999999"/>
    <x v="7"/>
    <x v="0"/>
  </r>
  <r>
    <s v="CA-2017-123638"/>
    <x v="419"/>
    <d v="2017-07-04T00:00:00"/>
    <x v="1"/>
    <s v="MA-17995"/>
    <s v="Michelle Arnett"/>
    <x v="2"/>
    <s v="United States"/>
    <x v="115"/>
    <x v="7"/>
    <x v="2"/>
    <s v="FUR-CH-10002647"/>
    <s v="Furniture"/>
    <x v="1"/>
    <s v="Situations Contoured Folding Chairs, 4/Set"/>
    <n v="191.64599999999999"/>
    <n v="3"/>
    <n v="0.1"/>
    <n v="31.940999999999999"/>
    <x v="1"/>
    <x v="2"/>
  </r>
  <r>
    <s v="CA-2017-137428"/>
    <x v="420"/>
    <d v="2017-12-21T00:00:00"/>
    <x v="0"/>
    <s v="AY-10555"/>
    <s v="Andy Yotov"/>
    <x v="1"/>
    <s v="United States"/>
    <x v="64"/>
    <x v="2"/>
    <x v="1"/>
    <s v="FUR-CH-10002774"/>
    <s v="Furniture"/>
    <x v="1"/>
    <s v="Global Deluxe Stacking Chair, Gray"/>
    <n v="81.567999999999998"/>
    <n v="2"/>
    <n v="0.2"/>
    <n v="9.1763999999999992"/>
    <x v="2"/>
    <x v="5"/>
  </r>
  <r>
    <s v="CA-2017-137428"/>
    <x v="420"/>
    <d v="2017-12-21T00:00:00"/>
    <x v="0"/>
    <s v="AY-10555"/>
    <s v="Andy Yotov"/>
    <x v="1"/>
    <s v="United States"/>
    <x v="64"/>
    <x v="2"/>
    <x v="1"/>
    <s v="FUR-CH-10003817"/>
    <s v="Furniture"/>
    <x v="1"/>
    <s v="Global Value Steno Chair, Gray"/>
    <n v="97.183999999999997"/>
    <n v="2"/>
    <n v="0.2"/>
    <n v="6.0739999999999998"/>
    <x v="2"/>
    <x v="5"/>
  </r>
  <r>
    <s v="CA-2017-137428"/>
    <x v="420"/>
    <d v="2017-12-21T00:00:00"/>
    <x v="0"/>
    <s v="AY-10555"/>
    <s v="Andy Yotov"/>
    <x v="1"/>
    <s v="United States"/>
    <x v="64"/>
    <x v="2"/>
    <x v="1"/>
    <s v="FUR-FU-10002445"/>
    <s v="Furniture"/>
    <x v="3"/>
    <s v="DAX Two-Tone Rosewood/Black Document Frame, Desktop, 5 x 7"/>
    <n v="18.96"/>
    <n v="2"/>
    <n v="0"/>
    <n v="7.5839999999999996"/>
    <x v="2"/>
    <x v="5"/>
  </r>
  <r>
    <s v="CA-2014-162866"/>
    <x v="421"/>
    <d v="2014-12-31T00:00:00"/>
    <x v="1"/>
    <s v="Co-12640"/>
    <s v="Corey-Lock"/>
    <x v="0"/>
    <s v="United States"/>
    <x v="187"/>
    <x v="8"/>
    <x v="3"/>
    <s v="FUR-FU-10001473"/>
    <s v="Furniture"/>
    <x v="3"/>
    <s v="DAX Wood Document Frame"/>
    <n v="32.951999999999998"/>
    <n v="6"/>
    <n v="0.6"/>
    <n v="-19.7712"/>
    <x v="4"/>
    <x v="5"/>
  </r>
  <r>
    <s v="CA-2017-167941"/>
    <x v="200"/>
    <d v="2017-11-09T00:00:00"/>
    <x v="0"/>
    <s v="JF-15565"/>
    <s v="Jill Fjeld"/>
    <x v="0"/>
    <s v="United States"/>
    <x v="160"/>
    <x v="30"/>
    <x v="0"/>
    <s v="FUR-FU-10004671"/>
    <s v="Furniture"/>
    <x v="3"/>
    <s v="Executive Impressions 12&quot; Wall Clock"/>
    <n v="28.271999999999998"/>
    <n v="2"/>
    <n v="0.2"/>
    <n v="6.3612000000000002"/>
    <x v="0"/>
    <x v="0"/>
  </r>
  <r>
    <s v="CA-2015-137512"/>
    <x v="422"/>
    <d v="2015-05-12T00:00:00"/>
    <x v="1"/>
    <s v="AG-10675"/>
    <s v="Anna Gayman"/>
    <x v="0"/>
    <s v="United States"/>
    <x v="188"/>
    <x v="5"/>
    <x v="3"/>
    <s v="FUR-TA-10001095"/>
    <s v="Furniture"/>
    <x v="2"/>
    <s v="Chromcraft Round Conference Tables"/>
    <n v="244.006"/>
    <n v="2"/>
    <n v="0.3"/>
    <n v="-31.372199999999999"/>
    <x v="2"/>
    <x v="7"/>
  </r>
  <r>
    <s v="CA-2017-139773"/>
    <x v="423"/>
    <d v="2017-12-04T00:00:00"/>
    <x v="3"/>
    <s v="DV-13045"/>
    <s v="Darrin Van Huff"/>
    <x v="1"/>
    <s v="United States"/>
    <x v="3"/>
    <x v="3"/>
    <x v="2"/>
    <s v="FUR-CH-10001797"/>
    <s v="Furniture"/>
    <x v="1"/>
    <s v="Safco Chair Connectors, 6/Carton"/>
    <n v="188.55199999999999"/>
    <n v="7"/>
    <n v="0.3"/>
    <n v="-2.6936"/>
    <x v="7"/>
    <x v="5"/>
  </r>
  <r>
    <s v="CA-2014-109232"/>
    <x v="424"/>
    <d v="2014-01-16T00:00:00"/>
    <x v="0"/>
    <s v="ND-18370"/>
    <s v="Natalie DeCherney"/>
    <x v="0"/>
    <s v="United States"/>
    <x v="189"/>
    <x v="10"/>
    <x v="0"/>
    <s v="FUR-CH-10000422"/>
    <s v="Furniture"/>
    <x v="1"/>
    <s v="Global Highback Leather Tilter in Burgundy"/>
    <n v="545.94000000000005"/>
    <n v="6"/>
    <n v="0"/>
    <n v="87.350399999999993"/>
    <x v="0"/>
    <x v="8"/>
  </r>
  <r>
    <s v="CA-2015-139850"/>
    <x v="425"/>
    <d v="2015-06-17T00:00:00"/>
    <x v="1"/>
    <s v="GB-14575"/>
    <s v="Giulietta Baptist"/>
    <x v="0"/>
    <s v="United States"/>
    <x v="3"/>
    <x v="3"/>
    <x v="2"/>
    <s v="FUR-FU-10003623"/>
    <s v="Furniture"/>
    <x v="3"/>
    <s v="DataProducts Ampli Magnifier Task Lamp, Black,"/>
    <n v="43.295999999999999"/>
    <n v="2"/>
    <n v="0.2"/>
    <n v="4.3296000000000001"/>
    <x v="2"/>
    <x v="2"/>
  </r>
  <r>
    <s v="CA-2014-131310"/>
    <x v="56"/>
    <d v="2014-07-18T00:00:00"/>
    <x v="1"/>
    <s v="CL-12565"/>
    <s v="Clay Ludtke"/>
    <x v="0"/>
    <s v="United States"/>
    <x v="15"/>
    <x v="13"/>
    <x v="1"/>
    <s v="FUR-CH-10001797"/>
    <s v="Furniture"/>
    <x v="1"/>
    <s v="Safco Chair Connectors, 6/Carton"/>
    <n v="123.136"/>
    <n v="4"/>
    <n v="0.2"/>
    <n v="13.8528"/>
    <x v="6"/>
    <x v="3"/>
  </r>
  <r>
    <s v="US-2014-112872"/>
    <x v="387"/>
    <d v="2014-12-11T00:00:00"/>
    <x v="0"/>
    <s v="RC-19960"/>
    <s v="Ryan Crowe"/>
    <x v="0"/>
    <s v="United States"/>
    <x v="76"/>
    <x v="36"/>
    <x v="1"/>
    <s v="FUR-TA-10003238"/>
    <s v="Furniture"/>
    <x v="2"/>
    <s v="Chromcraft Bull-Nose Wood 48&quot; x 96&quot; Rectangular Conference Tables"/>
    <n v="275.49"/>
    <n v="1"/>
    <n v="0.5"/>
    <n v="-170.8038"/>
    <x v="2"/>
    <x v="5"/>
  </r>
  <r>
    <s v="CA-2016-139269"/>
    <x v="426"/>
    <d v="2016-05-30T00:00:00"/>
    <x v="1"/>
    <s v="JB-16045"/>
    <s v="Julia Barnett"/>
    <x v="2"/>
    <s v="United States"/>
    <x v="29"/>
    <x v="24"/>
    <x v="0"/>
    <s v="FUR-FU-10000755"/>
    <s v="Furniture"/>
    <x v="3"/>
    <s v="Eldon Expressions Mahogany Wood Desk Collection"/>
    <n v="24.96"/>
    <n v="4"/>
    <n v="0"/>
    <n v="6.24"/>
    <x v="2"/>
    <x v="7"/>
  </r>
  <r>
    <s v="CA-2014-138317"/>
    <x v="112"/>
    <d v="2014-06-25T00:00:00"/>
    <x v="1"/>
    <s v="NW-18400"/>
    <s v="Natalie Webber"/>
    <x v="0"/>
    <s v="United States"/>
    <x v="3"/>
    <x v="3"/>
    <x v="2"/>
    <s v="FUR-FU-10000550"/>
    <s v="Furniture"/>
    <x v="3"/>
    <s v="Stacking Trays by OIC"/>
    <n v="3.984"/>
    <n v="1"/>
    <n v="0.2"/>
    <n v="0.64739999999999998"/>
    <x v="4"/>
    <x v="2"/>
  </r>
  <r>
    <s v="CA-2016-124772"/>
    <x v="28"/>
    <d v="2016-12-06T00:00:00"/>
    <x v="2"/>
    <s v="JG-15160"/>
    <s v="James Galang"/>
    <x v="0"/>
    <s v="United States"/>
    <x v="190"/>
    <x v="0"/>
    <x v="0"/>
    <s v="FUR-FU-10004748"/>
    <s v="Furniture"/>
    <x v="3"/>
    <s v="Howard Miller 16&quot; Diameter Gallery Wall Clock"/>
    <n v="191.82"/>
    <n v="3"/>
    <n v="0"/>
    <n v="74.809799999999996"/>
    <x v="5"/>
    <x v="5"/>
  </r>
  <r>
    <s v="US-2015-138919"/>
    <x v="5"/>
    <d v="2015-09-21T00:00:00"/>
    <x v="1"/>
    <s v="LS-16975"/>
    <s v="Lindsay Shagiari"/>
    <x v="2"/>
    <s v="United States"/>
    <x v="13"/>
    <x v="7"/>
    <x v="2"/>
    <s v="FUR-TA-10004154"/>
    <s v="Furniture"/>
    <x v="2"/>
    <s v="Riverside Furniture Oval Coffee Table, Oval End Table, End Table with Drawer"/>
    <n v="344.22"/>
    <n v="2"/>
    <n v="0.4"/>
    <n v="-103.26600000000001"/>
    <x v="4"/>
    <x v="4"/>
  </r>
  <r>
    <s v="US-2016-160528"/>
    <x v="427"/>
    <d v="2016-08-30T00:00:00"/>
    <x v="1"/>
    <s v="MH-18115"/>
    <s v="Mick Hernandez"/>
    <x v="2"/>
    <s v="United States"/>
    <x v="191"/>
    <x v="5"/>
    <x v="3"/>
    <s v="FUR-FU-10004973"/>
    <s v="Furniture"/>
    <x v="3"/>
    <s v="Flat Face Poster Frame"/>
    <n v="22.608000000000001"/>
    <n v="3"/>
    <n v="0.6"/>
    <n v="-10.1736"/>
    <x v="1"/>
    <x v="10"/>
  </r>
  <r>
    <s v="CA-2015-123568"/>
    <x v="428"/>
    <d v="2015-11-14T00:00:00"/>
    <x v="1"/>
    <s v="SC-20095"/>
    <s v="Sanjit Chand"/>
    <x v="0"/>
    <s v="United States"/>
    <x v="192"/>
    <x v="4"/>
    <x v="1"/>
    <s v="FUR-FU-10004090"/>
    <s v="Furniture"/>
    <x v="3"/>
    <s v="Executive Impressions 14&quot; Contract Wall Clock"/>
    <n v="66.69"/>
    <n v="3"/>
    <n v="0"/>
    <n v="22.0077"/>
    <x v="6"/>
    <x v="0"/>
  </r>
  <r>
    <s v="CA-2017-124674"/>
    <x v="429"/>
    <d v="2017-11-23T00:00:00"/>
    <x v="1"/>
    <s v="JB-16000"/>
    <s v="Joy Bell-"/>
    <x v="0"/>
    <s v="United States"/>
    <x v="193"/>
    <x v="5"/>
    <x v="3"/>
    <s v="FUR-BO-10002202"/>
    <s v="Furniture"/>
    <x v="0"/>
    <s v="Atlantic Metals Mobile 2-Shelf Bookcases, Custom Colors"/>
    <n v="327.7328"/>
    <n v="2"/>
    <n v="0.32"/>
    <n v="-14.4588"/>
    <x v="6"/>
    <x v="0"/>
  </r>
  <r>
    <s v="CA-2017-169054"/>
    <x v="135"/>
    <d v="2017-04-26T00:00:00"/>
    <x v="1"/>
    <s v="MO-17800"/>
    <s v="Meg O'Connel"/>
    <x v="2"/>
    <s v="United States"/>
    <x v="3"/>
    <x v="3"/>
    <x v="2"/>
    <s v="FUR-FU-10001488"/>
    <s v="Furniture"/>
    <x v="3"/>
    <s v="Tenex 46&quot; x 60&quot; Computer Anti-Static Chairmat, Rectangular Shaped"/>
    <n v="254.352"/>
    <n v="3"/>
    <n v="0.2"/>
    <n v="0"/>
    <x v="4"/>
    <x v="6"/>
  </r>
  <r>
    <s v="CA-2017-116855"/>
    <x v="430"/>
    <d v="2017-12-21T00:00:00"/>
    <x v="1"/>
    <s v="AI-10855"/>
    <s v="Arianne Irving"/>
    <x v="0"/>
    <s v="United States"/>
    <x v="180"/>
    <x v="25"/>
    <x v="0"/>
    <s v="FUR-CH-10003846"/>
    <s v="Furniture"/>
    <x v="1"/>
    <s v="Hon Valutask Swivel Chairs"/>
    <n v="504.9"/>
    <n v="5"/>
    <n v="0"/>
    <n v="80.784000000000006"/>
    <x v="4"/>
    <x v="5"/>
  </r>
  <r>
    <s v="CA-2015-168480"/>
    <x v="231"/>
    <d v="2015-09-27T00:00:00"/>
    <x v="1"/>
    <s v="DM-12955"/>
    <s v="Dario Medina"/>
    <x v="1"/>
    <s v="United States"/>
    <x v="194"/>
    <x v="17"/>
    <x v="3"/>
    <s v="FUR-BO-10000468"/>
    <s v="Furniture"/>
    <x v="0"/>
    <s v="O'Sullivan 2-Shelf Heavy-Duty Bookcases"/>
    <n v="194.32"/>
    <n v="4"/>
    <n v="0"/>
    <n v="31.091200000000001"/>
    <x v="6"/>
    <x v="4"/>
  </r>
  <r>
    <s v="US-2016-114293"/>
    <x v="431"/>
    <d v="2016-11-26T00:00:00"/>
    <x v="1"/>
    <s v="JH-16180"/>
    <s v="Justin Hirsh"/>
    <x v="0"/>
    <s v="United States"/>
    <x v="195"/>
    <x v="36"/>
    <x v="1"/>
    <s v="FUR-CH-10003833"/>
    <s v="Furniture"/>
    <x v="1"/>
    <s v="Novimex Fabric Task Chair"/>
    <n v="195.136"/>
    <n v="4"/>
    <n v="0.2"/>
    <n v="-12.196"/>
    <x v="2"/>
    <x v="0"/>
  </r>
  <r>
    <s v="US-2015-123960"/>
    <x v="432"/>
    <d v="2015-06-16T00:00:00"/>
    <x v="1"/>
    <s v="BD-11605"/>
    <s v="Brian Dahlen"/>
    <x v="0"/>
    <s v="United States"/>
    <x v="91"/>
    <x v="35"/>
    <x v="0"/>
    <s v="FUR-FU-10004666"/>
    <s v="Furniture"/>
    <x v="3"/>
    <s v="DAX Clear Channel Poster Frame"/>
    <n v="29.16"/>
    <n v="2"/>
    <n v="0"/>
    <n v="10.789199999999999"/>
    <x v="2"/>
    <x v="2"/>
  </r>
  <r>
    <s v="CA-2017-101749"/>
    <x v="433"/>
    <d v="2017-10-08T00:00:00"/>
    <x v="1"/>
    <s v="AS-10045"/>
    <s v="Aaron Smayling"/>
    <x v="1"/>
    <s v="United States"/>
    <x v="102"/>
    <x v="2"/>
    <x v="1"/>
    <s v="FUR-TA-10001520"/>
    <s v="Furniture"/>
    <x v="2"/>
    <s v="Lesro Sheffield Collection Coffee Table, End Table, Center Table, Corner Table"/>
    <n v="171.28800000000001"/>
    <n v="3"/>
    <n v="0.2"/>
    <n v="-6.4233000000000002"/>
    <x v="2"/>
    <x v="1"/>
  </r>
  <r>
    <s v="US-2016-147991"/>
    <x v="399"/>
    <d v="2016-05-09T00:00:00"/>
    <x v="1"/>
    <s v="ZD-21925"/>
    <s v="Zuschuss Donatelli"/>
    <x v="0"/>
    <s v="United States"/>
    <x v="196"/>
    <x v="9"/>
    <x v="0"/>
    <s v="FUR-FU-10004270"/>
    <s v="Furniture"/>
    <x v="3"/>
    <s v="Eldon Image Series Desk Accessories, Burgundy"/>
    <n v="16.72"/>
    <n v="5"/>
    <n v="0.2"/>
    <n v="3.3439999999999999"/>
    <x v="4"/>
    <x v="7"/>
  </r>
  <r>
    <s v="CA-2017-149559"/>
    <x v="91"/>
    <d v="2017-09-12T00:00:00"/>
    <x v="3"/>
    <s v="KF-16285"/>
    <s v="Karen Ferguson"/>
    <x v="2"/>
    <s v="United States"/>
    <x v="62"/>
    <x v="2"/>
    <x v="1"/>
    <s v="FUR-CH-10002320"/>
    <s v="Furniture"/>
    <x v="1"/>
    <s v="Hon Pagoda Stacking Chairs"/>
    <n v="2054.2719999999999"/>
    <n v="8"/>
    <n v="0.2"/>
    <n v="256.78399999999999"/>
    <x v="5"/>
    <x v="4"/>
  </r>
  <r>
    <s v="CA-2017-121419"/>
    <x v="214"/>
    <d v="2017-04-04T00:00:00"/>
    <x v="2"/>
    <s v="TC-21475"/>
    <s v="Tony Chapman"/>
    <x v="2"/>
    <s v="United States"/>
    <x v="29"/>
    <x v="24"/>
    <x v="0"/>
    <s v="FUR-TA-10004534"/>
    <s v="Furniture"/>
    <x v="2"/>
    <s v="Bevis 44 x 96 Conference Tables"/>
    <n v="411.8"/>
    <n v="2"/>
    <n v="0"/>
    <n v="70.006"/>
    <x v="3"/>
    <x v="6"/>
  </r>
  <r>
    <s v="US-2017-148054"/>
    <x v="434"/>
    <d v="2017-10-11T00:00:00"/>
    <x v="1"/>
    <s v="NZ-18565"/>
    <s v="Nick Zandusky"/>
    <x v="2"/>
    <s v="United States"/>
    <x v="197"/>
    <x v="42"/>
    <x v="1"/>
    <s v="FUR-FU-10003247"/>
    <s v="Furniture"/>
    <x v="3"/>
    <s v="36X48 HARDFLOOR CHAIRMAT"/>
    <n v="41.96"/>
    <n v="2"/>
    <n v="0"/>
    <n v="2.9371999999999998"/>
    <x v="2"/>
    <x v="1"/>
  </r>
  <r>
    <s v="CA-2017-131492"/>
    <x v="66"/>
    <d v="2017-10-24T00:00:00"/>
    <x v="0"/>
    <s v="HH-15010"/>
    <s v="Hilary Holden"/>
    <x v="1"/>
    <s v="United States"/>
    <x v="28"/>
    <x v="2"/>
    <x v="1"/>
    <s v="FUR-FU-10003878"/>
    <s v="Furniture"/>
    <x v="3"/>
    <s v="Linden 10&quot; Round Wall Clock, Black"/>
    <n v="30.56"/>
    <n v="2"/>
    <n v="0"/>
    <n v="10.3904"/>
    <x v="2"/>
    <x v="1"/>
  </r>
  <r>
    <s v="CA-2017-131492"/>
    <x v="66"/>
    <d v="2017-10-24T00:00:00"/>
    <x v="0"/>
    <s v="HH-15010"/>
    <s v="Hilary Holden"/>
    <x v="1"/>
    <s v="United States"/>
    <x v="28"/>
    <x v="2"/>
    <x v="1"/>
    <s v="FUR-TA-10003837"/>
    <s v="Furniture"/>
    <x v="2"/>
    <s v="Anderson Hickey Conga Table Tops &amp; Accessories"/>
    <n v="24.367999999999999"/>
    <n v="2"/>
    <n v="0.2"/>
    <n v="-3.3506"/>
    <x v="2"/>
    <x v="1"/>
  </r>
  <r>
    <s v="CA-2014-119375"/>
    <x v="317"/>
    <d v="2014-11-22T00:00:00"/>
    <x v="1"/>
    <s v="YC-21895"/>
    <s v="Yoseph Carroll"/>
    <x v="1"/>
    <s v="United States"/>
    <x v="19"/>
    <x v="14"/>
    <x v="2"/>
    <s v="FUR-FU-10002379"/>
    <s v="Furniture"/>
    <x v="3"/>
    <s v="Eldon Econocleat Chair Mats for Low Pile Carpets"/>
    <n v="124.41"/>
    <n v="3"/>
    <n v="0"/>
    <n v="14.9292"/>
    <x v="2"/>
    <x v="0"/>
  </r>
  <r>
    <s v="CA-2015-126137"/>
    <x v="131"/>
    <d v="2015-10-08T00:00:00"/>
    <x v="1"/>
    <s v="BS-11755"/>
    <s v="Bruce Stewart"/>
    <x v="0"/>
    <s v="United States"/>
    <x v="2"/>
    <x v="2"/>
    <x v="1"/>
    <s v="FUR-BO-10004409"/>
    <s v="Furniture"/>
    <x v="0"/>
    <s v="Safco Value Mate Series Steel Bookcases, Baked Enamel Finish on Steel, Gray"/>
    <n v="120.666"/>
    <n v="2"/>
    <n v="0.15"/>
    <n v="18.454799999999999"/>
    <x v="2"/>
    <x v="1"/>
  </r>
  <r>
    <s v="CA-2014-143903"/>
    <x v="435"/>
    <d v="2014-07-24T00:00:00"/>
    <x v="1"/>
    <s v="KM-16375"/>
    <s v="Katherine Murray"/>
    <x v="2"/>
    <s v="United States"/>
    <x v="144"/>
    <x v="5"/>
    <x v="3"/>
    <s v="FUR-FU-10003724"/>
    <s v="Furniture"/>
    <x v="3"/>
    <s v="Westinghouse Clip-On Gooseneck Lamps"/>
    <n v="16.739999999999998"/>
    <n v="5"/>
    <n v="0.6"/>
    <n v="-14.228999999999999"/>
    <x v="4"/>
    <x v="3"/>
  </r>
  <r>
    <s v="CA-2014-143903"/>
    <x v="435"/>
    <d v="2014-07-24T00:00:00"/>
    <x v="1"/>
    <s v="KM-16375"/>
    <s v="Katherine Murray"/>
    <x v="2"/>
    <s v="United States"/>
    <x v="144"/>
    <x v="5"/>
    <x v="3"/>
    <s v="FUR-CH-10002024"/>
    <s v="Furniture"/>
    <x v="1"/>
    <s v="HON 5400 Series Task Chairs for Big and Tall"/>
    <n v="981.37199999999996"/>
    <n v="2"/>
    <n v="0.3"/>
    <n v="-140.196"/>
    <x v="4"/>
    <x v="3"/>
  </r>
  <r>
    <s v="CA-2017-118773"/>
    <x v="436"/>
    <d v="2017-02-14T00:00:00"/>
    <x v="1"/>
    <s v="TP-21415"/>
    <s v="Tom Prescott"/>
    <x v="0"/>
    <s v="United States"/>
    <x v="6"/>
    <x v="5"/>
    <x v="3"/>
    <s v="FUR-FU-10000550"/>
    <s v="Furniture"/>
    <x v="3"/>
    <s v="Stacking Trays by OIC"/>
    <n v="3.984"/>
    <n v="2"/>
    <n v="0.6"/>
    <n v="-2.6892"/>
    <x v="2"/>
    <x v="11"/>
  </r>
  <r>
    <s v="US-2017-159205"/>
    <x v="76"/>
    <d v="2017-04-02T00:00:00"/>
    <x v="0"/>
    <s v="DB-12910"/>
    <s v="Daniel Byrd"/>
    <x v="2"/>
    <s v="United States"/>
    <x v="0"/>
    <x v="0"/>
    <x v="0"/>
    <s v="FUR-FU-10001591"/>
    <s v="Furniture"/>
    <x v="3"/>
    <s v="Advantus Panel Wall Certificate Holder - 8.5x11"/>
    <n v="61"/>
    <n v="5"/>
    <n v="0"/>
    <n v="25.62"/>
    <x v="3"/>
    <x v="9"/>
  </r>
  <r>
    <s v="CA-2017-135692"/>
    <x v="437"/>
    <d v="2017-05-01T00:00:00"/>
    <x v="1"/>
    <s v="CV-12805"/>
    <s v="Cynthia Voltz"/>
    <x v="1"/>
    <s v="United States"/>
    <x v="50"/>
    <x v="5"/>
    <x v="3"/>
    <s v="FUR-BO-10002268"/>
    <s v="Furniture"/>
    <x v="0"/>
    <s v="Sauder Barrister Bookcases"/>
    <n v="220.26560000000001"/>
    <n v="4"/>
    <n v="0.32"/>
    <n v="-42.1096"/>
    <x v="4"/>
    <x v="6"/>
  </r>
  <r>
    <s v="CA-2017-131233"/>
    <x v="438"/>
    <d v="2017-04-19T00:00:00"/>
    <x v="1"/>
    <s v="CS-12355"/>
    <s v="Christine Sundaresam"/>
    <x v="0"/>
    <s v="United States"/>
    <x v="13"/>
    <x v="7"/>
    <x v="2"/>
    <s v="FUR-BO-10003441"/>
    <s v="Furniture"/>
    <x v="0"/>
    <s v="Bush Westfield Collection Bookcases, Fully Assembled"/>
    <n v="242.352"/>
    <n v="3"/>
    <n v="0.2"/>
    <n v="9.0882000000000005"/>
    <x v="2"/>
    <x v="6"/>
  </r>
  <r>
    <s v="CA-2017-119578"/>
    <x v="313"/>
    <d v="2017-12-27T00:00:00"/>
    <x v="0"/>
    <s v="JG-15310"/>
    <s v="Jason Gross"/>
    <x v="1"/>
    <s v="United States"/>
    <x v="134"/>
    <x v="38"/>
    <x v="2"/>
    <s v="FUR-BO-10003660"/>
    <s v="Furniture"/>
    <x v="0"/>
    <s v="Bush Cubix Collection Bookcases, Fully Assembled"/>
    <n v="220.98"/>
    <n v="1"/>
    <n v="0"/>
    <n v="50.825400000000002"/>
    <x v="2"/>
    <x v="5"/>
  </r>
  <r>
    <s v="CA-2016-150350"/>
    <x v="427"/>
    <d v="2016-08-30T00:00:00"/>
    <x v="1"/>
    <s v="MS-17770"/>
    <s v="Maxwell Schwartz"/>
    <x v="0"/>
    <s v="United States"/>
    <x v="15"/>
    <x v="13"/>
    <x v="1"/>
    <s v="FUR-CH-10001973"/>
    <s v="Furniture"/>
    <x v="1"/>
    <s v="Office Star Flex Back Scooter Chair with White Frame"/>
    <n v="532.70399999999995"/>
    <n v="6"/>
    <n v="0.2"/>
    <n v="-39.952800000000003"/>
    <x v="1"/>
    <x v="10"/>
  </r>
  <r>
    <s v="CA-2015-121720"/>
    <x v="432"/>
    <d v="2015-06-12T00:00:00"/>
    <x v="2"/>
    <s v="JE-15610"/>
    <s v="Jim Epp"/>
    <x v="1"/>
    <s v="United States"/>
    <x v="49"/>
    <x v="1"/>
    <x v="0"/>
    <s v="FUR-CH-10003312"/>
    <s v="Furniture"/>
    <x v="1"/>
    <s v="Hon 2090 ÒPillow SoftÓ Series Mid Back Swivel/Tilt Chairs"/>
    <n v="1123.92"/>
    <n v="5"/>
    <n v="0.2"/>
    <n v="-182.637"/>
    <x v="5"/>
    <x v="2"/>
  </r>
  <r>
    <s v="CA-2015-121720"/>
    <x v="432"/>
    <d v="2015-06-12T00:00:00"/>
    <x v="2"/>
    <s v="JE-15610"/>
    <s v="Jim Epp"/>
    <x v="1"/>
    <s v="United States"/>
    <x v="49"/>
    <x v="1"/>
    <x v="0"/>
    <s v="FUR-FU-10003464"/>
    <s v="Furniture"/>
    <x v="3"/>
    <s v="Seth Thomas 8 1/2&quot; Cubicle Clock"/>
    <n v="48.671999999999997"/>
    <n v="3"/>
    <n v="0.2"/>
    <n v="7.3007999999999997"/>
    <x v="5"/>
    <x v="2"/>
  </r>
  <r>
    <s v="CA-2014-136399"/>
    <x v="439"/>
    <d v="2014-12-17T00:00:00"/>
    <x v="2"/>
    <s v="CC-12100"/>
    <s v="Chad Cunningham"/>
    <x v="2"/>
    <s v="United States"/>
    <x v="2"/>
    <x v="2"/>
    <x v="1"/>
    <s v="FUR-FU-10004090"/>
    <s v="Furniture"/>
    <x v="3"/>
    <s v="Executive Impressions 14&quot; Contract Wall Clock"/>
    <n v="44.46"/>
    <n v="2"/>
    <n v="0"/>
    <n v="14.671799999999999"/>
    <x v="5"/>
    <x v="5"/>
  </r>
  <r>
    <s v="CA-2014-136399"/>
    <x v="439"/>
    <d v="2014-12-17T00:00:00"/>
    <x v="2"/>
    <s v="CC-12100"/>
    <s v="Chad Cunningham"/>
    <x v="2"/>
    <s v="United States"/>
    <x v="2"/>
    <x v="2"/>
    <x v="1"/>
    <s v="FUR-CH-10002602"/>
    <s v="Furniture"/>
    <x v="1"/>
    <s v="DMI Arturo Collection Mission-style Design Wood Chair"/>
    <n v="241.56800000000001"/>
    <n v="2"/>
    <n v="0.2"/>
    <n v="18.117599999999999"/>
    <x v="5"/>
    <x v="5"/>
  </r>
  <r>
    <s v="CA-2014-107916"/>
    <x v="440"/>
    <d v="2014-08-26T00:00:00"/>
    <x v="2"/>
    <s v="JP-15460"/>
    <s v="Jennifer Patt"/>
    <x v="1"/>
    <s v="United States"/>
    <x v="64"/>
    <x v="7"/>
    <x v="2"/>
    <s v="FUR-FU-10004586"/>
    <s v="Furniture"/>
    <x v="3"/>
    <s v="G.E. Longer-Life Indoor Recessed Floodlight Bulbs"/>
    <n v="13.28"/>
    <n v="2"/>
    <n v="0"/>
    <n v="6.3743999999999996"/>
    <x v="3"/>
    <x v="10"/>
  </r>
  <r>
    <s v="CA-2017-164168"/>
    <x v="418"/>
    <d v="2017-11-18T00:00:00"/>
    <x v="1"/>
    <s v="LS-16975"/>
    <s v="Lindsay Shagiari"/>
    <x v="2"/>
    <s v="United States"/>
    <x v="144"/>
    <x v="5"/>
    <x v="3"/>
    <s v="FUR-FU-10001756"/>
    <s v="Furniture"/>
    <x v="3"/>
    <s v="Eldon Expressions Desk Accessory, Wood Photo Frame, Mahogany"/>
    <n v="22.847999999999999"/>
    <n v="3"/>
    <n v="0.6"/>
    <n v="-17.7072"/>
    <x v="6"/>
    <x v="0"/>
  </r>
  <r>
    <s v="US-2016-148110"/>
    <x v="26"/>
    <d v="2016-09-11T00:00:00"/>
    <x v="1"/>
    <s v="AR-10825"/>
    <s v="Anthony Rawles"/>
    <x v="1"/>
    <s v="United States"/>
    <x v="198"/>
    <x v="5"/>
    <x v="3"/>
    <s v="FUR-CH-10002647"/>
    <s v="Furniture"/>
    <x v="1"/>
    <s v="Situations Contoured Folding Chairs, 4/Set"/>
    <n v="347.80200000000002"/>
    <n v="7"/>
    <n v="0.3"/>
    <n v="-24.843"/>
    <x v="6"/>
    <x v="4"/>
  </r>
  <r>
    <s v="CA-2017-131828"/>
    <x v="441"/>
    <d v="2017-02-13T00:00:00"/>
    <x v="0"/>
    <s v="CS-11845"/>
    <s v="Cari Sayre"/>
    <x v="1"/>
    <s v="United States"/>
    <x v="15"/>
    <x v="13"/>
    <x v="1"/>
    <s v="FUR-CH-10004495"/>
    <s v="Furniture"/>
    <x v="1"/>
    <s v="Global Leather and Oak Executive Chair, Black"/>
    <n v="963.13599999999997"/>
    <n v="4"/>
    <n v="0.2"/>
    <n v="108.3528"/>
    <x v="3"/>
    <x v="11"/>
  </r>
  <r>
    <s v="CA-2015-147830"/>
    <x v="442"/>
    <d v="2015-12-18T00:00:00"/>
    <x v="2"/>
    <s v="NF-18385"/>
    <s v="Natalie Fritzler"/>
    <x v="0"/>
    <s v="United States"/>
    <x v="19"/>
    <x v="15"/>
    <x v="2"/>
    <s v="FUR-FU-10004091"/>
    <s v="Furniture"/>
    <x v="3"/>
    <s v="Howard Miller 13&quot; Diameter Goldtone Round Wall Clock"/>
    <n v="262.86399999999998"/>
    <n v="7"/>
    <n v="0.2"/>
    <n v="69.001800000000003"/>
    <x v="0"/>
    <x v="5"/>
  </r>
  <r>
    <s v="CA-2015-139584"/>
    <x v="108"/>
    <d v="2015-08-28T00:00:00"/>
    <x v="1"/>
    <s v="EM-13810"/>
    <s v="Eleni McCrary"/>
    <x v="1"/>
    <s v="United States"/>
    <x v="13"/>
    <x v="7"/>
    <x v="2"/>
    <s v="FUR-TA-10001539"/>
    <s v="Furniture"/>
    <x v="2"/>
    <s v="Chromcraft Rectangular Conference Tables"/>
    <n v="284.36399999999998"/>
    <n v="2"/>
    <n v="0.4"/>
    <n v="-75.830399999999997"/>
    <x v="4"/>
    <x v="10"/>
  </r>
  <r>
    <s v="CA-2016-146682"/>
    <x v="443"/>
    <d v="2016-10-31T00:00:00"/>
    <x v="2"/>
    <s v="KW-16435"/>
    <s v="Katrina Willman"/>
    <x v="0"/>
    <s v="United States"/>
    <x v="140"/>
    <x v="17"/>
    <x v="3"/>
    <s v="FUR-FU-10002671"/>
    <s v="Furniture"/>
    <x v="3"/>
    <s v="Electrix 20W Halogen Replacement Bulb for Zoom-In Desk Lamp"/>
    <n v="67"/>
    <n v="5"/>
    <n v="0"/>
    <n v="32.159999999999997"/>
    <x v="3"/>
    <x v="1"/>
  </r>
  <r>
    <s v="CA-2016-138695"/>
    <x v="444"/>
    <d v="2016-06-03T00:00:00"/>
    <x v="1"/>
    <s v="KC-16675"/>
    <s v="Kimberly Carter"/>
    <x v="1"/>
    <s v="United States"/>
    <x v="199"/>
    <x v="1"/>
    <x v="0"/>
    <s v="FUR-CH-10003833"/>
    <s v="Furniture"/>
    <x v="1"/>
    <s v="Novimex Fabric Task Chair"/>
    <n v="390.27199999999999"/>
    <n v="8"/>
    <n v="0.2"/>
    <n v="-24.391999999999999"/>
    <x v="6"/>
    <x v="7"/>
  </r>
  <r>
    <s v="US-2016-133879"/>
    <x v="445"/>
    <d v="2016-03-28T00:00:00"/>
    <x v="1"/>
    <s v="KT-16465"/>
    <s v="Kean Takahito"/>
    <x v="0"/>
    <s v="United States"/>
    <x v="9"/>
    <x v="8"/>
    <x v="3"/>
    <s v="FUR-CH-10000665"/>
    <s v="Furniture"/>
    <x v="1"/>
    <s v="Global Airflow Leather Mesh Back Chair, Black"/>
    <n v="528.42999999999995"/>
    <n v="5"/>
    <n v="0.3"/>
    <n v="0"/>
    <x v="1"/>
    <x v="9"/>
  </r>
  <r>
    <s v="US-2017-132059"/>
    <x v="204"/>
    <d v="2017-09-29T00:00:00"/>
    <x v="1"/>
    <s v="AP-10915"/>
    <s v="Arthur Prichep"/>
    <x v="0"/>
    <s v="United States"/>
    <x v="200"/>
    <x v="12"/>
    <x v="1"/>
    <s v="FUR-BO-10001811"/>
    <s v="Furniture"/>
    <x v="0"/>
    <s v="Atlantic Metals Mobile 5-Shelf Bookcases, Custom Colors"/>
    <n v="180.58799999999999"/>
    <n v="2"/>
    <n v="0.7"/>
    <n v="-240.78399999999999"/>
    <x v="6"/>
    <x v="4"/>
  </r>
  <r>
    <s v="CA-2017-105235"/>
    <x v="446"/>
    <d v="2017-12-11T00:00:00"/>
    <x v="1"/>
    <s v="SM-20950"/>
    <s v="Suzanne McNair"/>
    <x v="1"/>
    <s v="United States"/>
    <x v="13"/>
    <x v="7"/>
    <x v="2"/>
    <s v="FUR-FU-10001487"/>
    <s v="Furniture"/>
    <x v="3"/>
    <s v="Eldon Expressions Wood and Plastic Desk Accessories, Cherry Wood"/>
    <n v="20.94"/>
    <n v="3"/>
    <n v="0"/>
    <n v="6.0726000000000004"/>
    <x v="6"/>
    <x v="5"/>
  </r>
  <r>
    <s v="CA-2017-105235"/>
    <x v="446"/>
    <d v="2017-12-11T00:00:00"/>
    <x v="1"/>
    <s v="SM-20950"/>
    <s v="Suzanne McNair"/>
    <x v="1"/>
    <s v="United States"/>
    <x v="13"/>
    <x v="7"/>
    <x v="2"/>
    <s v="FUR-FU-10000521"/>
    <s v="Furniture"/>
    <x v="3"/>
    <s v="Seth Thomas 14&quot; Putty-Colored Wall Clock"/>
    <n v="58.68"/>
    <n v="2"/>
    <n v="0"/>
    <n v="18.190799999999999"/>
    <x v="6"/>
    <x v="5"/>
  </r>
  <r>
    <s v="CA-2014-164224"/>
    <x v="447"/>
    <d v="2014-05-20T00:00:00"/>
    <x v="0"/>
    <s v="TT-21070"/>
    <s v="Ted Trevino"/>
    <x v="0"/>
    <s v="United States"/>
    <x v="40"/>
    <x v="15"/>
    <x v="2"/>
    <s v="FUR-FU-10000308"/>
    <s v="Furniture"/>
    <x v="3"/>
    <s v="Deflect-o Glass Clear Studded Chair Mats"/>
    <n v="149.232"/>
    <n v="3"/>
    <n v="0.2"/>
    <n v="3.7307999999999999"/>
    <x v="3"/>
    <x v="7"/>
  </r>
  <r>
    <s v="CA-2014-158372"/>
    <x v="448"/>
    <d v="2014-11-16T00:00:00"/>
    <x v="1"/>
    <s v="RD-19900"/>
    <s v="Ruben Dartt"/>
    <x v="0"/>
    <s v="United States"/>
    <x v="53"/>
    <x v="2"/>
    <x v="1"/>
    <s v="FUR-FU-10000397"/>
    <s v="Furniture"/>
    <x v="3"/>
    <s v="Luxo Economy Swing Arm Lamp"/>
    <n v="39.880000000000003"/>
    <n v="2"/>
    <n v="0"/>
    <n v="11.166399999999999"/>
    <x v="6"/>
    <x v="0"/>
  </r>
  <r>
    <s v="CA-2014-158372"/>
    <x v="448"/>
    <d v="2014-11-16T00:00:00"/>
    <x v="1"/>
    <s v="RD-19900"/>
    <s v="Ruben Dartt"/>
    <x v="0"/>
    <s v="United States"/>
    <x v="53"/>
    <x v="2"/>
    <x v="1"/>
    <s v="FUR-FU-10001867"/>
    <s v="Furniture"/>
    <x v="3"/>
    <s v="Eldon Expressions Punched Metal &amp; Wood Desk Accessories, Pewter &amp; Cherry"/>
    <n v="53.2"/>
    <n v="5"/>
    <n v="0"/>
    <n v="14.896000000000001"/>
    <x v="6"/>
    <x v="0"/>
  </r>
  <r>
    <s v="CA-2017-131625"/>
    <x v="449"/>
    <d v="2017-09-05T00:00:00"/>
    <x v="0"/>
    <s v="BN-11515"/>
    <s v="Bradley Nguyen"/>
    <x v="0"/>
    <s v="United States"/>
    <x v="13"/>
    <x v="7"/>
    <x v="2"/>
    <s v="FUR-FU-10004960"/>
    <s v="Furniture"/>
    <x v="3"/>
    <s v="Seth Thomas 12&quot; Clock w/ Goldtone Case"/>
    <n v="114.9"/>
    <n v="5"/>
    <n v="0"/>
    <n v="39.066000000000003"/>
    <x v="4"/>
    <x v="4"/>
  </r>
  <r>
    <s v="CA-2016-140746"/>
    <x v="450"/>
    <d v="2016-01-15T00:00:00"/>
    <x v="3"/>
    <s v="RC-19825"/>
    <s v="Roy Collins"/>
    <x v="0"/>
    <s v="United States"/>
    <x v="130"/>
    <x v="19"/>
    <x v="2"/>
    <s v="FUR-TA-10002903"/>
    <s v="Furniture"/>
    <x v="2"/>
    <s v="Bevis Round Bullnose 29&quot; High Table Top"/>
    <n v="181.797"/>
    <n v="1"/>
    <n v="0.3"/>
    <n v="-15.582599999999999"/>
    <x v="7"/>
    <x v="8"/>
  </r>
  <r>
    <s v="US-2016-127971"/>
    <x v="47"/>
    <d v="2016-11-27T00:00:00"/>
    <x v="1"/>
    <s v="DW-13195"/>
    <s v="David Wiener"/>
    <x v="1"/>
    <s v="United States"/>
    <x v="6"/>
    <x v="5"/>
    <x v="3"/>
    <s v="FUR-CH-10003774"/>
    <s v="Furniture"/>
    <x v="1"/>
    <s v="Global Wood Trimmed Manager's Task Chair, Khaki"/>
    <n v="318.43"/>
    <n v="5"/>
    <n v="0.3"/>
    <n v="-77.332999999999998"/>
    <x v="1"/>
    <x v="0"/>
  </r>
  <r>
    <s v="US-2016-127971"/>
    <x v="47"/>
    <d v="2016-11-27T00:00:00"/>
    <x v="1"/>
    <s v="DW-13195"/>
    <s v="David Wiener"/>
    <x v="1"/>
    <s v="United States"/>
    <x v="6"/>
    <x v="5"/>
    <x v="3"/>
    <s v="FUR-FU-10000023"/>
    <s v="Furniture"/>
    <x v="3"/>
    <s v="Eldon Wave Desk Accessories"/>
    <n v="7.0679999999999996"/>
    <n v="3"/>
    <n v="0.6"/>
    <n v="-2.8271999999999999"/>
    <x v="1"/>
    <x v="0"/>
  </r>
  <r>
    <s v="CA-2017-113355"/>
    <x v="451"/>
    <d v="2017-12-05T00:00:00"/>
    <x v="1"/>
    <s v="SJ-20215"/>
    <s v="Sarah Jordon"/>
    <x v="0"/>
    <s v="United States"/>
    <x v="141"/>
    <x v="5"/>
    <x v="3"/>
    <s v="FUR-CH-10002602"/>
    <s v="Furniture"/>
    <x v="1"/>
    <s v="DMI Arturo Collection Mission-style Design Wood Chair"/>
    <n v="317.05799999999999"/>
    <n v="3"/>
    <n v="0.3"/>
    <n v="-18.117599999999999"/>
    <x v="4"/>
    <x v="5"/>
  </r>
  <r>
    <s v="CA-2016-159730"/>
    <x v="334"/>
    <d v="2016-09-21T00:00:00"/>
    <x v="1"/>
    <s v="SJ-20125"/>
    <s v="Sanjit Jacobs"/>
    <x v="2"/>
    <s v="United States"/>
    <x v="15"/>
    <x v="13"/>
    <x v="1"/>
    <s v="FUR-CH-10004875"/>
    <s v="Furniture"/>
    <x v="1"/>
    <s v="Harbour Creations 67200 Series Stacking Chairs"/>
    <n v="113.88800000000001"/>
    <n v="2"/>
    <n v="0.2"/>
    <n v="9.9651999999999994"/>
    <x v="4"/>
    <x v="4"/>
  </r>
  <r>
    <s v="CA-2017-119389"/>
    <x v="452"/>
    <d v="2017-04-19T00:00:00"/>
    <x v="2"/>
    <s v="BG-11740"/>
    <s v="Bruce Geld"/>
    <x v="0"/>
    <s v="United States"/>
    <x v="3"/>
    <x v="3"/>
    <x v="2"/>
    <s v="FUR-FU-10001473"/>
    <s v="Furniture"/>
    <x v="3"/>
    <s v="Eldon Executive Woodline II Desk Accessories, Mahogany"/>
    <n v="60.311999999999998"/>
    <n v="3"/>
    <n v="0.2"/>
    <n v="5.2773000000000003"/>
    <x v="3"/>
    <x v="6"/>
  </r>
  <r>
    <s v="US-2016-161844"/>
    <x v="453"/>
    <d v="2016-12-14T00:00:00"/>
    <x v="0"/>
    <s v="DK-12835"/>
    <s v="Damala Kotsonis"/>
    <x v="1"/>
    <s v="United States"/>
    <x v="20"/>
    <x v="9"/>
    <x v="0"/>
    <s v="FUR-TA-10001676"/>
    <s v="Furniture"/>
    <x v="2"/>
    <s v="Hon 61000 Series Interactive Training Tables"/>
    <n v="79.974000000000004"/>
    <n v="3"/>
    <n v="0.4"/>
    <n v="-29.323799999999999"/>
    <x v="2"/>
    <x v="5"/>
  </r>
  <r>
    <s v="CA-2015-146038"/>
    <x v="289"/>
    <d v="2015-02-16T00:00:00"/>
    <x v="1"/>
    <s v="SJ-20215"/>
    <s v="Sarah Jordon"/>
    <x v="0"/>
    <s v="United States"/>
    <x v="2"/>
    <x v="2"/>
    <x v="1"/>
    <s v="FUR-CH-10002774"/>
    <s v="Furniture"/>
    <x v="1"/>
    <s v="Global Deluxe Stacking Chair, Gray"/>
    <n v="203.92"/>
    <n v="5"/>
    <n v="0.2"/>
    <n v="22.940999999999999"/>
    <x v="1"/>
    <x v="11"/>
  </r>
  <r>
    <s v="CA-2014-159478"/>
    <x v="454"/>
    <d v="2014-10-06T00:00:00"/>
    <x v="1"/>
    <s v="MH-17785"/>
    <s v="Maya Herman"/>
    <x v="1"/>
    <s v="United States"/>
    <x v="13"/>
    <x v="7"/>
    <x v="2"/>
    <s v="FUR-FU-10000221"/>
    <s v="Furniture"/>
    <x v="3"/>
    <s v="Master Caster Door Stop, Brown"/>
    <n v="15.24"/>
    <n v="3"/>
    <n v="0"/>
    <n v="5.1816000000000004"/>
    <x v="6"/>
    <x v="4"/>
  </r>
  <r>
    <s v="CA-2014-106264"/>
    <x v="22"/>
    <d v="2014-12-30T00:00:00"/>
    <x v="1"/>
    <s v="CK-12595"/>
    <s v="Clytie Kelty"/>
    <x v="0"/>
    <s v="United States"/>
    <x v="53"/>
    <x v="2"/>
    <x v="1"/>
    <s v="FUR-FU-10001852"/>
    <s v="Furniture"/>
    <x v="3"/>
    <s v="Eldon Regeneration Recycled Desk Accessories, Smoke"/>
    <n v="3.48"/>
    <n v="2"/>
    <n v="0"/>
    <n v="1.1135999999999999"/>
    <x v="4"/>
    <x v="5"/>
  </r>
  <r>
    <s v="US-2014-159926"/>
    <x v="356"/>
    <d v="2014-11-22T00:00:00"/>
    <x v="1"/>
    <s v="CS-11950"/>
    <s v="Carlos Soltero"/>
    <x v="0"/>
    <s v="United States"/>
    <x v="3"/>
    <x v="3"/>
    <x v="2"/>
    <s v="FUR-FU-10001473"/>
    <s v="Furniture"/>
    <x v="3"/>
    <s v="Eldon Executive Woodline II Desk Accessories, Mahogany"/>
    <n v="60.311999999999998"/>
    <n v="3"/>
    <n v="0.2"/>
    <n v="5.2773000000000003"/>
    <x v="4"/>
    <x v="0"/>
  </r>
  <r>
    <s v="CA-2016-162747"/>
    <x v="174"/>
    <d v="2016-03-25T00:00:00"/>
    <x v="0"/>
    <s v="AH-10030"/>
    <s v="Aaron Hawkins"/>
    <x v="1"/>
    <s v="United States"/>
    <x v="201"/>
    <x v="21"/>
    <x v="0"/>
    <s v="FUR-FU-10003691"/>
    <s v="Furniture"/>
    <x v="3"/>
    <s v="Eldon Image Series Desk Accessories, Ebony"/>
    <n v="86.45"/>
    <n v="7"/>
    <n v="0"/>
    <n v="38.037999999999997"/>
    <x v="2"/>
    <x v="9"/>
  </r>
  <r>
    <s v="US-2014-133130"/>
    <x v="52"/>
    <d v="2014-10-01T00:00:00"/>
    <x v="1"/>
    <s v="TH-21100"/>
    <s v="Thea Hendricks"/>
    <x v="0"/>
    <s v="United States"/>
    <x v="53"/>
    <x v="2"/>
    <x v="1"/>
    <s v="FUR-CH-10002602"/>
    <s v="Furniture"/>
    <x v="1"/>
    <s v="DMI Arturo Collection Mission-style Design Wood Chair"/>
    <n v="603.91999999999996"/>
    <n v="5"/>
    <n v="0.2"/>
    <n v="45.293999999999997"/>
    <x v="4"/>
    <x v="4"/>
  </r>
  <r>
    <s v="CA-2017-169978"/>
    <x v="455"/>
    <d v="2017-12-28T00:00:00"/>
    <x v="1"/>
    <s v="HG-15025"/>
    <s v="Hunter Glantz"/>
    <x v="0"/>
    <s v="United States"/>
    <x v="64"/>
    <x v="7"/>
    <x v="2"/>
    <s v="FUR-CH-10002602"/>
    <s v="Furniture"/>
    <x v="1"/>
    <s v="DMI Arturo Collection Mission-style Design Wood Chair"/>
    <n v="271.76400000000001"/>
    <n v="2"/>
    <n v="0.1"/>
    <n v="48.313600000000001"/>
    <x v="4"/>
    <x v="5"/>
  </r>
  <r>
    <s v="CA-2017-161739"/>
    <x v="219"/>
    <d v="2017-11-15T00:00:00"/>
    <x v="0"/>
    <s v="EB-13750"/>
    <s v="Edward Becker"/>
    <x v="1"/>
    <s v="United States"/>
    <x v="82"/>
    <x v="5"/>
    <x v="3"/>
    <s v="FUR-FU-10001468"/>
    <s v="Furniture"/>
    <x v="3"/>
    <s v="Tenex Antistatic Computer Chair Mats"/>
    <n v="341.96"/>
    <n v="5"/>
    <n v="0.6"/>
    <n v="-427.45"/>
    <x v="2"/>
    <x v="0"/>
  </r>
  <r>
    <s v="CA-2014-134551"/>
    <x v="191"/>
    <d v="2014-12-25T00:00:00"/>
    <x v="1"/>
    <s v="TS-21505"/>
    <s v="Tony Sayre"/>
    <x v="0"/>
    <s v="United States"/>
    <x v="11"/>
    <x v="9"/>
    <x v="0"/>
    <s v="FUR-CH-10004287"/>
    <s v="Furniture"/>
    <x v="1"/>
    <s v="SAFCO Arco Folding Chair"/>
    <n v="662.88"/>
    <n v="3"/>
    <n v="0.2"/>
    <n v="74.573999999999998"/>
    <x v="2"/>
    <x v="5"/>
  </r>
  <r>
    <s v="CA-2015-120810"/>
    <x v="456"/>
    <d v="2015-07-27T00:00:00"/>
    <x v="1"/>
    <s v="TH-21550"/>
    <s v="Tracy Hopkins"/>
    <x v="2"/>
    <s v="United States"/>
    <x v="13"/>
    <x v="7"/>
    <x v="2"/>
    <s v="FUR-FU-10002253"/>
    <s v="Furniture"/>
    <x v="3"/>
    <s v="Howard Miller 13&quot; Diameter Pewter Finish Round Wall Clock"/>
    <n v="128.82"/>
    <n v="3"/>
    <n v="0"/>
    <n v="50.239800000000002"/>
    <x v="4"/>
    <x v="3"/>
  </r>
  <r>
    <s v="CA-2017-122595"/>
    <x v="417"/>
    <d v="2017-12-20T00:00:00"/>
    <x v="1"/>
    <s v="GM-14455"/>
    <s v="Gary Mitchum"/>
    <x v="2"/>
    <s v="United States"/>
    <x v="9"/>
    <x v="8"/>
    <x v="3"/>
    <s v="FUR-FU-10002963"/>
    <s v="Furniture"/>
    <x v="3"/>
    <s v="Master Caster Door Stop, Gray"/>
    <n v="2.032"/>
    <n v="1"/>
    <n v="0.6"/>
    <n v="-1.3208"/>
    <x v="6"/>
    <x v="5"/>
  </r>
  <r>
    <s v="US-2017-109253"/>
    <x v="67"/>
    <d v="2017-08-22T00:00:00"/>
    <x v="2"/>
    <s v="PR-18880"/>
    <s v="Patrick Ryan"/>
    <x v="0"/>
    <s v="United States"/>
    <x v="121"/>
    <x v="2"/>
    <x v="1"/>
    <s v="FUR-FU-10000193"/>
    <s v="Furniture"/>
    <x v="3"/>
    <s v="Tenex Chairmats For Use with Hard Floors"/>
    <n v="129.91999999999999"/>
    <n v="4"/>
    <n v="0"/>
    <n v="10.393599999999999"/>
    <x v="5"/>
    <x v="10"/>
  </r>
  <r>
    <s v="US-2017-109253"/>
    <x v="67"/>
    <d v="2017-08-22T00:00:00"/>
    <x v="2"/>
    <s v="PR-18880"/>
    <s v="Patrick Ryan"/>
    <x v="0"/>
    <s v="United States"/>
    <x v="121"/>
    <x v="2"/>
    <x v="1"/>
    <s v="FUR-TA-10001539"/>
    <s v="Furniture"/>
    <x v="2"/>
    <s v="Chromcraft Rectangular Conference Tables"/>
    <n v="568.72799999999995"/>
    <n v="3"/>
    <n v="0.2"/>
    <n v="28.436399999999999"/>
    <x v="5"/>
    <x v="10"/>
  </r>
  <r>
    <s v="CA-2016-145982"/>
    <x v="457"/>
    <d v="2016-09-01T00:00:00"/>
    <x v="0"/>
    <s v="TB-21055"/>
    <s v="Ted Butterfield"/>
    <x v="0"/>
    <s v="United States"/>
    <x v="202"/>
    <x v="20"/>
    <x v="2"/>
    <s v="FUR-TA-10001307"/>
    <s v="Furniture"/>
    <x v="2"/>
    <s v="SAFCO PlanMaster Heigh-Adjustable Drafting Table Base, 43w x 30d x 30-37h, Black"/>
    <n v="244.61500000000001"/>
    <n v="1"/>
    <n v="0.3"/>
    <n v="20.966999999999999"/>
    <x v="2"/>
    <x v="10"/>
  </r>
  <r>
    <s v="US-2014-134733"/>
    <x v="458"/>
    <d v="2014-09-28T00:00:00"/>
    <x v="1"/>
    <s v="BM-11650"/>
    <s v="Brian Moss"/>
    <x v="1"/>
    <s v="United States"/>
    <x v="53"/>
    <x v="2"/>
    <x v="1"/>
    <s v="FUR-BO-10002916"/>
    <s v="Furniture"/>
    <x v="0"/>
    <s v="Rush Hierlooms Collection 1&quot; Thick Stackable Bookcases"/>
    <n v="435.99900000000002"/>
    <n v="3"/>
    <n v="0.15"/>
    <n v="20.517600000000002"/>
    <x v="2"/>
    <x v="4"/>
  </r>
  <r>
    <s v="US-2014-150434"/>
    <x v="459"/>
    <d v="2014-07-24T00:00:00"/>
    <x v="1"/>
    <s v="CA-12310"/>
    <s v="Christine Abelman"/>
    <x v="1"/>
    <s v="United States"/>
    <x v="203"/>
    <x v="19"/>
    <x v="2"/>
    <s v="FUR-TA-10004152"/>
    <s v="Furniture"/>
    <x v="2"/>
    <s v="Barricks 18&quot; x 48&quot; Non-Folding Utility Table with Bottom Storage Shelf"/>
    <n v="70.56"/>
    <n v="1"/>
    <n v="0.3"/>
    <n v="-4.032"/>
    <x v="2"/>
    <x v="3"/>
  </r>
  <r>
    <s v="US-2015-142020"/>
    <x v="460"/>
    <d v="2015-06-08T00:00:00"/>
    <x v="0"/>
    <s v="TC-21535"/>
    <s v="Tracy Collins"/>
    <x v="2"/>
    <s v="United States"/>
    <x v="13"/>
    <x v="7"/>
    <x v="2"/>
    <s v="FUR-FU-10000672"/>
    <s v="Furniture"/>
    <x v="3"/>
    <s v="Executive Impressions 10&quot; Spectator Wall Clock"/>
    <n v="35.28"/>
    <n v="3"/>
    <n v="0"/>
    <n v="11.995200000000001"/>
    <x v="4"/>
    <x v="2"/>
  </r>
  <r>
    <s v="CA-2016-130050"/>
    <x v="461"/>
    <d v="2016-07-18T00:00:00"/>
    <x v="0"/>
    <s v="MC-17425"/>
    <s v="Mark Cousins"/>
    <x v="1"/>
    <s v="United States"/>
    <x v="6"/>
    <x v="5"/>
    <x v="3"/>
    <s v="FUR-FU-10001940"/>
    <s v="Furniture"/>
    <x v="3"/>
    <s v="Staple-based wall hangings"/>
    <n v="9.5519999999999996"/>
    <n v="3"/>
    <n v="0.6"/>
    <n v="-3.8208000000000002"/>
    <x v="3"/>
    <x v="3"/>
  </r>
  <r>
    <s v="CA-2014-115161"/>
    <x v="462"/>
    <d v="2014-02-02T00:00:00"/>
    <x v="2"/>
    <s v="LC-17050"/>
    <s v="Liz Carlisle"/>
    <x v="0"/>
    <s v="United States"/>
    <x v="204"/>
    <x v="2"/>
    <x v="1"/>
    <s v="FUR-BO-10003966"/>
    <s v="Furniture"/>
    <x v="0"/>
    <s v="Sauder Facets Collection Library, Sky Alder Finish"/>
    <n v="290.666"/>
    <n v="2"/>
    <n v="0.15"/>
    <n v="3.4196"/>
    <x v="3"/>
    <x v="8"/>
  </r>
  <r>
    <s v="CA-2015-115511"/>
    <x v="32"/>
    <d v="2015-11-25T00:00:00"/>
    <x v="1"/>
    <s v="NW-18400"/>
    <s v="Natalie Webber"/>
    <x v="0"/>
    <s v="United States"/>
    <x v="205"/>
    <x v="34"/>
    <x v="1"/>
    <s v="FUR-BO-10002598"/>
    <s v="Furniture"/>
    <x v="0"/>
    <s v="Hon Metal Bookcases, Putty"/>
    <n v="141.96"/>
    <n v="2"/>
    <n v="0"/>
    <n v="41.168399999999998"/>
    <x v="4"/>
    <x v="0"/>
  </r>
  <r>
    <s v="CA-2015-161718"/>
    <x v="463"/>
    <d v="2015-12-10T00:00:00"/>
    <x v="1"/>
    <s v="SO-20335"/>
    <s v="Sean O'Donnell"/>
    <x v="0"/>
    <s v="United States"/>
    <x v="206"/>
    <x v="7"/>
    <x v="2"/>
    <s v="FUR-FU-10002445"/>
    <s v="Furniture"/>
    <x v="3"/>
    <s v="DAX Two-Tone Rosewood/Black Document Frame, Desktop, 5 x 7"/>
    <n v="28.44"/>
    <n v="3"/>
    <n v="0"/>
    <n v="11.375999999999999"/>
    <x v="6"/>
    <x v="5"/>
  </r>
  <r>
    <s v="CA-2015-161718"/>
    <x v="463"/>
    <d v="2015-12-10T00:00:00"/>
    <x v="1"/>
    <s v="SO-20335"/>
    <s v="Sean O'Donnell"/>
    <x v="0"/>
    <s v="United States"/>
    <x v="206"/>
    <x v="7"/>
    <x v="2"/>
    <s v="FUR-CH-10002372"/>
    <s v="Furniture"/>
    <x v="1"/>
    <s v="Office Star - Ergonomically Designed Knee Chair"/>
    <n v="364.41"/>
    <n v="5"/>
    <n v="0.1"/>
    <n v="8.0980000000000008"/>
    <x v="6"/>
    <x v="5"/>
  </r>
  <r>
    <s v="CA-2015-161718"/>
    <x v="463"/>
    <d v="2015-12-10T00:00:00"/>
    <x v="1"/>
    <s v="SO-20335"/>
    <s v="Sean O'Donnell"/>
    <x v="0"/>
    <s v="United States"/>
    <x v="206"/>
    <x v="7"/>
    <x v="2"/>
    <s v="FUR-CH-10002965"/>
    <s v="Furniture"/>
    <x v="1"/>
    <s v="Global Leather Highback Executive Chair with Pneumatic Height Adjustment, Black"/>
    <n v="361.76400000000001"/>
    <n v="2"/>
    <n v="0.1"/>
    <n v="68.333200000000005"/>
    <x v="6"/>
    <x v="5"/>
  </r>
  <r>
    <s v="CA-2017-103156"/>
    <x v="68"/>
    <d v="2017-11-24T00:00:00"/>
    <x v="2"/>
    <s v="TD-20995"/>
    <s v="Tamara Dahlen"/>
    <x v="0"/>
    <s v="United States"/>
    <x v="3"/>
    <x v="3"/>
    <x v="2"/>
    <s v="FUR-FU-10000320"/>
    <s v="Furniture"/>
    <x v="3"/>
    <s v="OIC Stacking Trays"/>
    <n v="24.047999999999998"/>
    <n v="9"/>
    <n v="0.2"/>
    <n v="7.2144000000000004"/>
    <x v="5"/>
    <x v="0"/>
  </r>
  <r>
    <s v="CA-2015-130659"/>
    <x v="463"/>
    <d v="2015-12-09T00:00:00"/>
    <x v="0"/>
    <s v="MS-17365"/>
    <s v="Maribeth Schnelling"/>
    <x v="0"/>
    <s v="United States"/>
    <x v="13"/>
    <x v="7"/>
    <x v="2"/>
    <s v="FUR-CH-10003535"/>
    <s v="Furniture"/>
    <x v="1"/>
    <s v="Global Armless Task Chair, Royal Blue"/>
    <n v="384.17399999999998"/>
    <n v="7"/>
    <n v="0.1"/>
    <n v="29.880199999999999"/>
    <x v="2"/>
    <x v="5"/>
  </r>
  <r>
    <s v="CA-2017-148404"/>
    <x v="273"/>
    <d v="2017-10-11T00:00:00"/>
    <x v="1"/>
    <s v="Dp-13240"/>
    <s v="Dean percer"/>
    <x v="2"/>
    <s v="United States"/>
    <x v="127"/>
    <x v="30"/>
    <x v="0"/>
    <s v="FUR-TA-10001039"/>
    <s v="Furniture"/>
    <x v="2"/>
    <s v="KI Adjustable-Height Table"/>
    <n v="154.76400000000001"/>
    <n v="3"/>
    <n v="0.4"/>
    <n v="-36.111600000000003"/>
    <x v="4"/>
    <x v="1"/>
  </r>
  <r>
    <s v="CA-2015-129700"/>
    <x v="50"/>
    <d v="2015-05-05T00:00:00"/>
    <x v="2"/>
    <s v="LA-16780"/>
    <s v="Laura Armstrong"/>
    <x v="1"/>
    <s v="United States"/>
    <x v="207"/>
    <x v="8"/>
    <x v="3"/>
    <s v="FUR-FU-10001940"/>
    <s v="Furniture"/>
    <x v="3"/>
    <s v="Staple-based wall hangings"/>
    <n v="22.288"/>
    <n v="7"/>
    <n v="0.6"/>
    <n v="-8.9152000000000005"/>
    <x v="5"/>
    <x v="7"/>
  </r>
  <r>
    <s v="CA-2017-168739"/>
    <x v="464"/>
    <d v="2017-06-05T00:00:00"/>
    <x v="1"/>
    <s v="HZ-14950"/>
    <s v="Henia Zydlo"/>
    <x v="0"/>
    <s v="United States"/>
    <x v="6"/>
    <x v="5"/>
    <x v="3"/>
    <s v="FUR-FU-10003919"/>
    <s v="Furniture"/>
    <x v="3"/>
    <s v="Eldon Executive Woodline II Cherry Finish Desk Accessories"/>
    <n v="65.424000000000007"/>
    <n v="4"/>
    <n v="0.6"/>
    <n v="-52.339199999999998"/>
    <x v="1"/>
    <x v="7"/>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FU-10002191"/>
    <s v="Furniture"/>
    <x v="3"/>
    <s v="G.E. Halogen Desk Lamp Bulbs"/>
    <n v="22.335999999999999"/>
    <n v="4"/>
    <n v="0.2"/>
    <n v="7.8175999999999997"/>
    <x v="4"/>
    <x v="6"/>
  </r>
  <r>
    <s v="CA-2015-150791"/>
    <x v="329"/>
    <d v="2015-09-13T00:00:00"/>
    <x v="1"/>
    <s v="CC-12430"/>
    <s v="Chuck Clark"/>
    <x v="2"/>
    <s v="United States"/>
    <x v="13"/>
    <x v="7"/>
    <x v="2"/>
    <s v="FUR-CH-10000665"/>
    <s v="Furniture"/>
    <x v="1"/>
    <s v="Global Airflow Leather Mesh Back Chair, Black"/>
    <n v="271.76400000000001"/>
    <n v="2"/>
    <n v="0.1"/>
    <n v="60.392000000000003"/>
    <x v="1"/>
    <x v="4"/>
  </r>
  <r>
    <s v="CA-2015-153381"/>
    <x v="262"/>
    <d v="2015-09-28T00:00:00"/>
    <x v="1"/>
    <s v="DE-13255"/>
    <s v="Deanra Eno"/>
    <x v="2"/>
    <s v="United States"/>
    <x v="208"/>
    <x v="26"/>
    <x v="3"/>
    <s v="FUR-CH-10000988"/>
    <s v="Furniture"/>
    <x v="1"/>
    <s v="Hon Olson Stacker Stools"/>
    <n v="1408.1"/>
    <n v="10"/>
    <n v="0"/>
    <n v="394.26799999999997"/>
    <x v="4"/>
    <x v="4"/>
  </r>
  <r>
    <s v="US-2017-111024"/>
    <x v="209"/>
    <d v="2017-07-06T00:00:00"/>
    <x v="0"/>
    <s v="SZ-20035"/>
    <s v="Sam Zeldin"/>
    <x v="2"/>
    <s v="United States"/>
    <x v="68"/>
    <x v="15"/>
    <x v="2"/>
    <s v="FUR-TA-10002041"/>
    <s v="Furniture"/>
    <x v="2"/>
    <s v="Bevis Round Conference Table Top, X-Base"/>
    <n v="215.148"/>
    <n v="2"/>
    <n v="0.4"/>
    <n v="-103.98820000000001"/>
    <x v="0"/>
    <x v="3"/>
  </r>
  <r>
    <s v="CA-2017-148264"/>
    <x v="64"/>
    <d v="2017-12-09T00:00:00"/>
    <x v="2"/>
    <s v="LF-17185"/>
    <s v="Luke Foster"/>
    <x v="0"/>
    <s v="United States"/>
    <x v="209"/>
    <x v="2"/>
    <x v="1"/>
    <s v="FUR-FU-10002703"/>
    <s v="Furniture"/>
    <x v="3"/>
    <s v="Tenex Traditional Chairmats for Hard Floors, Average Lip, 36&quot; x 48&quot;"/>
    <n v="128.9"/>
    <n v="2"/>
    <n v="0"/>
    <n v="15.468"/>
    <x v="5"/>
    <x v="5"/>
  </r>
  <r>
    <s v="US-2015-100531"/>
    <x v="466"/>
    <d v="2015-09-29T00:00:00"/>
    <x v="2"/>
    <s v="NM-18520"/>
    <s v="Neoma Murray"/>
    <x v="0"/>
    <s v="United States"/>
    <x v="9"/>
    <x v="8"/>
    <x v="3"/>
    <s v="FUR-FU-10003849"/>
    <s v="Furniture"/>
    <x v="3"/>
    <s v="DAX Metal Frame, Desktop, Stepped-Edge"/>
    <n v="24.288"/>
    <n v="3"/>
    <n v="0.6"/>
    <n v="-12.751200000000001"/>
    <x v="3"/>
    <x v="4"/>
  </r>
  <r>
    <s v="CA-2017-152583"/>
    <x v="242"/>
    <d v="2017-10-30T00:00:00"/>
    <x v="3"/>
    <s v="RA-19945"/>
    <s v="Ryan Akin"/>
    <x v="0"/>
    <s v="United States"/>
    <x v="144"/>
    <x v="5"/>
    <x v="3"/>
    <s v="FUR-FU-10003849"/>
    <s v="Furniture"/>
    <x v="3"/>
    <s v="DAX Metal Frame, Desktop, Stepped-Edge"/>
    <n v="16.192"/>
    <n v="2"/>
    <n v="0.6"/>
    <n v="-8.5007999999999999"/>
    <x v="7"/>
    <x v="1"/>
  </r>
  <r>
    <s v="CA-2017-152583"/>
    <x v="242"/>
    <d v="2017-10-30T00:00:00"/>
    <x v="3"/>
    <s v="RA-19945"/>
    <s v="Ryan Akin"/>
    <x v="0"/>
    <s v="United States"/>
    <x v="144"/>
    <x v="5"/>
    <x v="3"/>
    <s v="FUR-TA-10002041"/>
    <s v="Furniture"/>
    <x v="2"/>
    <s v="Bevis Round Conference Table Top, X-Base"/>
    <n v="251.006"/>
    <n v="2"/>
    <n v="0.3"/>
    <n v="-68.130200000000002"/>
    <x v="7"/>
    <x v="1"/>
  </r>
  <r>
    <s v="CA-2017-136448"/>
    <x v="467"/>
    <d v="2017-09-18T00:00:00"/>
    <x v="2"/>
    <s v="AS-10090"/>
    <s v="Adam Shillingsburg"/>
    <x v="0"/>
    <s v="United States"/>
    <x v="3"/>
    <x v="3"/>
    <x v="2"/>
    <s v="FUR-FU-10003832"/>
    <s v="Furniture"/>
    <x v="3"/>
    <s v="Eldon Expressions Punched Metal &amp; Wood Desk Accessories, Black &amp; Cherry"/>
    <n v="22.512"/>
    <n v="3"/>
    <n v="0.2"/>
    <n v="2.2511999999999999"/>
    <x v="3"/>
    <x v="4"/>
  </r>
  <r>
    <s v="US-2015-147242"/>
    <x v="468"/>
    <d v="2015-09-14T00:00:00"/>
    <x v="1"/>
    <s v="EH-13765"/>
    <s v="Edward Hooks"/>
    <x v="1"/>
    <s v="United States"/>
    <x v="210"/>
    <x v="20"/>
    <x v="2"/>
    <s v="FUR-BO-10004695"/>
    <s v="Furniture"/>
    <x v="0"/>
    <s v="O'Sullivan 2-Door Barrister Bookcase in Odessa Pine"/>
    <n v="361.96"/>
    <n v="2"/>
    <n v="0"/>
    <n v="83.250799999999998"/>
    <x v="4"/>
    <x v="4"/>
  </r>
  <r>
    <s v="CA-2016-146143"/>
    <x v="469"/>
    <d v="2016-12-19T00:00:00"/>
    <x v="1"/>
    <s v="MC-17845"/>
    <s v="Michael Chen"/>
    <x v="0"/>
    <s v="United States"/>
    <x v="38"/>
    <x v="21"/>
    <x v="0"/>
    <s v="FUR-FU-10002045"/>
    <s v="Furniture"/>
    <x v="3"/>
    <s v="Executive Impressions 14&quot;"/>
    <n v="133.38"/>
    <n v="6"/>
    <n v="0"/>
    <n v="58.687199999999997"/>
    <x v="2"/>
    <x v="5"/>
  </r>
  <r>
    <s v="US-2016-150035"/>
    <x v="193"/>
    <d v="2016-12-05T00:00:00"/>
    <x v="1"/>
    <s v="CL-11890"/>
    <s v="Carl Ludwig"/>
    <x v="0"/>
    <s v="United States"/>
    <x v="28"/>
    <x v="2"/>
    <x v="1"/>
    <s v="FUR-FU-10003724"/>
    <s v="Furniture"/>
    <x v="3"/>
    <s v="Westinghouse Clip-On Gooseneck Lamps"/>
    <n v="16.739999999999998"/>
    <n v="2"/>
    <n v="0"/>
    <n v="4.3524000000000003"/>
    <x v="4"/>
    <x v="5"/>
  </r>
  <r>
    <s v="CA-2017-111815"/>
    <x v="470"/>
    <d v="2017-03-10T00:00:00"/>
    <x v="1"/>
    <s v="EP-13915"/>
    <s v="Emily Phan"/>
    <x v="0"/>
    <s v="United States"/>
    <x v="211"/>
    <x v="17"/>
    <x v="3"/>
    <s v="FUR-CH-10000785"/>
    <s v="Furniture"/>
    <x v="1"/>
    <s v="Global Ergonomic Managers Chair"/>
    <n v="180.98"/>
    <n v="1"/>
    <n v="0"/>
    <n v="47.0548"/>
    <x v="1"/>
    <x v="9"/>
  </r>
  <r>
    <s v="CA-2016-131289"/>
    <x v="6"/>
    <d v="2016-12-14T00:00:00"/>
    <x v="1"/>
    <s v="SP-20620"/>
    <s v="Stefania Perrino"/>
    <x v="1"/>
    <s v="United States"/>
    <x v="28"/>
    <x v="2"/>
    <x v="1"/>
    <s v="FUR-TA-10003954"/>
    <s v="Furniture"/>
    <x v="2"/>
    <s v="Hon 94000 Series Round Tables"/>
    <n v="1421.664"/>
    <n v="6"/>
    <n v="0.2"/>
    <n v="-195.47880000000001"/>
    <x v="6"/>
    <x v="5"/>
  </r>
  <r>
    <s v="CA-2014-124023"/>
    <x v="471"/>
    <d v="2014-04-10T00:00:00"/>
    <x v="2"/>
    <s v="PJ-19015"/>
    <s v="Pauline Johnson"/>
    <x v="0"/>
    <s v="United States"/>
    <x v="212"/>
    <x v="33"/>
    <x v="0"/>
    <s v="FUR-FU-10004415"/>
    <s v="Furniture"/>
    <x v="3"/>
    <s v="Stacking Tray, Side-Loading, Legal, Smoke"/>
    <n v="8.9600000000000009"/>
    <n v="2"/>
    <n v="0"/>
    <n v="2.7776000000000001"/>
    <x v="0"/>
    <x v="6"/>
  </r>
  <r>
    <s v="CA-2014-124688"/>
    <x v="472"/>
    <d v="2014-08-29T00:00:00"/>
    <x v="2"/>
    <s v="CC-12610"/>
    <s v="Corey Catlett"/>
    <x v="1"/>
    <s v="United States"/>
    <x v="76"/>
    <x v="25"/>
    <x v="0"/>
    <s v="FUR-FU-10002456"/>
    <s v="Furniture"/>
    <x v="3"/>
    <s v="Master Caster Door Stop, Large Neon Orange"/>
    <n v="29.12"/>
    <n v="4"/>
    <n v="0"/>
    <n v="12.521599999999999"/>
    <x v="3"/>
    <x v="10"/>
  </r>
  <r>
    <s v="CA-2014-124688"/>
    <x v="472"/>
    <d v="2014-08-29T00:00:00"/>
    <x v="2"/>
    <s v="CC-12610"/>
    <s v="Corey Catlett"/>
    <x v="1"/>
    <s v="United States"/>
    <x v="76"/>
    <x v="25"/>
    <x v="0"/>
    <s v="FUR-TA-10003569"/>
    <s v="Furniture"/>
    <x v="2"/>
    <s v="Bretford CR8500 Series Meeting Room Furniture"/>
    <n v="1202.94"/>
    <n v="3"/>
    <n v="0"/>
    <n v="300.73500000000001"/>
    <x v="3"/>
    <x v="10"/>
  </r>
  <r>
    <s v="CA-2015-157322"/>
    <x v="473"/>
    <d v="2015-07-06T00:00:00"/>
    <x v="1"/>
    <s v="RH-19600"/>
    <s v="Rob Haberlin"/>
    <x v="0"/>
    <s v="United States"/>
    <x v="213"/>
    <x v="8"/>
    <x v="3"/>
    <s v="FUR-CH-10004086"/>
    <s v="Furniture"/>
    <x v="1"/>
    <s v="Hon 4070 Series Pagoda Armless Upholstered Stacking Chairs"/>
    <n v="408.42200000000003"/>
    <n v="2"/>
    <n v="0.3"/>
    <n v="-5.8346"/>
    <x v="4"/>
    <x v="3"/>
  </r>
  <r>
    <s v="CA-2015-157322"/>
    <x v="473"/>
    <d v="2015-07-06T00:00:00"/>
    <x v="1"/>
    <s v="RH-19600"/>
    <s v="Rob Haberlin"/>
    <x v="0"/>
    <s v="United States"/>
    <x v="213"/>
    <x v="8"/>
    <x v="3"/>
    <s v="FUR-CH-10003774"/>
    <s v="Furniture"/>
    <x v="1"/>
    <s v="Global Wood Trimmed Manager's Task Chair, Khaki"/>
    <n v="382.11599999999999"/>
    <n v="6"/>
    <n v="0.3"/>
    <n v="-92.799599999999998"/>
    <x v="4"/>
    <x v="3"/>
  </r>
  <r>
    <s v="CA-2017-142034"/>
    <x v="118"/>
    <d v="2017-09-28T00:00:00"/>
    <x v="1"/>
    <s v="KB-16240"/>
    <s v="Karen Bern"/>
    <x v="1"/>
    <s v="United States"/>
    <x v="214"/>
    <x v="11"/>
    <x v="3"/>
    <s v="FUR-CH-10000665"/>
    <s v="Furniture"/>
    <x v="1"/>
    <s v="Global Airflow Leather Mesh Back Chair, Black"/>
    <n v="603.91999999999996"/>
    <n v="4"/>
    <n v="0"/>
    <n v="181.17599999999999"/>
    <x v="4"/>
    <x v="4"/>
  </r>
  <r>
    <s v="CA-2016-107328"/>
    <x v="474"/>
    <d v="2016-08-15T00:00:00"/>
    <x v="1"/>
    <s v="CA-12055"/>
    <s v="Cathy Armstrong"/>
    <x v="2"/>
    <s v="United States"/>
    <x v="2"/>
    <x v="2"/>
    <x v="1"/>
    <s v="FUR-TA-10001932"/>
    <s v="Furniture"/>
    <x v="2"/>
    <s v="Chromcraft 48&quot; x 96&quot; Racetrack Double Pedestal Table"/>
    <n v="513.024"/>
    <n v="2"/>
    <n v="0.2"/>
    <n v="12.8256"/>
    <x v="1"/>
    <x v="10"/>
  </r>
  <r>
    <s v="CA-2014-166863"/>
    <x v="475"/>
    <d v="2014-06-24T00:00:00"/>
    <x v="1"/>
    <s v="SC-20020"/>
    <s v="Sam Craven"/>
    <x v="0"/>
    <s v="United States"/>
    <x v="215"/>
    <x v="5"/>
    <x v="3"/>
    <s v="FUR-BO-10001608"/>
    <s v="Furniture"/>
    <x v="0"/>
    <s v="Hon Metal Bookcases, Black"/>
    <n v="193.06559999999999"/>
    <n v="4"/>
    <n v="0.32"/>
    <n v="-19.874400000000001"/>
    <x v="4"/>
    <x v="2"/>
  </r>
  <r>
    <s v="CA-2017-140326"/>
    <x v="362"/>
    <d v="2017-09-06T00:00:00"/>
    <x v="2"/>
    <s v="HW-14935"/>
    <s v="Helen Wasserman"/>
    <x v="1"/>
    <s v="United States"/>
    <x v="9"/>
    <x v="8"/>
    <x v="3"/>
    <s v="FUR-BO-10000112"/>
    <s v="Furniture"/>
    <x v="0"/>
    <s v="Bush Birmingham Collection Bookcase, Dark Cherry"/>
    <n v="825.17399999999998"/>
    <n v="9"/>
    <n v="0.3"/>
    <n v="-117.88200000000001"/>
    <x v="3"/>
    <x v="4"/>
  </r>
  <r>
    <s v="CA-2015-124975"/>
    <x v="476"/>
    <d v="2015-06-25T00:00:00"/>
    <x v="2"/>
    <s v="MG-17875"/>
    <s v="Michael Grace"/>
    <x v="2"/>
    <s v="United States"/>
    <x v="14"/>
    <x v="8"/>
    <x v="3"/>
    <s v="FUR-TA-10002645"/>
    <s v="Furniture"/>
    <x v="2"/>
    <s v="Hon Rectangular Conference Tables"/>
    <n v="796.42499999999995"/>
    <n v="7"/>
    <n v="0.5"/>
    <n v="-525.64049999999997"/>
    <x v="0"/>
    <x v="2"/>
  </r>
  <r>
    <s v="CA-2016-157511"/>
    <x v="126"/>
    <d v="2016-09-20T00:00:00"/>
    <x v="2"/>
    <s v="SV-20365"/>
    <s v="Seth Vernon"/>
    <x v="0"/>
    <s v="United States"/>
    <x v="29"/>
    <x v="15"/>
    <x v="2"/>
    <s v="FUR-FU-10002107"/>
    <s v="Furniture"/>
    <x v="3"/>
    <s v="Eldon Pizzaz Desk Accessories"/>
    <n v="5.3520000000000003"/>
    <n v="3"/>
    <n v="0.2"/>
    <n v="1.6055999999999999"/>
    <x v="3"/>
    <x v="4"/>
  </r>
  <r>
    <s v="CA-2016-157511"/>
    <x v="126"/>
    <d v="2016-09-20T00:00:00"/>
    <x v="2"/>
    <s v="SV-20365"/>
    <s v="Seth Vernon"/>
    <x v="0"/>
    <s v="United States"/>
    <x v="29"/>
    <x v="15"/>
    <x v="2"/>
    <s v="FUR-CH-10002647"/>
    <s v="Furniture"/>
    <x v="1"/>
    <s v="Situations Contoured Folding Chairs, 4/Set"/>
    <n v="99.372"/>
    <n v="2"/>
    <n v="0.3"/>
    <n v="-7.0979999999999999"/>
    <x v="3"/>
    <x v="4"/>
  </r>
  <r>
    <s v="CA-2017-155292"/>
    <x v="242"/>
    <d v="2017-11-01T00:00:00"/>
    <x v="2"/>
    <s v="RD-19810"/>
    <s v="Ross DeVincentis"/>
    <x v="2"/>
    <s v="United States"/>
    <x v="52"/>
    <x v="0"/>
    <x v="0"/>
    <s v="FUR-CH-10000553"/>
    <s v="Furniture"/>
    <x v="1"/>
    <s v="Metal Folding Chairs, Beige, 4/Carton"/>
    <n v="33.94"/>
    <n v="1"/>
    <n v="0"/>
    <n v="9.1638000000000002"/>
    <x v="3"/>
    <x v="1"/>
  </r>
  <r>
    <s v="CA-2016-152555"/>
    <x v="477"/>
    <d v="2016-04-02T00:00:00"/>
    <x v="0"/>
    <s v="ME-17320"/>
    <s v="Maria Etezadi"/>
    <x v="2"/>
    <s v="United States"/>
    <x v="9"/>
    <x v="8"/>
    <x v="3"/>
    <s v="FUR-CH-10002965"/>
    <s v="Furniture"/>
    <x v="1"/>
    <s v="Global Leather Highback Executive Chair with Pneumatic Height Adjustment, Black"/>
    <n v="844.11599999999999"/>
    <n v="6"/>
    <n v="0.3"/>
    <n v="-36.176400000000001"/>
    <x v="4"/>
    <x v="9"/>
  </r>
  <r>
    <s v="CA-2016-137176"/>
    <x v="478"/>
    <d v="2016-09-14T00:00:00"/>
    <x v="0"/>
    <s v="DB-12910"/>
    <s v="Daniel Byrd"/>
    <x v="2"/>
    <s v="United States"/>
    <x v="144"/>
    <x v="5"/>
    <x v="3"/>
    <s v="FUR-FU-10003832"/>
    <s v="Furniture"/>
    <x v="3"/>
    <s v="Eldon Expressions Punched Metal &amp; Wood Desk Accessories, Black &amp; Cherry"/>
    <n v="15.007999999999999"/>
    <n v="4"/>
    <n v="0.6"/>
    <n v="-12.006399999999999"/>
    <x v="2"/>
    <x v="4"/>
  </r>
  <r>
    <s v="CA-2016-104157"/>
    <x v="81"/>
    <d v="2016-07-29T00:00:00"/>
    <x v="1"/>
    <s v="MT-17815"/>
    <s v="Meg Tillman"/>
    <x v="0"/>
    <s v="United States"/>
    <x v="38"/>
    <x v="21"/>
    <x v="0"/>
    <s v="FUR-TA-10004915"/>
    <s v="Furniture"/>
    <x v="2"/>
    <s v="Office Impressions End Table, 20-1/2&quot;H x 24&quot;W x 20&quot;D"/>
    <n v="2430.08"/>
    <n v="8"/>
    <n v="0"/>
    <n v="388.81279999999998"/>
    <x v="4"/>
    <x v="3"/>
  </r>
  <r>
    <s v="CA-2015-121650"/>
    <x v="479"/>
    <d v="2015-12-16T00:00:00"/>
    <x v="1"/>
    <s v="KD-16495"/>
    <s v="Keith Dawkins"/>
    <x v="1"/>
    <s v="United States"/>
    <x v="38"/>
    <x v="17"/>
    <x v="3"/>
    <s v="FUR-TA-10003569"/>
    <s v="Furniture"/>
    <x v="2"/>
    <s v="Bretford CR8500 Series Meeting Room Furniture"/>
    <n v="801.96"/>
    <n v="2"/>
    <n v="0"/>
    <n v="200.49"/>
    <x v="6"/>
    <x v="5"/>
  </r>
  <r>
    <s v="CA-2015-121650"/>
    <x v="479"/>
    <d v="2015-12-16T00:00:00"/>
    <x v="1"/>
    <s v="KD-16495"/>
    <s v="Keith Dawkins"/>
    <x v="1"/>
    <s v="United States"/>
    <x v="38"/>
    <x v="17"/>
    <x v="3"/>
    <s v="FUR-CH-10004289"/>
    <s v="Furniture"/>
    <x v="1"/>
    <s v="Global Super Steno Chair"/>
    <n v="191.96"/>
    <n v="2"/>
    <n v="0"/>
    <n v="32.633200000000002"/>
    <x v="6"/>
    <x v="5"/>
  </r>
  <r>
    <s v="CA-2014-102869"/>
    <x v="383"/>
    <d v="2014-09-14T00:00:00"/>
    <x v="0"/>
    <s v="LC-17140"/>
    <s v="Logan Currie"/>
    <x v="0"/>
    <s v="United States"/>
    <x v="3"/>
    <x v="3"/>
    <x v="2"/>
    <s v="FUR-FU-10002456"/>
    <s v="Furniture"/>
    <x v="3"/>
    <s v="Master Caster Door Stop, Large Neon Orange"/>
    <n v="17.472000000000001"/>
    <n v="3"/>
    <n v="0.2"/>
    <n v="5.0232000000000001"/>
    <x v="2"/>
    <x v="4"/>
  </r>
  <r>
    <s v="CA-2014-159835"/>
    <x v="317"/>
    <d v="2014-11-24T00:00:00"/>
    <x v="1"/>
    <s v="RB-19330"/>
    <s v="Randy Bradley"/>
    <x v="0"/>
    <s v="United States"/>
    <x v="3"/>
    <x v="3"/>
    <x v="2"/>
    <s v="FUR-CH-10004997"/>
    <s v="Furniture"/>
    <x v="1"/>
    <s v="Hon Every-Day Series Multi-Task Chairs"/>
    <n v="657.93"/>
    <n v="5"/>
    <n v="0.3"/>
    <n v="-93.99"/>
    <x v="1"/>
    <x v="0"/>
  </r>
  <r>
    <s v="CA-2017-112956"/>
    <x v="67"/>
    <d v="2017-08-27T00:00:00"/>
    <x v="1"/>
    <s v="TH-21550"/>
    <s v="Tracy Hopkins"/>
    <x v="2"/>
    <s v="United States"/>
    <x v="11"/>
    <x v="32"/>
    <x v="2"/>
    <s v="FUR-FU-10003976"/>
    <s v="Furniture"/>
    <x v="3"/>
    <s v="DAX Executive Solid Wood Document Frame, Desktop or Hang, Mahogany, 5 x 7"/>
    <n v="25.16"/>
    <n v="2"/>
    <n v="0"/>
    <n v="8.5543999999999993"/>
    <x v="6"/>
    <x v="10"/>
  </r>
  <r>
    <s v="CA-2017-112956"/>
    <x v="67"/>
    <d v="2017-08-27T00:00:00"/>
    <x v="1"/>
    <s v="TH-21550"/>
    <s v="Tracy Hopkins"/>
    <x v="2"/>
    <s v="United States"/>
    <x v="11"/>
    <x v="32"/>
    <x v="2"/>
    <s v="FUR-FU-10004960"/>
    <s v="Furniture"/>
    <x v="3"/>
    <s v="Seth Thomas 12&quot; Clock w/ Goldtone Case"/>
    <n v="91.92"/>
    <n v="4"/>
    <n v="0"/>
    <n v="31.252800000000001"/>
    <x v="6"/>
    <x v="10"/>
  </r>
  <r>
    <s v="CA-2017-112529"/>
    <x v="49"/>
    <d v="2017-11-21T00:00:00"/>
    <x v="2"/>
    <s v="SC-20770"/>
    <s v="Stewart Carmichael"/>
    <x v="1"/>
    <s v="United States"/>
    <x v="21"/>
    <x v="5"/>
    <x v="3"/>
    <s v="FUR-TA-10002622"/>
    <s v="Furniture"/>
    <x v="2"/>
    <s v="Bush Andora Conference Table, Maple/Graphite Gray Finish"/>
    <n v="718.11599999999999"/>
    <n v="6"/>
    <n v="0.3"/>
    <n v="-71.811599999999999"/>
    <x v="3"/>
    <x v="0"/>
  </r>
  <r>
    <s v="CA-2014-159184"/>
    <x v="94"/>
    <d v="2014-09-19T00:00:00"/>
    <x v="1"/>
    <s v="JC-15775"/>
    <s v="John Castell"/>
    <x v="0"/>
    <s v="United States"/>
    <x v="216"/>
    <x v="24"/>
    <x v="0"/>
    <s v="FUR-FU-10002878"/>
    <s v="Furniture"/>
    <x v="3"/>
    <s v="Seth Thomas 14&quot; Day/Date Wall Clock"/>
    <n v="142.4"/>
    <n v="5"/>
    <n v="0"/>
    <n v="52.688000000000002"/>
    <x v="2"/>
    <x v="4"/>
  </r>
  <r>
    <s v="CA-2017-113530"/>
    <x v="405"/>
    <d v="2017-05-21T00:00:00"/>
    <x v="0"/>
    <s v="BC-11125"/>
    <s v="Becky Castell"/>
    <x v="2"/>
    <s v="United States"/>
    <x v="28"/>
    <x v="2"/>
    <x v="1"/>
    <s v="FUR-CH-10002647"/>
    <s v="Furniture"/>
    <x v="1"/>
    <s v="Situations Contoured Folding Chairs, 4/Set"/>
    <n v="681.40800000000002"/>
    <n v="12"/>
    <n v="0.2"/>
    <n v="42.588000000000001"/>
    <x v="3"/>
    <x v="7"/>
  </r>
  <r>
    <s v="CA-2016-145177"/>
    <x v="480"/>
    <d v="2016-11-14T00:00:00"/>
    <x v="1"/>
    <s v="PP-18955"/>
    <s v="Paul Prost"/>
    <x v="2"/>
    <s v="United States"/>
    <x v="76"/>
    <x v="15"/>
    <x v="2"/>
    <s v="FUR-FU-10000758"/>
    <s v="Furniture"/>
    <x v="3"/>
    <s v="DAX Natural Wood-Tone Poster Frame"/>
    <n v="148.28800000000001"/>
    <n v="7"/>
    <n v="0.2"/>
    <n v="29.657599999999999"/>
    <x v="4"/>
    <x v="0"/>
  </r>
  <r>
    <s v="CA-2015-128083"/>
    <x v="481"/>
    <d v="2015-03-17T00:00:00"/>
    <x v="1"/>
    <s v="EB-13750"/>
    <s v="Edward Becker"/>
    <x v="1"/>
    <s v="United States"/>
    <x v="217"/>
    <x v="1"/>
    <x v="0"/>
    <s v="FUR-FU-10003194"/>
    <s v="Furniture"/>
    <x v="3"/>
    <s v="Eldon Expressions Desk Accessory, Wood Pencil Holder, Oak"/>
    <n v="30.88"/>
    <n v="4"/>
    <n v="0.2"/>
    <n v="3.86"/>
    <x v="2"/>
    <x v="9"/>
  </r>
  <r>
    <s v="CA-2015-128083"/>
    <x v="481"/>
    <d v="2015-03-17T00:00:00"/>
    <x v="1"/>
    <s v="EB-13750"/>
    <s v="Edward Becker"/>
    <x v="1"/>
    <s v="United States"/>
    <x v="217"/>
    <x v="1"/>
    <x v="0"/>
    <s v="FUR-FU-10001731"/>
    <s v="Furniture"/>
    <x v="3"/>
    <s v="Acrylic Self-Standing Desk Frames"/>
    <n v="6.4080000000000004"/>
    <n v="3"/>
    <n v="0.2"/>
    <n v="1.4418"/>
    <x v="2"/>
    <x v="9"/>
  </r>
  <r>
    <s v="CA-2017-154109"/>
    <x v="200"/>
    <d v="2017-11-11T00:00:00"/>
    <x v="1"/>
    <s v="ML-17410"/>
    <s v="Maris LaWare"/>
    <x v="0"/>
    <s v="United States"/>
    <x v="3"/>
    <x v="3"/>
    <x v="2"/>
    <s v="FUR-CH-10003774"/>
    <s v="Furniture"/>
    <x v="1"/>
    <s v="Global Wood Trimmed Manager's Task Chair, Khaki"/>
    <n v="127.372"/>
    <n v="2"/>
    <n v="0.3"/>
    <n v="-30.933199999999999"/>
    <x v="2"/>
    <x v="0"/>
  </r>
  <r>
    <s v="CA-2015-156440"/>
    <x v="482"/>
    <d v="2015-12-09T00:00:00"/>
    <x v="1"/>
    <s v="MH-17620"/>
    <s v="Matt Hagelstein"/>
    <x v="1"/>
    <s v="United States"/>
    <x v="53"/>
    <x v="2"/>
    <x v="1"/>
    <s v="FUR-FU-10004090"/>
    <s v="Furniture"/>
    <x v="3"/>
    <s v="Executive Impressions 14&quot; Contract Wall Clock"/>
    <n v="44.46"/>
    <n v="2"/>
    <n v="0"/>
    <n v="14.671799999999999"/>
    <x v="4"/>
    <x v="5"/>
  </r>
  <r>
    <s v="CA-2015-132626"/>
    <x v="483"/>
    <d v="2015-07-14T00:00:00"/>
    <x v="1"/>
    <s v="BT-11680"/>
    <s v="Brian Thompson"/>
    <x v="0"/>
    <s v="United States"/>
    <x v="218"/>
    <x v="32"/>
    <x v="2"/>
    <s v="FUR-FU-10002918"/>
    <s v="Furniture"/>
    <x v="3"/>
    <s v="Eldon ClusterMat Chair Mat with Cordless Antistatic Protection"/>
    <n v="181.96"/>
    <n v="2"/>
    <n v="0"/>
    <n v="20.015599999999999"/>
    <x v="2"/>
    <x v="3"/>
  </r>
  <r>
    <s v="US-2015-131359"/>
    <x v="484"/>
    <d v="2015-11-02T00:00:00"/>
    <x v="0"/>
    <s v="FA-14230"/>
    <s v="Frank Atkinson"/>
    <x v="1"/>
    <s v="United States"/>
    <x v="22"/>
    <x v="12"/>
    <x v="1"/>
    <s v="FUR-FU-10003026"/>
    <s v="Furniture"/>
    <x v="3"/>
    <s v="Eldon Regeneration Recycled Desk Accessories, Black"/>
    <n v="15.488"/>
    <n v="4"/>
    <n v="0.2"/>
    <n v="3.6783999999999999"/>
    <x v="0"/>
    <x v="1"/>
  </r>
  <r>
    <s v="CA-2015-151680"/>
    <x v="485"/>
    <d v="2015-11-21T00:00:00"/>
    <x v="0"/>
    <s v="TC-21475"/>
    <s v="Tony Chapman"/>
    <x v="2"/>
    <s v="United States"/>
    <x v="15"/>
    <x v="13"/>
    <x v="1"/>
    <s v="FUR-FU-10000305"/>
    <s v="Furniture"/>
    <x v="3"/>
    <s v="Tenex V2T-RE Standard Weight Series Chair Mat, 45&quot; x 53&quot;, Lip 25&quot; x 12&quot;"/>
    <n v="141.96"/>
    <n v="2"/>
    <n v="0"/>
    <n v="22.7136"/>
    <x v="3"/>
    <x v="0"/>
  </r>
  <r>
    <s v="CA-2017-169411"/>
    <x v="455"/>
    <d v="2017-12-29T00:00:00"/>
    <x v="1"/>
    <s v="AC-10615"/>
    <s v="Ann Chong"/>
    <x v="1"/>
    <s v="United States"/>
    <x v="77"/>
    <x v="7"/>
    <x v="2"/>
    <s v="FUR-FU-10001602"/>
    <s v="Furniture"/>
    <x v="3"/>
    <s v="Eldon Delta Triangular Chair Mat, 52&quot; x 58&quot;, Clear"/>
    <n v="37.93"/>
    <n v="1"/>
    <n v="0"/>
    <n v="6.8273999999999999"/>
    <x v="2"/>
    <x v="5"/>
  </r>
  <r>
    <s v="CA-2016-126543"/>
    <x v="486"/>
    <d v="2016-01-13T00:00:00"/>
    <x v="0"/>
    <s v="MF-17665"/>
    <s v="Maureen Fritzler"/>
    <x v="1"/>
    <s v="United States"/>
    <x v="219"/>
    <x v="15"/>
    <x v="2"/>
    <s v="FUR-FU-10002445"/>
    <s v="Furniture"/>
    <x v="3"/>
    <s v="DAX Two-Tone Rosewood/Black Document Frame, Desktop, 5 x 7"/>
    <n v="15.167999999999999"/>
    <n v="2"/>
    <n v="0.2"/>
    <n v="3.7919999999999998"/>
    <x v="4"/>
    <x v="8"/>
  </r>
  <r>
    <s v="CA-2014-120544"/>
    <x v="255"/>
    <d v="2014-11-27T00:00:00"/>
    <x v="1"/>
    <s v="SS-20140"/>
    <s v="Saphhira Shifley"/>
    <x v="1"/>
    <s v="United States"/>
    <x v="220"/>
    <x v="5"/>
    <x v="3"/>
    <s v="FUR-FU-10001940"/>
    <s v="Furniture"/>
    <x v="3"/>
    <s v="Staple-based wall hangings"/>
    <n v="6.3680000000000003"/>
    <n v="2"/>
    <n v="0.6"/>
    <n v="-2.5472000000000001"/>
    <x v="4"/>
    <x v="0"/>
  </r>
  <r>
    <s v="CA-2017-113670"/>
    <x v="487"/>
    <d v="2017-10-17T00:00:00"/>
    <x v="2"/>
    <s v="RS-19765"/>
    <s v="Roland Schwarz"/>
    <x v="1"/>
    <s v="United States"/>
    <x v="2"/>
    <x v="2"/>
    <x v="1"/>
    <s v="FUR-TA-10001705"/>
    <s v="Furniture"/>
    <x v="2"/>
    <s v="Bush Advantage Collection Round Conference Table"/>
    <n v="510.24"/>
    <n v="3"/>
    <n v="0.2"/>
    <n v="6.3780000000000001"/>
    <x v="3"/>
    <x v="1"/>
  </r>
  <r>
    <s v="CA-2017-166198"/>
    <x v="488"/>
    <d v="2017-04-24T00:00:00"/>
    <x v="2"/>
    <s v="JW-15955"/>
    <s v="Joni Wasserman"/>
    <x v="0"/>
    <s v="United States"/>
    <x v="15"/>
    <x v="13"/>
    <x v="1"/>
    <s v="FUR-FU-10004622"/>
    <s v="Furniture"/>
    <x v="3"/>
    <s v="Eldon Advantage Foldable Chair Mats for Low Pile Carpets"/>
    <n v="162.6"/>
    <n v="3"/>
    <n v="0"/>
    <n v="34.146000000000001"/>
    <x v="0"/>
    <x v="6"/>
  </r>
  <r>
    <s v="CA-2014-135608"/>
    <x v="489"/>
    <d v="2014-12-10T00:00:00"/>
    <x v="0"/>
    <s v="JK-15625"/>
    <s v="Jim Karlsson"/>
    <x v="0"/>
    <s v="United States"/>
    <x v="84"/>
    <x v="13"/>
    <x v="1"/>
    <s v="FUR-CH-10002602"/>
    <s v="Furniture"/>
    <x v="1"/>
    <s v="DMI Arturo Collection Mission-style Design Wood Chair"/>
    <n v="603.91999999999996"/>
    <n v="5"/>
    <n v="0.2"/>
    <n v="45.293999999999997"/>
    <x v="3"/>
    <x v="5"/>
  </r>
  <r>
    <s v="CA-2016-151155"/>
    <x v="490"/>
    <d v="2016-12-24T00:00:00"/>
    <x v="1"/>
    <s v="AB-10255"/>
    <s v="Alejandro Ballentine"/>
    <x v="2"/>
    <s v="United States"/>
    <x v="38"/>
    <x v="21"/>
    <x v="0"/>
    <s v="FUR-FU-10001918"/>
    <s v="Furniture"/>
    <x v="3"/>
    <s v="C-Line Cubicle Keepers Polyproplyene Holder With Velcro Backings"/>
    <n v="18.920000000000002"/>
    <n v="4"/>
    <n v="0"/>
    <n v="7.3788"/>
    <x v="4"/>
    <x v="5"/>
  </r>
  <r>
    <s v="CA-2017-168193"/>
    <x v="491"/>
    <d v="2017-03-11T00:00:00"/>
    <x v="0"/>
    <s v="RM-19750"/>
    <s v="Roland Murray"/>
    <x v="0"/>
    <s v="United States"/>
    <x v="13"/>
    <x v="7"/>
    <x v="2"/>
    <s v="FUR-FU-10002554"/>
    <s v="Furniture"/>
    <x v="3"/>
    <s v="Westinghouse Floor Lamp with Metal Mesh Shade, Black"/>
    <n v="71.97"/>
    <n v="3"/>
    <n v="0"/>
    <n v="16.553100000000001"/>
    <x v="2"/>
    <x v="9"/>
  </r>
  <r>
    <s v="CA-2016-149979"/>
    <x v="348"/>
    <d v="2016-09-28T00:00:00"/>
    <x v="0"/>
    <s v="RA-19915"/>
    <s v="Russell Applegate"/>
    <x v="0"/>
    <s v="United States"/>
    <x v="29"/>
    <x v="24"/>
    <x v="0"/>
    <s v="FUR-CH-10002084"/>
    <s v="Furniture"/>
    <x v="1"/>
    <s v="Hon Mobius Operator's Chair"/>
    <n v="368.97"/>
    <n v="3"/>
    <n v="0"/>
    <n v="81.173400000000001"/>
    <x v="2"/>
    <x v="4"/>
  </r>
  <r>
    <s v="CA-2017-161956"/>
    <x v="60"/>
    <d v="2017-08-29T00:00:00"/>
    <x v="0"/>
    <s v="DR-12880"/>
    <s v="Dan Reichenbach"/>
    <x v="1"/>
    <s v="United States"/>
    <x v="209"/>
    <x v="2"/>
    <x v="1"/>
    <s v="FUR-FU-10002937"/>
    <s v="Furniture"/>
    <x v="3"/>
    <s v="GE 48&quot; Fluorescent Tube, Cool White Energy Saver, 34 Watts, 30/Box"/>
    <n v="198.46"/>
    <n v="2"/>
    <n v="0"/>
    <n v="99.23"/>
    <x v="3"/>
    <x v="10"/>
  </r>
  <r>
    <s v="CA-2017-161956"/>
    <x v="60"/>
    <d v="2017-08-29T00:00:00"/>
    <x v="0"/>
    <s v="DR-12880"/>
    <s v="Dan Reichenbach"/>
    <x v="1"/>
    <s v="United States"/>
    <x v="209"/>
    <x v="2"/>
    <x v="1"/>
    <s v="FUR-CH-10004886"/>
    <s v="Furniture"/>
    <x v="1"/>
    <s v="Bevis Steel Folding Chairs"/>
    <n v="230.28"/>
    <n v="3"/>
    <n v="0.2"/>
    <n v="23.027999999999999"/>
    <x v="3"/>
    <x v="10"/>
  </r>
  <r>
    <s v="CA-2016-116799"/>
    <x v="492"/>
    <d v="2016-03-06T00:00:00"/>
    <x v="2"/>
    <s v="JG-15310"/>
    <s v="Jason Gross"/>
    <x v="1"/>
    <s v="United States"/>
    <x v="221"/>
    <x v="5"/>
    <x v="3"/>
    <s v="FUR-CH-10004983"/>
    <s v="Furniture"/>
    <x v="1"/>
    <s v="Office Star - Mid Back Dual function Ergonomic High Back Chair with 2-Way Adjustable Arms"/>
    <n v="563.42999999999995"/>
    <n v="5"/>
    <n v="0.3"/>
    <n v="-56.343000000000004"/>
    <x v="0"/>
    <x v="9"/>
  </r>
  <r>
    <s v="CA-2015-167745"/>
    <x v="493"/>
    <d v="2015-09-23T00:00:00"/>
    <x v="1"/>
    <s v="GB-14530"/>
    <s v="George Bell"/>
    <x v="1"/>
    <s v="United States"/>
    <x v="2"/>
    <x v="2"/>
    <x v="1"/>
    <s v="FUR-FU-10001591"/>
    <s v="Furniture"/>
    <x v="3"/>
    <s v="Advantus Panel Wall Certificate Holder - 8.5x11"/>
    <n v="24.4"/>
    <n v="2"/>
    <n v="0"/>
    <n v="10.247999999999999"/>
    <x v="2"/>
    <x v="4"/>
  </r>
  <r>
    <s v="CA-2016-156251"/>
    <x v="494"/>
    <d v="2016-08-18T00:00:00"/>
    <x v="0"/>
    <s v="TS-21160"/>
    <s v="Theresa Swint"/>
    <x v="1"/>
    <s v="United States"/>
    <x v="222"/>
    <x v="16"/>
    <x v="3"/>
    <s v="FUR-BO-10001337"/>
    <s v="Furniture"/>
    <x v="0"/>
    <s v="O'Sullivan Living Dimensions 2-Shelf Bookcases"/>
    <n v="241.96"/>
    <n v="2"/>
    <n v="0"/>
    <n v="24.196000000000002"/>
    <x v="2"/>
    <x v="10"/>
  </r>
  <r>
    <s v="CA-2016-163153"/>
    <x v="445"/>
    <d v="2016-03-25T00:00:00"/>
    <x v="1"/>
    <s v="DM-12955"/>
    <s v="Dario Medina"/>
    <x v="1"/>
    <s v="United States"/>
    <x v="6"/>
    <x v="5"/>
    <x v="3"/>
    <s v="FUR-TA-10004767"/>
    <s v="Furniture"/>
    <x v="2"/>
    <s v="Safco Drafting Table"/>
    <n v="99.372"/>
    <n v="2"/>
    <n v="0.3"/>
    <n v="-1.4196"/>
    <x v="4"/>
    <x v="9"/>
  </r>
  <r>
    <s v="CA-2014-153913"/>
    <x v="439"/>
    <d v="2014-12-20T00:00:00"/>
    <x v="0"/>
    <s v="KB-16585"/>
    <s v="Ken Black"/>
    <x v="1"/>
    <s v="United States"/>
    <x v="173"/>
    <x v="1"/>
    <x v="0"/>
    <s v="FUR-CH-10000988"/>
    <s v="Furniture"/>
    <x v="1"/>
    <s v="Hon Olson Stacker Stools"/>
    <n v="1013.832"/>
    <n v="9"/>
    <n v="0.2"/>
    <n v="101.3832"/>
    <x v="4"/>
    <x v="5"/>
  </r>
  <r>
    <s v="CA-2016-155530"/>
    <x v="495"/>
    <d v="2016-12-21T00:00:00"/>
    <x v="1"/>
    <s v="CM-12160"/>
    <s v="Charles McCrossin"/>
    <x v="0"/>
    <s v="United States"/>
    <x v="28"/>
    <x v="2"/>
    <x v="1"/>
    <s v="FUR-TA-10004256"/>
    <s v="Furniture"/>
    <x v="2"/>
    <s v="Bretford ÒJust In TimeÓ Height-Adjustable Multi-Task Work Tables"/>
    <n v="2003.52"/>
    <n v="6"/>
    <n v="0.2"/>
    <n v="-325.572"/>
    <x v="4"/>
    <x v="5"/>
  </r>
  <r>
    <s v="CA-2015-107937"/>
    <x v="496"/>
    <d v="2015-05-08T00:00:00"/>
    <x v="1"/>
    <s v="JB-16045"/>
    <s v="Julia Barnett"/>
    <x v="2"/>
    <s v="United States"/>
    <x v="223"/>
    <x v="2"/>
    <x v="1"/>
    <s v="FUR-FU-10002298"/>
    <s v="Furniture"/>
    <x v="3"/>
    <s v="Rubbermaid ClusterMat Chairmats, Mat Size- 66&quot; x 60&quot;, Lip 20&quot; x 11&quot; -90 Degree Angle"/>
    <n v="665.88"/>
    <n v="6"/>
    <n v="0"/>
    <n v="106.5408"/>
    <x v="2"/>
    <x v="7"/>
  </r>
  <r>
    <s v="US-2014-117163"/>
    <x v="497"/>
    <d v="2014-02-02T00:00:00"/>
    <x v="1"/>
    <s v="EJ-13720"/>
    <s v="Ed Jacobs"/>
    <x v="0"/>
    <s v="United States"/>
    <x v="53"/>
    <x v="2"/>
    <x v="1"/>
    <s v="FUR-TA-10003469"/>
    <s v="Furniture"/>
    <x v="2"/>
    <s v="Balt Split Level Computer Training Table"/>
    <n v="333"/>
    <n v="3"/>
    <n v="0.2"/>
    <n v="-16.649999999999999"/>
    <x v="6"/>
    <x v="8"/>
  </r>
  <r>
    <s v="CA-2017-147760"/>
    <x v="498"/>
    <d v="2017-11-05T00:00:00"/>
    <x v="2"/>
    <s v="KL-16555"/>
    <s v="Kelly Lampkin"/>
    <x v="1"/>
    <s v="United States"/>
    <x v="224"/>
    <x v="30"/>
    <x v="0"/>
    <s v="FUR-TA-10004575"/>
    <s v="Furniture"/>
    <x v="2"/>
    <s v="Hon 5100 Series Wood Tables"/>
    <n v="523.76400000000001"/>
    <n v="3"/>
    <n v="0.4"/>
    <n v="-192.04679999999999"/>
    <x v="5"/>
    <x v="0"/>
  </r>
  <r>
    <s v="CA-2016-156503"/>
    <x v="499"/>
    <d v="2016-10-20T00:00:00"/>
    <x v="1"/>
    <s v="NC-18415"/>
    <s v="Nathan Cano"/>
    <x v="0"/>
    <s v="United States"/>
    <x v="51"/>
    <x v="30"/>
    <x v="0"/>
    <s v="FUR-CH-10003606"/>
    <s v="Furniture"/>
    <x v="1"/>
    <s v="SAFCO Folding Chair Trolley"/>
    <n v="102.592"/>
    <n v="1"/>
    <n v="0.2"/>
    <n v="10.2592"/>
    <x v="6"/>
    <x v="1"/>
  </r>
  <r>
    <s v="CA-2015-113628"/>
    <x v="500"/>
    <d v="2015-11-19T00:00:00"/>
    <x v="1"/>
    <s v="AH-10690"/>
    <s v="Anna HŠberlin"/>
    <x v="1"/>
    <s v="United States"/>
    <x v="217"/>
    <x v="1"/>
    <x v="0"/>
    <s v="FUR-CH-10003298"/>
    <s v="Furniture"/>
    <x v="1"/>
    <s v="Office Star - Contemporary Task Swivel chair with Loop Arms, Charcoal"/>
    <n v="523.91999999999996"/>
    <n v="5"/>
    <n v="0.2"/>
    <n v="-72.039000000000001"/>
    <x v="1"/>
    <x v="0"/>
  </r>
  <r>
    <s v="CA-2015-113628"/>
    <x v="500"/>
    <d v="2015-11-19T00:00:00"/>
    <x v="1"/>
    <s v="AH-10690"/>
    <s v="Anna HŠberlin"/>
    <x v="1"/>
    <s v="United States"/>
    <x v="217"/>
    <x v="1"/>
    <x v="0"/>
    <s v="FUR-CH-10004477"/>
    <s v="Furniture"/>
    <x v="1"/>
    <s v="Global Push Button Manager's Chair, Indigo"/>
    <n v="146.136"/>
    <n v="3"/>
    <n v="0.2"/>
    <n v="16.440300000000001"/>
    <x v="1"/>
    <x v="0"/>
  </r>
  <r>
    <s v="CA-2015-102582"/>
    <x v="195"/>
    <d v="2015-09-19T00:00:00"/>
    <x v="1"/>
    <s v="NW-18400"/>
    <s v="Natalie Webber"/>
    <x v="0"/>
    <s v="United States"/>
    <x v="212"/>
    <x v="33"/>
    <x v="0"/>
    <s v="FUR-TA-10003569"/>
    <s v="Furniture"/>
    <x v="2"/>
    <s v="Bretford CR8500 Series Meeting Room Furniture"/>
    <n v="801.96"/>
    <n v="2"/>
    <n v="0"/>
    <n v="200.49"/>
    <x v="4"/>
    <x v="4"/>
  </r>
  <r>
    <s v="CA-2015-102582"/>
    <x v="195"/>
    <d v="2015-09-19T00:00:00"/>
    <x v="1"/>
    <s v="NW-18400"/>
    <s v="Natalie Webber"/>
    <x v="0"/>
    <s v="United States"/>
    <x v="212"/>
    <x v="33"/>
    <x v="0"/>
    <s v="FUR-CH-10004853"/>
    <s v="Furniture"/>
    <x v="1"/>
    <s v="Global Manager's Adjustable Task Chair, Storm"/>
    <n v="1056.8599999999999"/>
    <n v="7"/>
    <n v="0"/>
    <n v="306.48939999999999"/>
    <x v="4"/>
    <x v="4"/>
  </r>
  <r>
    <s v="CA-2017-141873"/>
    <x v="224"/>
    <d v="2017-10-14T00:00:00"/>
    <x v="1"/>
    <s v="HG-14845"/>
    <s v="Harry Greene"/>
    <x v="0"/>
    <s v="United States"/>
    <x v="13"/>
    <x v="7"/>
    <x v="2"/>
    <s v="FUR-BO-10003034"/>
    <s v="Furniture"/>
    <x v="0"/>
    <s v="O'Sullivan Elevations Bookcase, Cherry Finish"/>
    <n v="314.35199999999998"/>
    <n v="3"/>
    <n v="0.2"/>
    <n v="-15.717599999999999"/>
    <x v="2"/>
    <x v="1"/>
  </r>
  <r>
    <s v="CA-2017-141733"/>
    <x v="501"/>
    <d v="2017-05-11T00:00:00"/>
    <x v="1"/>
    <s v="RW-19540"/>
    <s v="Rick Wilson"/>
    <x v="1"/>
    <s v="United States"/>
    <x v="25"/>
    <x v="17"/>
    <x v="3"/>
    <s v="FUR-CH-10004086"/>
    <s v="Furniture"/>
    <x v="1"/>
    <s v="Hon 4070 Series Pagoda Armless Upholstered Stacking Chairs"/>
    <n v="1458.65"/>
    <n v="5"/>
    <n v="0"/>
    <n v="423.00850000000003"/>
    <x v="4"/>
    <x v="7"/>
  </r>
  <r>
    <s v="CA-2017-141733"/>
    <x v="501"/>
    <d v="2017-05-11T00:00:00"/>
    <x v="1"/>
    <s v="RW-19540"/>
    <s v="Rick Wilson"/>
    <x v="1"/>
    <s v="United States"/>
    <x v="25"/>
    <x v="17"/>
    <x v="3"/>
    <s v="FUR-CH-10002017"/>
    <s v="Furniture"/>
    <x v="1"/>
    <s v="SAFCO Optional Arm Kit for Workspace Cribbage Stacking Chair"/>
    <n v="26.64"/>
    <n v="1"/>
    <n v="0"/>
    <n v="7.4592000000000001"/>
    <x v="4"/>
    <x v="7"/>
  </r>
  <r>
    <s v="CA-2017-141733"/>
    <x v="501"/>
    <d v="2017-05-11T00:00:00"/>
    <x v="1"/>
    <s v="RW-19540"/>
    <s v="Rick Wilson"/>
    <x v="1"/>
    <s v="United States"/>
    <x v="25"/>
    <x v="17"/>
    <x v="3"/>
    <s v="FUR-CH-10000595"/>
    <s v="Furniture"/>
    <x v="1"/>
    <s v="Safco Contoured Stacking Chairs"/>
    <n v="476.8"/>
    <n v="2"/>
    <n v="0"/>
    <n v="119.2"/>
    <x v="4"/>
    <x v="7"/>
  </r>
  <r>
    <s v="US-2015-111927"/>
    <x v="502"/>
    <d v="2015-11-19T00:00:00"/>
    <x v="1"/>
    <s v="LS-17230"/>
    <s v="Lycoris Saunders"/>
    <x v="0"/>
    <s v="United States"/>
    <x v="63"/>
    <x v="14"/>
    <x v="2"/>
    <s v="FUR-FU-10004017"/>
    <s v="Furniture"/>
    <x v="3"/>
    <s v="Executive Impressions 13&quot; Chairman Wall Clock"/>
    <n v="76.14"/>
    <n v="3"/>
    <n v="0"/>
    <n v="26.649000000000001"/>
    <x v="2"/>
    <x v="0"/>
  </r>
  <r>
    <s v="CA-2014-105984"/>
    <x v="168"/>
    <d v="2014-11-24T00:00:00"/>
    <x v="3"/>
    <s v="MY-18295"/>
    <s v="Muhammed Yedwab"/>
    <x v="1"/>
    <s v="United States"/>
    <x v="29"/>
    <x v="15"/>
    <x v="2"/>
    <s v="FUR-CH-10000847"/>
    <s v="Furniture"/>
    <x v="1"/>
    <s v="Global Executive Mid-Back Manager's Chair"/>
    <n v="611.05799999999999"/>
    <n v="3"/>
    <n v="0.3"/>
    <n v="-34.9176"/>
    <x v="7"/>
    <x v="0"/>
  </r>
  <r>
    <s v="CA-2014-126760"/>
    <x v="503"/>
    <d v="2014-08-02T00:00:00"/>
    <x v="1"/>
    <s v="KM-16720"/>
    <s v="Kunst Miller"/>
    <x v="0"/>
    <s v="United States"/>
    <x v="111"/>
    <x v="34"/>
    <x v="1"/>
    <s v="FUR-CH-10003312"/>
    <s v="Furniture"/>
    <x v="1"/>
    <s v="Hon 2090 ÒPillow SoftÓ Series Mid Back Swivel/Tilt Chairs"/>
    <n v="674.35199999999998"/>
    <n v="3"/>
    <n v="0.2"/>
    <n v="-109.5822"/>
    <x v="1"/>
    <x v="3"/>
  </r>
  <r>
    <s v="CA-2014-126760"/>
    <x v="503"/>
    <d v="2014-08-02T00:00:00"/>
    <x v="1"/>
    <s v="KM-16720"/>
    <s v="Kunst Miller"/>
    <x v="0"/>
    <s v="United States"/>
    <x v="111"/>
    <x v="34"/>
    <x v="1"/>
    <s v="FUR-FU-10004018"/>
    <s v="Furniture"/>
    <x v="3"/>
    <s v="Tensor Computer Mounted Lamp"/>
    <n v="134.01"/>
    <n v="9"/>
    <n v="0"/>
    <n v="36.182699999999997"/>
    <x v="1"/>
    <x v="3"/>
  </r>
  <r>
    <s v="US-2014-109162"/>
    <x v="391"/>
    <d v="2014-06-12T00:00:00"/>
    <x v="1"/>
    <s v="KE-16420"/>
    <s v="Katrina Edelman"/>
    <x v="1"/>
    <s v="United States"/>
    <x v="203"/>
    <x v="9"/>
    <x v="0"/>
    <s v="FUR-CH-10002647"/>
    <s v="Furniture"/>
    <x v="1"/>
    <s v="Situations Contoured Folding Chairs, 4/Set"/>
    <n v="170.352"/>
    <n v="3"/>
    <n v="0.2"/>
    <n v="10.647"/>
    <x v="4"/>
    <x v="2"/>
  </r>
  <r>
    <s v="CA-2014-101931"/>
    <x v="504"/>
    <d v="2014-10-31T00:00:00"/>
    <x v="2"/>
    <s v="TS-21370"/>
    <s v="Todd Sumrall"/>
    <x v="1"/>
    <s v="United States"/>
    <x v="2"/>
    <x v="2"/>
    <x v="1"/>
    <s v="FUR-BO-10001337"/>
    <s v="Furniture"/>
    <x v="0"/>
    <s v="O'Sullivan Living Dimensions 2-Shelf Bookcases"/>
    <n v="616.99800000000005"/>
    <n v="6"/>
    <n v="0.15"/>
    <n v="-36.293999999999997"/>
    <x v="0"/>
    <x v="1"/>
  </r>
  <r>
    <s v="CA-2015-127593"/>
    <x v="231"/>
    <d v="2015-09-21T00:00:00"/>
    <x v="3"/>
    <s v="DH-13675"/>
    <s v="Duane Huffman"/>
    <x v="2"/>
    <s v="United States"/>
    <x v="202"/>
    <x v="20"/>
    <x v="2"/>
    <s v="FUR-FU-10004006"/>
    <s v="Furniture"/>
    <x v="3"/>
    <s v="Deflect-o DuraMat Lighweight, Studded, Beveled Mat for Low Pile Carpeting"/>
    <n v="85.3"/>
    <n v="2"/>
    <n v="0"/>
    <n v="14.500999999999999"/>
    <x v="7"/>
    <x v="4"/>
  </r>
  <r>
    <s v="US-2017-131849"/>
    <x v="505"/>
    <d v="2017-06-10T00:00:00"/>
    <x v="1"/>
    <s v="GH-14410"/>
    <s v="Gary Hansen"/>
    <x v="2"/>
    <s v="United States"/>
    <x v="28"/>
    <x v="2"/>
    <x v="1"/>
    <s v="FUR-FU-10004164"/>
    <s v="Furniture"/>
    <x v="3"/>
    <s v="Eldon 300 Class Desk Accessories, Black"/>
    <n v="4.95"/>
    <n v="1"/>
    <n v="0"/>
    <n v="2.1779999999999999"/>
    <x v="4"/>
    <x v="2"/>
  </r>
  <r>
    <s v="CA-2017-154039"/>
    <x v="506"/>
    <d v="2017-02-22T00:00:00"/>
    <x v="1"/>
    <s v="JK-16120"/>
    <s v="Julie Kriz"/>
    <x v="2"/>
    <s v="United States"/>
    <x v="9"/>
    <x v="8"/>
    <x v="3"/>
    <s v="FUR-TA-10001932"/>
    <s v="Furniture"/>
    <x v="2"/>
    <s v="Chromcraft 48&quot; x 96&quot; Racetrack Double Pedestal Table"/>
    <n v="480.96"/>
    <n v="3"/>
    <n v="0.5"/>
    <n v="-269.33760000000001"/>
    <x v="2"/>
    <x v="11"/>
  </r>
  <r>
    <s v="CA-2015-157133"/>
    <x v="44"/>
    <d v="2015-12-03T00:00:00"/>
    <x v="1"/>
    <s v="LC-16885"/>
    <s v="Lena Creighton"/>
    <x v="0"/>
    <s v="United States"/>
    <x v="225"/>
    <x v="8"/>
    <x v="3"/>
    <s v="FUR-FU-10004904"/>
    <s v="Furniture"/>
    <x v="3"/>
    <s v="Eldon &quot;L&quot; Workstation Diamond Chairmat"/>
    <n v="151.96"/>
    <n v="5"/>
    <n v="0.6"/>
    <n v="-182.352"/>
    <x v="2"/>
    <x v="0"/>
  </r>
  <r>
    <s v="CA-2015-132486"/>
    <x v="507"/>
    <d v="2015-10-27T00:00:00"/>
    <x v="0"/>
    <s v="JF-15355"/>
    <s v="Jay Fein"/>
    <x v="0"/>
    <s v="United States"/>
    <x v="53"/>
    <x v="2"/>
    <x v="1"/>
    <s v="FUR-CH-10004495"/>
    <s v="Furniture"/>
    <x v="1"/>
    <s v="Global Leather and Oak Executive Chair, Black"/>
    <n v="240.78399999999999"/>
    <n v="1"/>
    <n v="0.2"/>
    <n v="27.088200000000001"/>
    <x v="4"/>
    <x v="1"/>
  </r>
  <r>
    <s v="CA-2015-132486"/>
    <x v="507"/>
    <d v="2015-10-27T00:00:00"/>
    <x v="0"/>
    <s v="JF-15355"/>
    <s v="Jay Fein"/>
    <x v="0"/>
    <s v="United States"/>
    <x v="53"/>
    <x v="2"/>
    <x v="1"/>
    <s v="FUR-CH-10004540"/>
    <s v="Furniture"/>
    <x v="1"/>
    <s v="Global Chrome Stack Chair"/>
    <n v="191.96799999999999"/>
    <n v="7"/>
    <n v="0.2"/>
    <n v="16.7972"/>
    <x v="4"/>
    <x v="1"/>
  </r>
  <r>
    <s v="CA-2015-132486"/>
    <x v="507"/>
    <d v="2015-10-27T00:00:00"/>
    <x v="0"/>
    <s v="JF-15355"/>
    <s v="Jay Fein"/>
    <x v="0"/>
    <s v="United States"/>
    <x v="53"/>
    <x v="2"/>
    <x v="1"/>
    <s v="FUR-CH-10001854"/>
    <s v="Furniture"/>
    <x v="1"/>
    <s v="Office Star - Professional Matrix Back Chair with 2-to-1 Synchro Tilt and Mesh Fabric Seat"/>
    <n v="842.35199999999998"/>
    <n v="3"/>
    <n v="0.2"/>
    <n v="42.117600000000003"/>
    <x v="4"/>
    <x v="1"/>
  </r>
  <r>
    <s v="CA-2015-129896"/>
    <x v="508"/>
    <d v="2015-06-20T00:00:00"/>
    <x v="1"/>
    <s v="PF-19120"/>
    <s v="Peter Fuller"/>
    <x v="0"/>
    <s v="United States"/>
    <x v="171"/>
    <x v="22"/>
    <x v="1"/>
    <s v="FUR-FU-10004904"/>
    <s v="Furniture"/>
    <x v="3"/>
    <s v="Eldon &quot;L&quot; Workstation Diamond Chairmat"/>
    <n v="364.70400000000001"/>
    <n v="6"/>
    <n v="0.2"/>
    <n v="-36.470399999999998"/>
    <x v="2"/>
    <x v="2"/>
  </r>
  <r>
    <s v="CA-2015-129896"/>
    <x v="508"/>
    <d v="2015-06-20T00:00:00"/>
    <x v="1"/>
    <s v="PF-19120"/>
    <s v="Peter Fuller"/>
    <x v="0"/>
    <s v="United States"/>
    <x v="171"/>
    <x v="22"/>
    <x v="1"/>
    <s v="FUR-FU-10002396"/>
    <s v="Furniture"/>
    <x v="3"/>
    <s v="DAX Copper Panel Document Frame, 5 x 7 Size"/>
    <n v="40.256"/>
    <n v="4"/>
    <n v="0.2"/>
    <n v="11.070399999999999"/>
    <x v="2"/>
    <x v="2"/>
  </r>
  <r>
    <s v="US-2016-163881"/>
    <x v="243"/>
    <d v="2016-11-30T00:00:00"/>
    <x v="1"/>
    <s v="SP-20860"/>
    <s v="Sung Pak"/>
    <x v="1"/>
    <s v="United States"/>
    <x v="2"/>
    <x v="2"/>
    <x v="1"/>
    <s v="FUR-CH-10001394"/>
    <s v="Furniture"/>
    <x v="1"/>
    <s v="Global Leather Executive Chair"/>
    <n v="1684.752"/>
    <n v="6"/>
    <n v="0.2"/>
    <n v="210.59399999999999"/>
    <x v="6"/>
    <x v="0"/>
  </r>
  <r>
    <s v="CA-2015-167010"/>
    <x v="509"/>
    <d v="2015-04-10T00:00:00"/>
    <x v="1"/>
    <s v="VT-21700"/>
    <s v="Valerie Takahito"/>
    <x v="2"/>
    <s v="United States"/>
    <x v="3"/>
    <x v="3"/>
    <x v="2"/>
    <s v="FUR-FU-10001468"/>
    <s v="Furniture"/>
    <x v="3"/>
    <s v="Tenex Antistatic Computer Chair Mats"/>
    <n v="547.13599999999997"/>
    <n v="4"/>
    <n v="0.2"/>
    <n v="-68.391999999999996"/>
    <x v="2"/>
    <x v="6"/>
  </r>
  <r>
    <s v="CA-2015-167010"/>
    <x v="509"/>
    <d v="2015-04-10T00:00:00"/>
    <x v="1"/>
    <s v="VT-21700"/>
    <s v="Valerie Takahito"/>
    <x v="2"/>
    <s v="United States"/>
    <x v="3"/>
    <x v="3"/>
    <x v="2"/>
    <s v="FUR-FU-10001037"/>
    <s v="Furniture"/>
    <x v="3"/>
    <s v="DAX Charcoal/Nickel-Tone Document Frame, 5 x 7"/>
    <n v="7.5839999999999996"/>
    <n v="1"/>
    <n v="0.2"/>
    <n v="2.37"/>
    <x v="2"/>
    <x v="6"/>
  </r>
  <r>
    <s v="CA-2015-167010"/>
    <x v="509"/>
    <d v="2015-04-10T00:00:00"/>
    <x v="1"/>
    <s v="VT-21700"/>
    <s v="Valerie Takahito"/>
    <x v="2"/>
    <s v="United States"/>
    <x v="3"/>
    <x v="3"/>
    <x v="2"/>
    <s v="FUR-BO-10004218"/>
    <s v="Furniture"/>
    <x v="0"/>
    <s v="Bush Heritage Pine Collection 5-Shelf Bookcase, Albany Pine Finish, *Special Order"/>
    <n v="352.45"/>
    <n v="5"/>
    <n v="0.5"/>
    <n v="-211.47"/>
    <x v="2"/>
    <x v="6"/>
  </r>
  <r>
    <s v="CA-2017-148068"/>
    <x v="510"/>
    <d v="2017-09-25T00:00:00"/>
    <x v="1"/>
    <s v="MM-18280"/>
    <s v="Muhammed MacIntyre"/>
    <x v="1"/>
    <s v="United States"/>
    <x v="13"/>
    <x v="7"/>
    <x v="2"/>
    <s v="FUR-FU-10002268"/>
    <s v="Furniture"/>
    <x v="3"/>
    <s v="Ultra Door Push Plate"/>
    <n v="9.82"/>
    <n v="2"/>
    <n v="0"/>
    <n v="3.2406000000000001"/>
    <x v="1"/>
    <x v="4"/>
  </r>
  <r>
    <s v="US-2017-142573"/>
    <x v="511"/>
    <d v="2017-07-23T00:00:00"/>
    <x v="1"/>
    <s v="ML-17410"/>
    <s v="Maris LaWare"/>
    <x v="0"/>
    <s v="United States"/>
    <x v="43"/>
    <x v="22"/>
    <x v="1"/>
    <s v="FUR-TA-10001932"/>
    <s v="Furniture"/>
    <x v="2"/>
    <s v="Chromcraft 48&quot; x 96&quot; Racetrack Double Pedestal Table"/>
    <n v="801.6"/>
    <n v="5"/>
    <n v="0.5"/>
    <n v="-448.89600000000002"/>
    <x v="2"/>
    <x v="3"/>
  </r>
  <r>
    <s v="US-2017-142573"/>
    <x v="511"/>
    <d v="2017-07-23T00:00:00"/>
    <x v="1"/>
    <s v="ML-17410"/>
    <s v="Maris LaWare"/>
    <x v="0"/>
    <s v="United States"/>
    <x v="43"/>
    <x v="22"/>
    <x v="1"/>
    <s v="FUR-CH-10004218"/>
    <s v="Furniture"/>
    <x v="1"/>
    <s v="Global Fabric Manager's Chair, Dark Gray"/>
    <n v="161.56800000000001"/>
    <n v="2"/>
    <n v="0.2"/>
    <n v="10.098000000000001"/>
    <x v="2"/>
    <x v="3"/>
  </r>
  <r>
    <s v="US-2017-142573"/>
    <x v="511"/>
    <d v="2017-07-23T00:00:00"/>
    <x v="1"/>
    <s v="ML-17410"/>
    <s v="Maris LaWare"/>
    <x v="0"/>
    <s v="United States"/>
    <x v="43"/>
    <x v="22"/>
    <x v="1"/>
    <s v="FUR-CH-10000513"/>
    <s v="Furniture"/>
    <x v="1"/>
    <s v="High-Back Leather Manager's Chair"/>
    <n v="311.976"/>
    <n v="3"/>
    <n v="0.2"/>
    <n v="-42.896700000000003"/>
    <x v="2"/>
    <x v="3"/>
  </r>
  <r>
    <s v="CA-2014-103940"/>
    <x v="512"/>
    <d v="2014-09-21T00:00:00"/>
    <x v="1"/>
    <s v="BN-11515"/>
    <s v="Bradley Nguyen"/>
    <x v="0"/>
    <s v="United States"/>
    <x v="15"/>
    <x v="13"/>
    <x v="1"/>
    <s v="FUR-FU-10004671"/>
    <s v="Furniture"/>
    <x v="3"/>
    <s v="Executive Impressions 12&quot; Wall Clock"/>
    <n v="35.340000000000003"/>
    <n v="2"/>
    <n v="0"/>
    <n v="13.4292"/>
    <x v="4"/>
    <x v="4"/>
  </r>
  <r>
    <s v="CA-2016-162082"/>
    <x v="269"/>
    <d v="2016-03-17T00:00:00"/>
    <x v="2"/>
    <s v="JS-15880"/>
    <s v="John Stevenson"/>
    <x v="0"/>
    <s v="United States"/>
    <x v="226"/>
    <x v="5"/>
    <x v="3"/>
    <s v="FUR-BO-10004409"/>
    <s v="Furniture"/>
    <x v="0"/>
    <s v="Safco Value Mate Series Steel Bookcases, Baked Enamel Finish on Steel, Gray"/>
    <n v="241.33199999999999"/>
    <n v="5"/>
    <n v="0.32"/>
    <n v="-14.196"/>
    <x v="0"/>
    <x v="9"/>
  </r>
  <r>
    <s v="CA-2015-118955"/>
    <x v="513"/>
    <d v="2015-06-20T00:00:00"/>
    <x v="1"/>
    <s v="LS-17230"/>
    <s v="Lycoris Saunders"/>
    <x v="0"/>
    <s v="United States"/>
    <x v="141"/>
    <x v="5"/>
    <x v="3"/>
    <s v="FUR-CH-10001708"/>
    <s v="Furniture"/>
    <x v="1"/>
    <s v="Office Star - Contemporary Swivel Chair with Padded Adjustable Arms and Flex Back"/>
    <n v="197.37200000000001"/>
    <n v="2"/>
    <n v="0.3"/>
    <n v="-25.3764"/>
    <x v="4"/>
    <x v="2"/>
  </r>
  <r>
    <s v="US-2016-143448"/>
    <x v="43"/>
    <d v="2016-12-10T00:00:00"/>
    <x v="3"/>
    <s v="MH-17455"/>
    <s v="Mark Hamilton"/>
    <x v="0"/>
    <s v="United States"/>
    <x v="227"/>
    <x v="6"/>
    <x v="3"/>
    <s v="FUR-CH-10003379"/>
    <s v="Furniture"/>
    <x v="1"/>
    <s v="Global Commerce Series High-Back Swivel/Tilt Chairs"/>
    <n v="1424.9"/>
    <n v="5"/>
    <n v="0"/>
    <n v="356.22500000000002"/>
    <x v="7"/>
    <x v="5"/>
  </r>
  <r>
    <s v="CA-2017-117863"/>
    <x v="514"/>
    <d v="2017-05-23T00:00:00"/>
    <x v="1"/>
    <s v="TS-21340"/>
    <s v="Toby Swindell"/>
    <x v="0"/>
    <s v="United States"/>
    <x v="13"/>
    <x v="7"/>
    <x v="2"/>
    <s v="FUR-FU-10002456"/>
    <s v="Furniture"/>
    <x v="3"/>
    <s v="Master Caster Door Stop, Large Neon Orange"/>
    <n v="14.56"/>
    <n v="2"/>
    <n v="0"/>
    <n v="6.2607999999999997"/>
    <x v="2"/>
    <x v="7"/>
  </r>
  <r>
    <s v="CA-2016-119963"/>
    <x v="515"/>
    <d v="2016-11-22T00:00:00"/>
    <x v="1"/>
    <s v="SN-20710"/>
    <s v="Steve Nguyen"/>
    <x v="2"/>
    <s v="United States"/>
    <x v="102"/>
    <x v="5"/>
    <x v="3"/>
    <s v="FUR-CH-10003817"/>
    <s v="Furniture"/>
    <x v="1"/>
    <s v="Global Value Steno Chair, Gray"/>
    <n v="255.108"/>
    <n v="6"/>
    <n v="0.3"/>
    <n v="-18.222000000000001"/>
    <x v="4"/>
    <x v="0"/>
  </r>
  <r>
    <s v="CA-2014-133228"/>
    <x v="516"/>
    <d v="2014-04-09T00:00:00"/>
    <x v="1"/>
    <s v="MS-17710"/>
    <s v="Maurice Satty"/>
    <x v="0"/>
    <s v="United States"/>
    <x v="25"/>
    <x v="17"/>
    <x v="3"/>
    <s v="FUR-FU-10004020"/>
    <s v="Furniture"/>
    <x v="3"/>
    <s v="Advantus Panel Wall Acrylic Frame"/>
    <n v="5.47"/>
    <n v="1"/>
    <n v="0"/>
    <n v="2.3521000000000001"/>
    <x v="2"/>
    <x v="6"/>
  </r>
  <r>
    <s v="CA-2016-114951"/>
    <x v="517"/>
    <d v="2016-07-03T00:00:00"/>
    <x v="1"/>
    <s v="DN-13690"/>
    <s v="Duane Noonan"/>
    <x v="0"/>
    <s v="United States"/>
    <x v="28"/>
    <x v="2"/>
    <x v="1"/>
    <s v="FUR-FU-10002364"/>
    <s v="Furniture"/>
    <x v="3"/>
    <s v="Eldon Expressions Wood Desk Accessories, Oak"/>
    <n v="22.14"/>
    <n v="3"/>
    <n v="0"/>
    <n v="6.4206000000000003"/>
    <x v="1"/>
    <x v="2"/>
  </r>
  <r>
    <s v="CA-2016-156573"/>
    <x v="518"/>
    <d v="2016-06-02T00:00:00"/>
    <x v="1"/>
    <s v="RB-19360"/>
    <s v="Raymond Buch"/>
    <x v="0"/>
    <s v="United States"/>
    <x v="228"/>
    <x v="9"/>
    <x v="0"/>
    <s v="FUR-FU-10001085"/>
    <s v="Furniture"/>
    <x v="3"/>
    <s v="3M Polarizing Light Filter Sleeves"/>
    <n v="44.76"/>
    <n v="3"/>
    <n v="0.2"/>
    <n v="14.547000000000001"/>
    <x v="4"/>
    <x v="7"/>
  </r>
  <r>
    <s v="CA-2017-134838"/>
    <x v="519"/>
    <d v="2017-02-20T00:00:00"/>
    <x v="2"/>
    <s v="ED-13885"/>
    <s v="Emily Ducich"/>
    <x v="2"/>
    <s v="United States"/>
    <x v="2"/>
    <x v="2"/>
    <x v="1"/>
    <s v="FUR-FU-10004018"/>
    <s v="Furniture"/>
    <x v="3"/>
    <s v="Tensor Computer Mounted Lamp"/>
    <n v="44.67"/>
    <n v="3"/>
    <n v="0"/>
    <n v="12.0609"/>
    <x v="5"/>
    <x v="11"/>
  </r>
  <r>
    <s v="CA-2016-167556"/>
    <x v="477"/>
    <d v="2016-04-02T00:00:00"/>
    <x v="1"/>
    <s v="JM-15250"/>
    <s v="Janet Martin"/>
    <x v="0"/>
    <s v="United States"/>
    <x v="13"/>
    <x v="7"/>
    <x v="2"/>
    <s v="FUR-FU-10004848"/>
    <s v="Furniture"/>
    <x v="3"/>
    <s v="Howard Miller 13-3/4&quot; Diameter Brushed Chrome Round Wall Clock"/>
    <n v="414"/>
    <n v="8"/>
    <n v="0"/>
    <n v="124.2"/>
    <x v="4"/>
    <x v="9"/>
  </r>
  <r>
    <s v="US-2016-116400"/>
    <x v="148"/>
    <d v="2016-10-24T00:00:00"/>
    <x v="2"/>
    <s v="EB-13930"/>
    <s v="Eric Barreto"/>
    <x v="0"/>
    <s v="United States"/>
    <x v="52"/>
    <x v="25"/>
    <x v="0"/>
    <s v="FUR-FU-10003731"/>
    <s v="Furniture"/>
    <x v="3"/>
    <s v="Eldon Expressions Wood and Plastic Desk Accessories, Oak"/>
    <n v="39.92"/>
    <n v="4"/>
    <n v="0"/>
    <n v="11.1776"/>
    <x v="3"/>
    <x v="1"/>
  </r>
  <r>
    <s v="CA-2014-114517"/>
    <x v="520"/>
    <d v="2014-12-27T00:00:00"/>
    <x v="1"/>
    <s v="TH-21235"/>
    <s v="Tiffany House"/>
    <x v="1"/>
    <s v="United States"/>
    <x v="13"/>
    <x v="7"/>
    <x v="2"/>
    <s v="FUR-TA-10001676"/>
    <s v="Furniture"/>
    <x v="2"/>
    <s v="Hon 61000 Series Interactive Training Tables"/>
    <n v="53.316000000000003"/>
    <n v="2"/>
    <n v="0.4"/>
    <n v="-19.549199999999999"/>
    <x v="4"/>
    <x v="5"/>
  </r>
  <r>
    <s v="CA-2017-119564"/>
    <x v="521"/>
    <d v="2017-12-20T00:00:00"/>
    <x v="1"/>
    <s v="PL-18925"/>
    <s v="Paul Lucas"/>
    <x v="2"/>
    <s v="United States"/>
    <x v="15"/>
    <x v="13"/>
    <x v="1"/>
    <s v="FUR-FU-10003096"/>
    <s v="Furniture"/>
    <x v="3"/>
    <s v="Master Giant Foot Doorstop, Safety Yellow"/>
    <n v="22.77"/>
    <n v="3"/>
    <n v="0"/>
    <n v="9.7911000000000001"/>
    <x v="2"/>
    <x v="5"/>
  </r>
  <r>
    <s v="CA-2016-135265"/>
    <x v="281"/>
    <d v="2016-07-09T00:00:00"/>
    <x v="0"/>
    <s v="CC-12370"/>
    <s v="Christopher Conant"/>
    <x v="0"/>
    <s v="United States"/>
    <x v="2"/>
    <x v="2"/>
    <x v="1"/>
    <s v="FUR-CH-10003061"/>
    <s v="Furniture"/>
    <x v="1"/>
    <s v="Global Leather Task Chair, Black"/>
    <n v="287.96800000000002"/>
    <n v="4"/>
    <n v="0.2"/>
    <n v="-3.5996000000000001"/>
    <x v="3"/>
    <x v="3"/>
  </r>
  <r>
    <s v="CA-2016-108735"/>
    <x v="380"/>
    <d v="2016-04-21T00:00:00"/>
    <x v="1"/>
    <s v="JM-15535"/>
    <s v="Jessica Myrick"/>
    <x v="0"/>
    <s v="United States"/>
    <x v="174"/>
    <x v="2"/>
    <x v="1"/>
    <s v="FUR-BO-10003441"/>
    <s v="Furniture"/>
    <x v="0"/>
    <s v="Bush Westfield Collection Bookcases, Fully Assembled"/>
    <n v="257.49900000000002"/>
    <n v="3"/>
    <n v="0.15"/>
    <n v="24.235199999999999"/>
    <x v="4"/>
    <x v="6"/>
  </r>
  <r>
    <s v="US-2016-159415"/>
    <x v="380"/>
    <d v="2016-04-22T00:00:00"/>
    <x v="1"/>
    <s v="CS-12175"/>
    <s v="Charles Sheldon"/>
    <x v="1"/>
    <s v="United States"/>
    <x v="11"/>
    <x v="9"/>
    <x v="0"/>
    <s v="FUR-FU-10003798"/>
    <s v="Furniture"/>
    <x v="3"/>
    <s v="Ultra Door Kickplate, 8&quot;H x 34&quot;W"/>
    <n v="79.12"/>
    <n v="5"/>
    <n v="0.2"/>
    <n v="13.846"/>
    <x v="2"/>
    <x v="6"/>
  </r>
  <r>
    <s v="CA-2014-122588"/>
    <x v="306"/>
    <d v="2014-11-27T00:00:00"/>
    <x v="0"/>
    <s v="AR-10540"/>
    <s v="Andy Reiter"/>
    <x v="0"/>
    <s v="United States"/>
    <x v="229"/>
    <x v="38"/>
    <x v="2"/>
    <s v="FUR-FU-10001095"/>
    <s v="Furniture"/>
    <x v="3"/>
    <s v="DAX Black Cherry Wood-Tone Poster Frame"/>
    <n v="52.96"/>
    <n v="2"/>
    <n v="0"/>
    <n v="20.1248"/>
    <x v="3"/>
    <x v="0"/>
  </r>
  <r>
    <s v="CA-2015-161998"/>
    <x v="522"/>
    <d v="2015-05-05T00:00:00"/>
    <x v="1"/>
    <s v="DB-13120"/>
    <s v="David Bremer"/>
    <x v="1"/>
    <s v="United States"/>
    <x v="26"/>
    <x v="1"/>
    <x v="0"/>
    <s v="FUR-FU-10001095"/>
    <s v="Furniture"/>
    <x v="3"/>
    <s v="DAX Black Cherry Wood-Tone Poster Frame"/>
    <n v="63.552"/>
    <n v="3"/>
    <n v="0.2"/>
    <n v="14.299200000000001"/>
    <x v="4"/>
    <x v="7"/>
  </r>
  <r>
    <s v="CA-2015-105627"/>
    <x v="523"/>
    <d v="2015-03-12T00:00:00"/>
    <x v="1"/>
    <s v="DK-12895"/>
    <s v="Dana Kaydos"/>
    <x v="0"/>
    <s v="United States"/>
    <x v="230"/>
    <x v="16"/>
    <x v="3"/>
    <s v="FUR-BO-10002916"/>
    <s v="Furniture"/>
    <x v="0"/>
    <s v="Rush Hierlooms Collection 1&quot; Thick Stackable Bookcases"/>
    <n v="512.94000000000005"/>
    <n v="3"/>
    <n v="0"/>
    <n v="97.458600000000004"/>
    <x v="4"/>
    <x v="9"/>
  </r>
  <r>
    <s v="CA-2015-105627"/>
    <x v="523"/>
    <d v="2015-03-12T00:00:00"/>
    <x v="1"/>
    <s v="DK-12895"/>
    <s v="Dana Kaydos"/>
    <x v="0"/>
    <s v="United States"/>
    <x v="230"/>
    <x v="16"/>
    <x v="3"/>
    <s v="FUR-CH-10002084"/>
    <s v="Furniture"/>
    <x v="1"/>
    <s v="Hon Mobius Operator's Chair"/>
    <n v="860.93"/>
    <n v="7"/>
    <n v="0"/>
    <n v="189.40459999999999"/>
    <x v="4"/>
    <x v="9"/>
  </r>
  <r>
    <s v="CA-2015-105627"/>
    <x v="523"/>
    <d v="2015-03-12T00:00:00"/>
    <x v="1"/>
    <s v="DK-12895"/>
    <s v="Dana Kaydos"/>
    <x v="0"/>
    <s v="United States"/>
    <x v="230"/>
    <x v="16"/>
    <x v="3"/>
    <s v="FUR-FU-10000308"/>
    <s v="Furniture"/>
    <x v="3"/>
    <s v="Deflect-o Glass Clear Studded Chair Mats"/>
    <n v="373.08"/>
    <n v="6"/>
    <n v="0"/>
    <n v="82.077600000000004"/>
    <x v="4"/>
    <x v="9"/>
  </r>
  <r>
    <s v="US-2015-149629"/>
    <x v="392"/>
    <d v="2015-07-20T00:00:00"/>
    <x v="0"/>
    <s v="MP-17965"/>
    <s v="Michael Paige"/>
    <x v="1"/>
    <s v="United States"/>
    <x v="231"/>
    <x v="1"/>
    <x v="0"/>
    <s v="FUR-BO-10004709"/>
    <s v="Furniture"/>
    <x v="0"/>
    <s v="Bush Westfield Collection Bookcases, Medium Cherry Finish"/>
    <n v="231.92"/>
    <n v="5"/>
    <n v="0.2"/>
    <n v="5.798"/>
    <x v="0"/>
    <x v="3"/>
  </r>
  <r>
    <s v="CA-2014-116834"/>
    <x v="524"/>
    <d v="2014-10-16T00:00:00"/>
    <x v="1"/>
    <s v="Dp-13240"/>
    <s v="Dean percer"/>
    <x v="2"/>
    <s v="United States"/>
    <x v="15"/>
    <x v="13"/>
    <x v="1"/>
    <s v="FUR-FU-10001196"/>
    <s v="Furniture"/>
    <x v="3"/>
    <s v="DAX Cubicle Frames - 8x10"/>
    <n v="63.47"/>
    <n v="11"/>
    <n v="0"/>
    <n v="19.041"/>
    <x v="2"/>
    <x v="1"/>
  </r>
  <r>
    <s v="CA-2016-145730"/>
    <x v="492"/>
    <d v="2016-03-08T00:00:00"/>
    <x v="1"/>
    <s v="CC-12220"/>
    <s v="Chris Cortes"/>
    <x v="0"/>
    <s v="United States"/>
    <x v="21"/>
    <x v="5"/>
    <x v="3"/>
    <s v="FUR-TA-10004915"/>
    <s v="Furniture"/>
    <x v="2"/>
    <s v="Office Impressions End Table, 20-1/2&quot;H x 24&quot;W x 20&quot;D"/>
    <n v="637.89599999999996"/>
    <n v="3"/>
    <n v="0.3"/>
    <n v="-127.5792"/>
    <x v="2"/>
    <x v="9"/>
  </r>
  <r>
    <s v="CA-2017-144463"/>
    <x v="143"/>
    <d v="2017-01-05T00:00:00"/>
    <x v="1"/>
    <s v="SC-20725"/>
    <s v="Steven Cartwright"/>
    <x v="0"/>
    <s v="United States"/>
    <x v="2"/>
    <x v="2"/>
    <x v="1"/>
    <s v="FUR-FU-10001215"/>
    <s v="Furniture"/>
    <x v="3"/>
    <s v="Howard Miller 11-1/2&quot; Diameter Brentwood Wall Clock"/>
    <n v="474.43"/>
    <n v="11"/>
    <n v="0"/>
    <n v="199.26060000000001"/>
    <x v="4"/>
    <x v="8"/>
  </r>
  <r>
    <s v="CA-2014-154963"/>
    <x v="525"/>
    <d v="2014-06-27T00:00:00"/>
    <x v="1"/>
    <s v="AA-10645"/>
    <s v="Anna Andreadi"/>
    <x v="0"/>
    <s v="United States"/>
    <x v="100"/>
    <x v="3"/>
    <x v="2"/>
    <s v="FUR-CH-10004698"/>
    <s v="Furniture"/>
    <x v="1"/>
    <s v="Padded Folding Chairs, Black, 4/Carton"/>
    <n v="170.05799999999999"/>
    <n v="3"/>
    <n v="0.3"/>
    <n v="-4.8587999999999996"/>
    <x v="2"/>
    <x v="2"/>
  </r>
  <r>
    <s v="CA-2014-154963"/>
    <x v="525"/>
    <d v="2014-06-27T00:00:00"/>
    <x v="1"/>
    <s v="AA-10645"/>
    <s v="Anna Andreadi"/>
    <x v="0"/>
    <s v="United States"/>
    <x v="100"/>
    <x v="3"/>
    <x v="2"/>
    <s v="FUR-CH-10000454"/>
    <s v="Furniture"/>
    <x v="1"/>
    <s v="Hon Deluxe Fabric Upholstered Stacking Chairs, Rounded Back"/>
    <n v="853.93"/>
    <n v="5"/>
    <n v="0.3"/>
    <n v="0"/>
    <x v="2"/>
    <x v="2"/>
  </r>
  <r>
    <s v="CA-2017-130764"/>
    <x v="526"/>
    <d v="2017-10-28T00:00:00"/>
    <x v="2"/>
    <s v="JO-15145"/>
    <s v="Jack O'Briant"/>
    <x v="1"/>
    <s v="United States"/>
    <x v="28"/>
    <x v="2"/>
    <x v="1"/>
    <s v="FUR-BO-10003034"/>
    <s v="Furniture"/>
    <x v="0"/>
    <s v="O'Sullivan Elevations Bookcase, Cherry Finish"/>
    <n v="556.66499999999996"/>
    <n v="5"/>
    <n v="0.15"/>
    <n v="6.5490000000000004"/>
    <x v="5"/>
    <x v="1"/>
  </r>
  <r>
    <s v="CA-2017-124296"/>
    <x v="455"/>
    <d v="2017-12-28T00:00:00"/>
    <x v="1"/>
    <s v="CS-12355"/>
    <s v="Christine Sundaresam"/>
    <x v="0"/>
    <s v="United States"/>
    <x v="120"/>
    <x v="35"/>
    <x v="0"/>
    <s v="FUR-CH-10002439"/>
    <s v="Furniture"/>
    <x v="1"/>
    <s v="Iceberg Nesting Folding Chair, 19w x 6d x 43h"/>
    <n v="232.88"/>
    <n v="4"/>
    <n v="0"/>
    <n v="60.5488"/>
    <x v="4"/>
    <x v="5"/>
  </r>
  <r>
    <s v="CA-2014-110786"/>
    <x v="527"/>
    <d v="2015-01-02T00:00:00"/>
    <x v="1"/>
    <s v="AJ-10795"/>
    <s v="Anthony Johnson"/>
    <x v="1"/>
    <s v="United States"/>
    <x v="28"/>
    <x v="2"/>
    <x v="1"/>
    <s v="FUR-FU-10000550"/>
    <s v="Furniture"/>
    <x v="3"/>
    <s v="Stacking Trays by OIC"/>
    <n v="24.9"/>
    <n v="5"/>
    <n v="0"/>
    <n v="8.2170000000000005"/>
    <x v="4"/>
    <x v="5"/>
  </r>
  <r>
    <s v="CA-2014-110786"/>
    <x v="527"/>
    <d v="2015-01-02T00:00:00"/>
    <x v="1"/>
    <s v="AJ-10795"/>
    <s v="Anthony Johnson"/>
    <x v="1"/>
    <s v="United States"/>
    <x v="28"/>
    <x v="2"/>
    <x v="1"/>
    <s v="FUR-FU-10000672"/>
    <s v="Furniture"/>
    <x v="3"/>
    <s v="Executive Impressions 10&quot; Spectator Wall Clock"/>
    <n v="70.56"/>
    <n v="6"/>
    <n v="0"/>
    <n v="23.990400000000001"/>
    <x v="4"/>
    <x v="5"/>
  </r>
  <r>
    <s v="CA-2015-137750"/>
    <x v="528"/>
    <d v="2015-06-30T00:00:00"/>
    <x v="1"/>
    <s v="JF-15565"/>
    <s v="Jill Fjeld"/>
    <x v="0"/>
    <s v="United States"/>
    <x v="28"/>
    <x v="2"/>
    <x v="1"/>
    <s v="FUR-FU-10001979"/>
    <s v="Furniture"/>
    <x v="3"/>
    <s v="Dana Halogen Swing-Arm Architect Lamp"/>
    <n v="204.85"/>
    <n v="5"/>
    <n v="0"/>
    <n v="57.357999999999997"/>
    <x v="2"/>
    <x v="2"/>
  </r>
  <r>
    <s v="CA-2017-136350"/>
    <x v="529"/>
    <d v="2017-06-26T00:00:00"/>
    <x v="0"/>
    <s v="GA-14515"/>
    <s v="George Ashbrook"/>
    <x v="0"/>
    <s v="United States"/>
    <x v="13"/>
    <x v="7"/>
    <x v="2"/>
    <s v="FUR-FU-10003601"/>
    <s v="Furniture"/>
    <x v="3"/>
    <s v="Deflect-o RollaMat Studded, Beveled Mat for Medium Pile Carpeting"/>
    <n v="276.69"/>
    <n v="3"/>
    <n v="0"/>
    <n v="49.804200000000002"/>
    <x v="3"/>
    <x v="2"/>
  </r>
  <r>
    <s v="CA-2017-136350"/>
    <x v="529"/>
    <d v="2017-06-26T00:00:00"/>
    <x v="0"/>
    <s v="GA-14515"/>
    <s v="George Ashbrook"/>
    <x v="0"/>
    <s v="United States"/>
    <x v="13"/>
    <x v="7"/>
    <x v="2"/>
    <s v="FUR-CH-10001891"/>
    <s v="Furniture"/>
    <x v="1"/>
    <s v="Global Deluxe Office Fabric Chairs"/>
    <n v="172.76400000000001"/>
    <n v="2"/>
    <n v="0.1"/>
    <n v="32.633200000000002"/>
    <x v="3"/>
    <x v="2"/>
  </r>
  <r>
    <s v="CA-2014-122931"/>
    <x v="189"/>
    <d v="2014-10-03T00:00:00"/>
    <x v="1"/>
    <s v="SM-20950"/>
    <s v="Suzanne McNair"/>
    <x v="1"/>
    <s v="United States"/>
    <x v="3"/>
    <x v="3"/>
    <x v="2"/>
    <s v="FUR-TA-10004175"/>
    <s v="Furniture"/>
    <x v="2"/>
    <s v="Hon 30&quot; x 60&quot; Table with Locking Drawer"/>
    <n v="409.27199999999999"/>
    <n v="2"/>
    <n v="0.4"/>
    <n v="-81.854399999999998"/>
    <x v="4"/>
    <x v="4"/>
  </r>
  <r>
    <s v="CA-2014-122931"/>
    <x v="189"/>
    <d v="2014-10-03T00:00:00"/>
    <x v="1"/>
    <s v="SM-20950"/>
    <s v="Suzanne McNair"/>
    <x v="1"/>
    <s v="United States"/>
    <x v="3"/>
    <x v="3"/>
    <x v="2"/>
    <s v="FUR-TA-10004147"/>
    <s v="Furniture"/>
    <x v="2"/>
    <s v="Hon 4060 Series Tables"/>
    <n v="67.176000000000002"/>
    <n v="1"/>
    <n v="0.4"/>
    <n v="-20.152799999999999"/>
    <x v="4"/>
    <x v="4"/>
  </r>
  <r>
    <s v="CA-2015-124058"/>
    <x v="141"/>
    <d v="2015-11-24T00:00:00"/>
    <x v="1"/>
    <s v="LC-16885"/>
    <s v="Lena Creighton"/>
    <x v="0"/>
    <s v="United States"/>
    <x v="121"/>
    <x v="2"/>
    <x v="1"/>
    <s v="FUR-CH-10000595"/>
    <s v="Furniture"/>
    <x v="1"/>
    <s v="Safco Contoured Stacking Chairs"/>
    <n v="572.16"/>
    <n v="3"/>
    <n v="0.2"/>
    <n v="35.76"/>
    <x v="4"/>
    <x v="0"/>
  </r>
  <r>
    <s v="CA-2016-145303"/>
    <x v="530"/>
    <d v="2016-08-31T00:00:00"/>
    <x v="2"/>
    <s v="TP-21415"/>
    <s v="Tom Prescott"/>
    <x v="0"/>
    <s v="United States"/>
    <x v="144"/>
    <x v="5"/>
    <x v="3"/>
    <s v="FUR-BO-10003159"/>
    <s v="Furniture"/>
    <x v="0"/>
    <s v="Sauder Camden County Collection Libraries, Planked Cherry Finish"/>
    <n v="156.37280000000001"/>
    <n v="2"/>
    <n v="0.32"/>
    <n v="-52.890799999999999"/>
    <x v="0"/>
    <x v="10"/>
  </r>
  <r>
    <s v="CA-2017-108112"/>
    <x v="531"/>
    <d v="2017-11-20T00:00:00"/>
    <x v="1"/>
    <s v="DK-12895"/>
    <s v="Dana Kaydos"/>
    <x v="0"/>
    <s v="United States"/>
    <x v="232"/>
    <x v="1"/>
    <x v="0"/>
    <s v="FUR-FU-10003553"/>
    <s v="Furniture"/>
    <x v="3"/>
    <s v="Howard Miller 13-1/2&quot; Diameter Rosebrook Wall Clock"/>
    <n v="220.06399999999999"/>
    <n v="4"/>
    <n v="0.2"/>
    <n v="55.015999999999998"/>
    <x v="2"/>
    <x v="0"/>
  </r>
  <r>
    <s v="CA-2017-108112"/>
    <x v="531"/>
    <d v="2017-11-20T00:00:00"/>
    <x v="1"/>
    <s v="DK-12895"/>
    <s v="Dana Kaydos"/>
    <x v="0"/>
    <s v="United States"/>
    <x v="232"/>
    <x v="1"/>
    <x v="0"/>
    <s v="FUR-FU-10001488"/>
    <s v="Furniture"/>
    <x v="3"/>
    <s v="Tenex 46&quot; x 60&quot; Computer Anti-Static Chairmat, Rectangular Shaped"/>
    <n v="339.13600000000002"/>
    <n v="4"/>
    <n v="0.2"/>
    <n v="0"/>
    <x v="2"/>
    <x v="0"/>
  </r>
  <r>
    <s v="US-2014-156559"/>
    <x v="532"/>
    <d v="2014-08-26T00:00:00"/>
    <x v="1"/>
    <s v="LH-16900"/>
    <s v="Lena Hernandez"/>
    <x v="0"/>
    <s v="United States"/>
    <x v="93"/>
    <x v="31"/>
    <x v="0"/>
    <s v="FUR-BO-10000711"/>
    <s v="Furniture"/>
    <x v="0"/>
    <s v="Hon Metal Bookcases, Gray"/>
    <n v="638.82000000000005"/>
    <n v="9"/>
    <n v="0"/>
    <n v="172.48140000000001"/>
    <x v="1"/>
    <x v="10"/>
  </r>
  <r>
    <s v="CA-2017-137456"/>
    <x v="533"/>
    <d v="2017-12-21T00:00:00"/>
    <x v="3"/>
    <s v="RB-19465"/>
    <s v="Rick Bensley"/>
    <x v="2"/>
    <s v="United States"/>
    <x v="233"/>
    <x v="27"/>
    <x v="3"/>
    <s v="FUR-FU-10001940"/>
    <s v="Furniture"/>
    <x v="3"/>
    <s v="Staple-based wall hangings"/>
    <n v="15.92"/>
    <n v="2"/>
    <n v="0"/>
    <n v="7.0048000000000004"/>
    <x v="7"/>
    <x v="5"/>
  </r>
  <r>
    <s v="CA-2015-105599"/>
    <x v="395"/>
    <d v="2015-09-07T00:00:00"/>
    <x v="3"/>
    <s v="MC-17275"/>
    <s v="Marc Crier"/>
    <x v="0"/>
    <s v="United States"/>
    <x v="13"/>
    <x v="7"/>
    <x v="2"/>
    <s v="FUR-TA-10003837"/>
    <s v="Furniture"/>
    <x v="2"/>
    <s v="Anderson Hickey Conga Table Tops &amp; Accessories"/>
    <n v="27.414000000000001"/>
    <n v="3"/>
    <n v="0.4"/>
    <n v="-14.1639"/>
    <x v="7"/>
    <x v="4"/>
  </r>
  <r>
    <s v="CA-2015-153717"/>
    <x v="344"/>
    <d v="2016-01-01T00:00:00"/>
    <x v="1"/>
    <s v="DL-13495"/>
    <s v="Dionis Lloyd"/>
    <x v="1"/>
    <s v="United States"/>
    <x v="25"/>
    <x v="17"/>
    <x v="3"/>
    <s v="FUR-BO-10004360"/>
    <s v="Furniture"/>
    <x v="0"/>
    <s v="Rush Hierlooms Collection Rich Wood Bookcases"/>
    <n v="160.97999999999999"/>
    <n v="1"/>
    <n v="0"/>
    <n v="20.927399999999999"/>
    <x v="1"/>
    <x v="5"/>
  </r>
  <r>
    <s v="CA-2017-123239"/>
    <x v="534"/>
    <d v="2017-07-31T00:00:00"/>
    <x v="0"/>
    <s v="MG-18145"/>
    <s v="Mike Gockenbach"/>
    <x v="0"/>
    <s v="United States"/>
    <x v="51"/>
    <x v="1"/>
    <x v="0"/>
    <s v="FUR-FU-10001602"/>
    <s v="Furniture"/>
    <x v="3"/>
    <s v="Eldon Delta Triangular Chair Mat, 52&quot; x 58&quot;, Clear"/>
    <n v="91.031999999999996"/>
    <n v="3"/>
    <n v="0.2"/>
    <n v="-2.2757999999999998"/>
    <x v="4"/>
    <x v="3"/>
  </r>
  <r>
    <s v="CA-2017-127313"/>
    <x v="451"/>
    <d v="2017-12-04T00:00:00"/>
    <x v="2"/>
    <s v="RA-19285"/>
    <s v="Ralph Arnett"/>
    <x v="0"/>
    <s v="United States"/>
    <x v="3"/>
    <x v="3"/>
    <x v="2"/>
    <s v="FUR-FU-10003798"/>
    <s v="Furniture"/>
    <x v="3"/>
    <s v="Ultra Door Kickplate, 8&quot;H x 34&quot;W"/>
    <n v="79.12"/>
    <n v="5"/>
    <n v="0.2"/>
    <n v="13.846"/>
    <x v="0"/>
    <x v="5"/>
  </r>
  <r>
    <s v="CA-2017-112725"/>
    <x v="129"/>
    <d v="2017-02-06T00:00:00"/>
    <x v="1"/>
    <s v="EH-14125"/>
    <s v="Eugene Hildebrand"/>
    <x v="2"/>
    <s v="United States"/>
    <x v="28"/>
    <x v="2"/>
    <x v="1"/>
    <s v="FUR-CH-10000863"/>
    <s v="Furniture"/>
    <x v="1"/>
    <s v="Novimex Swivel Fabric Task Chair"/>
    <n v="120.78400000000001"/>
    <n v="1"/>
    <n v="0.2"/>
    <n v="-13.588200000000001"/>
    <x v="1"/>
    <x v="8"/>
  </r>
  <r>
    <s v="CA-2015-136196"/>
    <x v="44"/>
    <d v="2015-12-04T00:00:00"/>
    <x v="1"/>
    <s v="TP-21415"/>
    <s v="Tom Prescott"/>
    <x v="0"/>
    <s v="United States"/>
    <x v="234"/>
    <x v="7"/>
    <x v="2"/>
    <s v="FUR-FU-10004017"/>
    <s v="Furniture"/>
    <x v="3"/>
    <s v="Tenex Contemporary Contur Chairmats for Low and Medium Pile Carpet, Computer, 39&quot; x 49&quot;"/>
    <n v="322.58999999999997"/>
    <n v="3"/>
    <n v="0"/>
    <n v="64.518000000000001"/>
    <x v="6"/>
    <x v="0"/>
  </r>
  <r>
    <s v="CA-2014-157924"/>
    <x v="524"/>
    <d v="2014-10-13T00:00:00"/>
    <x v="2"/>
    <s v="HA-14920"/>
    <s v="Helen Andreada"/>
    <x v="0"/>
    <s v="United States"/>
    <x v="102"/>
    <x v="2"/>
    <x v="1"/>
    <s v="FUR-CH-10000229"/>
    <s v="Furniture"/>
    <x v="1"/>
    <s v="Global Enterprise Series Seating High-Back Swivel/Tilt Chairs"/>
    <n v="433.56799999999998"/>
    <n v="2"/>
    <n v="0.2"/>
    <n v="-65.035200000000003"/>
    <x v="3"/>
    <x v="1"/>
  </r>
  <r>
    <s v="CA-2016-143749"/>
    <x v="28"/>
    <d v="2016-12-07T00:00:00"/>
    <x v="2"/>
    <s v="AG-10300"/>
    <s v="Aleksandra Gannaway"/>
    <x v="1"/>
    <s v="United States"/>
    <x v="20"/>
    <x v="20"/>
    <x v="2"/>
    <s v="FUR-BO-10002853"/>
    <s v="Furniture"/>
    <x v="0"/>
    <s v="O'Sullivan 5-Shelf Heavy-Duty Bookcases"/>
    <n v="81.94"/>
    <n v="1"/>
    <n v="0"/>
    <n v="20.484999999999999"/>
    <x v="3"/>
    <x v="5"/>
  </r>
  <r>
    <s v="CA-2015-150875"/>
    <x v="397"/>
    <d v="2015-11-20T00:00:00"/>
    <x v="1"/>
    <s v="HK-14890"/>
    <s v="Heather Kirkland"/>
    <x v="1"/>
    <s v="United States"/>
    <x v="235"/>
    <x v="42"/>
    <x v="1"/>
    <s v="FUR-TA-10000577"/>
    <s v="Furniture"/>
    <x v="2"/>
    <s v="Bretford CR4500 Series Slim Rectangular Table"/>
    <n v="696.42"/>
    <n v="2"/>
    <n v="0"/>
    <n v="160.17660000000001"/>
    <x v="4"/>
    <x v="0"/>
  </r>
  <r>
    <s v="CA-2016-124233"/>
    <x v="57"/>
    <d v="2016-04-14T00:00:00"/>
    <x v="1"/>
    <s v="CK-12595"/>
    <s v="Clytie Kelty"/>
    <x v="0"/>
    <s v="United States"/>
    <x v="2"/>
    <x v="2"/>
    <x v="1"/>
    <s v="FUR-FU-10002597"/>
    <s v="Furniture"/>
    <x v="3"/>
    <s v="C-Line Magnetic Cubicle Keepers, Clear Polypropylene"/>
    <n v="24.7"/>
    <n v="5"/>
    <n v="0"/>
    <n v="10.374000000000001"/>
    <x v="6"/>
    <x v="6"/>
  </r>
  <r>
    <s v="CA-2014-145387"/>
    <x v="314"/>
    <d v="2014-11-02T00:00:00"/>
    <x v="0"/>
    <s v="AM-10705"/>
    <s v="Anne McFarland"/>
    <x v="0"/>
    <s v="United States"/>
    <x v="236"/>
    <x v="38"/>
    <x v="2"/>
    <s v="FUR-FU-10002364"/>
    <s v="Furniture"/>
    <x v="3"/>
    <s v="Eldon Expressions Wood Desk Accessories, Oak"/>
    <n v="14.76"/>
    <n v="2"/>
    <n v="0"/>
    <n v="4.2804000000000002"/>
    <x v="3"/>
    <x v="1"/>
  </r>
  <r>
    <s v="CA-2014-145387"/>
    <x v="314"/>
    <d v="2014-11-02T00:00:00"/>
    <x v="0"/>
    <s v="AM-10705"/>
    <s v="Anne McFarland"/>
    <x v="0"/>
    <s v="United States"/>
    <x v="236"/>
    <x v="38"/>
    <x v="2"/>
    <s v="FUR-FU-10000023"/>
    <s v="Furniture"/>
    <x v="3"/>
    <s v="Eldon Wave Desk Accessories"/>
    <n v="17.670000000000002"/>
    <n v="3"/>
    <n v="0"/>
    <n v="7.7747999999999999"/>
    <x v="3"/>
    <x v="1"/>
  </r>
  <r>
    <s v="CA-2014-145387"/>
    <x v="314"/>
    <d v="2014-11-02T00:00:00"/>
    <x v="0"/>
    <s v="AM-10705"/>
    <s v="Anne McFarland"/>
    <x v="0"/>
    <s v="United States"/>
    <x v="236"/>
    <x v="38"/>
    <x v="2"/>
    <s v="FUR-CH-10002320"/>
    <s v="Furniture"/>
    <x v="1"/>
    <s v="Hon Pagoda Stacking Chairs"/>
    <n v="1604.9"/>
    <n v="5"/>
    <n v="0"/>
    <n v="481.47"/>
    <x v="3"/>
    <x v="1"/>
  </r>
  <r>
    <s v="CA-2014-145387"/>
    <x v="314"/>
    <d v="2014-11-02T00:00:00"/>
    <x v="0"/>
    <s v="AM-10705"/>
    <s v="Anne McFarland"/>
    <x v="0"/>
    <s v="United States"/>
    <x v="236"/>
    <x v="38"/>
    <x v="2"/>
    <s v="FUR-TA-10003238"/>
    <s v="Furniture"/>
    <x v="2"/>
    <s v="Chromcraft Bull-Nose Wood 48&quot; x 96&quot; Rectangular Conference Tables"/>
    <n v="385.68599999999998"/>
    <n v="1"/>
    <n v="0.3"/>
    <n v="-60.607799999999997"/>
    <x v="3"/>
    <x v="1"/>
  </r>
  <r>
    <s v="CA-2017-149881"/>
    <x v="535"/>
    <d v="2017-04-03T00:00:00"/>
    <x v="2"/>
    <s v="NC-18535"/>
    <s v="Nick Crebassa"/>
    <x v="1"/>
    <s v="United States"/>
    <x v="28"/>
    <x v="2"/>
    <x v="1"/>
    <s v="FUR-BO-10003894"/>
    <s v="Furniture"/>
    <x v="0"/>
    <s v="Safco Value Mate Steel Bookcase, Baked Enamel Finish on Steel, Black"/>
    <n v="482.66399999999999"/>
    <n v="8"/>
    <n v="0.15"/>
    <n v="85.176000000000002"/>
    <x v="3"/>
    <x v="6"/>
  </r>
  <r>
    <s v="CA-2017-134565"/>
    <x v="343"/>
    <d v="2017-06-13T00:00:00"/>
    <x v="0"/>
    <s v="TB-21400"/>
    <s v="Tom Boeckenhauer"/>
    <x v="0"/>
    <s v="United States"/>
    <x v="15"/>
    <x v="13"/>
    <x v="1"/>
    <s v="FUR-BO-10001519"/>
    <s v="Furniture"/>
    <x v="0"/>
    <s v="O'Sullivan 3-Shelf Heavy-Duty Bookcases"/>
    <n v="174.42"/>
    <n v="3"/>
    <n v="0"/>
    <n v="41.860799999999998"/>
    <x v="3"/>
    <x v="2"/>
  </r>
  <r>
    <s v="US-2014-102631"/>
    <x v="536"/>
    <d v="2014-12-17T00:00:00"/>
    <x v="1"/>
    <s v="EB-13840"/>
    <s v="Ellis Ballard"/>
    <x v="1"/>
    <s v="United States"/>
    <x v="9"/>
    <x v="8"/>
    <x v="3"/>
    <s v="FUR-FU-10003930"/>
    <s v="Furniture"/>
    <x v="3"/>
    <s v="Howard Miller 12-3/4 Diameter Accuwave DS  Wall Clock"/>
    <n v="94.427999999999997"/>
    <n v="3"/>
    <n v="0.6"/>
    <n v="-42.492600000000003"/>
    <x v="4"/>
    <x v="5"/>
  </r>
  <r>
    <s v="CA-2015-154970"/>
    <x v="537"/>
    <d v="2015-01-10T00:00:00"/>
    <x v="1"/>
    <s v="SR-20740"/>
    <s v="Steven Roelle"/>
    <x v="2"/>
    <s v="United States"/>
    <x v="15"/>
    <x v="13"/>
    <x v="1"/>
    <s v="FUR-CH-10003396"/>
    <s v="Furniture"/>
    <x v="1"/>
    <s v="Global Deluxe Steno Chair"/>
    <n v="61.584000000000003"/>
    <n v="1"/>
    <n v="0.2"/>
    <n v="-6.9282000000000004"/>
    <x v="2"/>
    <x v="8"/>
  </r>
  <r>
    <s v="CA-2017-100223"/>
    <x v="538"/>
    <d v="2017-07-10T00:00:00"/>
    <x v="1"/>
    <s v="LS-16945"/>
    <s v="Linda Southworth"/>
    <x v="1"/>
    <s v="United States"/>
    <x v="144"/>
    <x v="5"/>
    <x v="3"/>
    <s v="FUR-FU-10003601"/>
    <s v="Furniture"/>
    <x v="3"/>
    <s v="Deflect-o RollaMat Studded, Beveled Mat for Medium Pile Carpeting"/>
    <n v="332.02800000000002"/>
    <n v="9"/>
    <n v="0.6"/>
    <n v="-348.62939999999998"/>
    <x v="2"/>
    <x v="3"/>
  </r>
  <r>
    <s v="CA-2017-117702"/>
    <x v="156"/>
    <d v="2017-12-04T00:00:00"/>
    <x v="1"/>
    <s v="LS-16975"/>
    <s v="Lindsay Shagiari"/>
    <x v="2"/>
    <s v="United States"/>
    <x v="237"/>
    <x v="32"/>
    <x v="2"/>
    <s v="FUR-FU-10000576"/>
    <s v="Furniture"/>
    <x v="3"/>
    <s v="Luxo Professional Fluorescent Magnifier Lamp with Clamp-Mount Base"/>
    <n v="1049.2"/>
    <n v="5"/>
    <n v="0"/>
    <n v="272.79199999999997"/>
    <x v="6"/>
    <x v="0"/>
  </r>
  <r>
    <s v="CA-2017-117702"/>
    <x v="156"/>
    <d v="2017-12-04T00:00:00"/>
    <x v="1"/>
    <s v="LS-16975"/>
    <s v="Lindsay Shagiari"/>
    <x v="2"/>
    <s v="United States"/>
    <x v="237"/>
    <x v="32"/>
    <x v="2"/>
    <s v="FUR-FU-10004270"/>
    <s v="Furniture"/>
    <x v="3"/>
    <s v="Eldon Image Series Desk Accessories, Burgundy"/>
    <n v="20.9"/>
    <n v="5"/>
    <n v="0"/>
    <n v="7.524"/>
    <x v="6"/>
    <x v="0"/>
  </r>
  <r>
    <s v="CA-2016-157336"/>
    <x v="193"/>
    <d v="2016-12-05T00:00:00"/>
    <x v="0"/>
    <s v="SJ-20500"/>
    <s v="Shirley Jackson"/>
    <x v="0"/>
    <s v="United States"/>
    <x v="130"/>
    <x v="19"/>
    <x v="2"/>
    <s v="FUR-CH-10004997"/>
    <s v="Furniture"/>
    <x v="1"/>
    <s v="Hon Every-Day Series Multi-Task Chairs"/>
    <n v="751.92"/>
    <n v="4"/>
    <n v="0"/>
    <n v="150.38399999999999"/>
    <x v="4"/>
    <x v="5"/>
  </r>
  <r>
    <s v="CA-2014-168130"/>
    <x v="539"/>
    <d v="2014-09-19T00:00:00"/>
    <x v="3"/>
    <s v="BS-11365"/>
    <s v="Bill Shonely"/>
    <x v="1"/>
    <s v="United States"/>
    <x v="13"/>
    <x v="7"/>
    <x v="2"/>
    <s v="FUR-CH-10000988"/>
    <s v="Furniture"/>
    <x v="1"/>
    <s v="Hon Olson Stacker Stools"/>
    <n v="887.10299999999995"/>
    <n v="7"/>
    <n v="0.1"/>
    <n v="177.42060000000001"/>
    <x v="7"/>
    <x v="4"/>
  </r>
  <r>
    <s v="CA-2017-163160"/>
    <x v="540"/>
    <d v="2017-10-16T00:00:00"/>
    <x v="2"/>
    <s v="TS-21610"/>
    <s v="Troy Staebel"/>
    <x v="0"/>
    <s v="United States"/>
    <x v="234"/>
    <x v="8"/>
    <x v="3"/>
    <s v="FUR-FU-10001424"/>
    <s v="Furniture"/>
    <x v="3"/>
    <s v="Dax Clear Box Frame"/>
    <n v="10.476000000000001"/>
    <n v="3"/>
    <n v="0.6"/>
    <n v="-6.8094000000000001"/>
    <x v="0"/>
    <x v="1"/>
  </r>
  <r>
    <s v="CA-2016-124793"/>
    <x v="269"/>
    <d v="2016-03-16T00:00:00"/>
    <x v="2"/>
    <s v="MM-18280"/>
    <s v="Muhammed MacIntyre"/>
    <x v="1"/>
    <s v="United States"/>
    <x v="15"/>
    <x v="13"/>
    <x v="1"/>
    <s v="FUR-CH-10002880"/>
    <s v="Furniture"/>
    <x v="1"/>
    <s v="Global High-Back Leather Tilter, Burgundy"/>
    <n v="196.78399999999999"/>
    <n v="2"/>
    <n v="0.2"/>
    <n v="-22.138200000000001"/>
    <x v="3"/>
    <x v="9"/>
  </r>
  <r>
    <s v="US-2016-131611"/>
    <x v="541"/>
    <d v="2016-11-09T00:00:00"/>
    <x v="1"/>
    <s v="EP-13915"/>
    <s v="Emily Phan"/>
    <x v="0"/>
    <s v="United States"/>
    <x v="6"/>
    <x v="5"/>
    <x v="3"/>
    <s v="FUR-TA-10002774"/>
    <s v="Furniture"/>
    <x v="2"/>
    <s v="Laminate Occasional Tables"/>
    <n v="863.12800000000004"/>
    <n v="8"/>
    <n v="0.3"/>
    <n v="-160.29519999999999"/>
    <x v="4"/>
    <x v="0"/>
  </r>
  <r>
    <s v="US-2016-131611"/>
    <x v="541"/>
    <d v="2016-11-09T00:00:00"/>
    <x v="1"/>
    <s v="EP-13915"/>
    <s v="Emily Phan"/>
    <x v="0"/>
    <s v="United States"/>
    <x v="6"/>
    <x v="5"/>
    <x v="3"/>
    <s v="FUR-BO-10000780"/>
    <s v="Furniture"/>
    <x v="0"/>
    <s v="O'Sullivan Plantations 2-Door Library in Landvery Oak"/>
    <n v="956.66480000000001"/>
    <n v="7"/>
    <n v="0.32"/>
    <n v="-225.0976"/>
    <x v="4"/>
    <x v="0"/>
  </r>
  <r>
    <s v="US-2017-124821"/>
    <x v="542"/>
    <d v="2017-06-29T00:00:00"/>
    <x v="0"/>
    <s v="AM-10705"/>
    <s v="Anne McFarland"/>
    <x v="0"/>
    <s v="United States"/>
    <x v="15"/>
    <x v="13"/>
    <x v="1"/>
    <s v="FUR-TA-10000688"/>
    <s v="Furniture"/>
    <x v="2"/>
    <s v="Chromcraft Bull-Nose Wood Round Conference Table Top, Wood Base"/>
    <n v="871.4"/>
    <n v="4"/>
    <n v="0"/>
    <n v="148.13800000000001"/>
    <x v="4"/>
    <x v="2"/>
  </r>
  <r>
    <s v="CA-2015-166975"/>
    <x v="543"/>
    <d v="2015-11-30T00:00:00"/>
    <x v="1"/>
    <s v="SH-20635"/>
    <s v="Stefanie Holloman"/>
    <x v="1"/>
    <s v="United States"/>
    <x v="38"/>
    <x v="9"/>
    <x v="0"/>
    <s v="FUR-FU-10003930"/>
    <s v="Furniture"/>
    <x v="3"/>
    <s v="Howard Miller 12-3/4 Diameter Accuwave DS  Wall Clock"/>
    <n v="692.47199999999998"/>
    <n v="11"/>
    <n v="0.2"/>
    <n v="190.4298"/>
    <x v="4"/>
    <x v="0"/>
  </r>
  <r>
    <s v="CA-2016-123806"/>
    <x v="243"/>
    <d v="2016-11-27T00:00:00"/>
    <x v="0"/>
    <s v="LA-16780"/>
    <s v="Laura Armstrong"/>
    <x v="1"/>
    <s v="United States"/>
    <x v="237"/>
    <x v="32"/>
    <x v="2"/>
    <s v="FUR-FU-10000965"/>
    <s v="Furniture"/>
    <x v="3"/>
    <s v="Howard Miller 11-1/2&quot; Diameter Ridgewood Wall Clock"/>
    <n v="207.76"/>
    <n v="4"/>
    <n v="0"/>
    <n v="85.181600000000003"/>
    <x v="0"/>
    <x v="0"/>
  </r>
  <r>
    <s v="US-2016-107440"/>
    <x v="544"/>
    <d v="2016-04-20T00:00:00"/>
    <x v="1"/>
    <s v="BS-11365"/>
    <s v="Bill Shonely"/>
    <x v="1"/>
    <s v="United States"/>
    <x v="174"/>
    <x v="18"/>
    <x v="2"/>
    <s v="FUR-FU-10000550"/>
    <s v="Furniture"/>
    <x v="3"/>
    <s v="Stacking Trays by OIC"/>
    <n v="9.9600000000000009"/>
    <n v="2"/>
    <n v="0"/>
    <n v="3.2867999999999999"/>
    <x v="4"/>
    <x v="6"/>
  </r>
  <r>
    <s v="CA-2014-166989"/>
    <x v="545"/>
    <d v="2014-11-18T00:00:00"/>
    <x v="1"/>
    <s v="RM-19675"/>
    <s v="Robert Marley"/>
    <x v="2"/>
    <s v="United States"/>
    <x v="13"/>
    <x v="7"/>
    <x v="2"/>
    <s v="FUR-CH-10001797"/>
    <s v="Furniture"/>
    <x v="1"/>
    <s v="Safco Chair Connectors, 6/Carton"/>
    <n v="69.263999999999996"/>
    <n v="2"/>
    <n v="0.1"/>
    <n v="14.622400000000001"/>
    <x v="4"/>
    <x v="0"/>
  </r>
  <r>
    <s v="CA-2015-105690"/>
    <x v="32"/>
    <d v="2015-11-26T00:00:00"/>
    <x v="0"/>
    <s v="CA-11965"/>
    <s v="Carol Adams"/>
    <x v="1"/>
    <s v="United States"/>
    <x v="238"/>
    <x v="5"/>
    <x v="3"/>
    <s v="FUR-BO-10003965"/>
    <s v="Furniture"/>
    <x v="0"/>
    <s v="O'Sullivan Manor Hill 2-Door Library in Brianna Oak"/>
    <n v="246.1328"/>
    <n v="2"/>
    <n v="0.32"/>
    <n v="-76.011600000000001"/>
    <x v="2"/>
    <x v="0"/>
  </r>
  <r>
    <s v="CA-2017-102407"/>
    <x v="13"/>
    <d v="2017-12-13T00:00:00"/>
    <x v="0"/>
    <s v="AT-10435"/>
    <s v="Alyssa Tate"/>
    <x v="2"/>
    <s v="United States"/>
    <x v="2"/>
    <x v="2"/>
    <x v="1"/>
    <s v="FUR-TA-10003748"/>
    <s v="Furniture"/>
    <x v="2"/>
    <s v="Bevis 36 x 72 Conference Tables"/>
    <n v="896.32799999999997"/>
    <n v="9"/>
    <n v="0.2"/>
    <n v="22.408200000000001"/>
    <x v="4"/>
    <x v="5"/>
  </r>
  <r>
    <s v="CA-2017-101581"/>
    <x v="546"/>
    <d v="2017-10-27T00:00:00"/>
    <x v="1"/>
    <s v="DW-13195"/>
    <s v="David Wiener"/>
    <x v="1"/>
    <s v="United States"/>
    <x v="125"/>
    <x v="36"/>
    <x v="1"/>
    <s v="FUR-TA-10002607"/>
    <s v="Furniture"/>
    <x v="2"/>
    <s v="KI Conference Tables"/>
    <n v="177.22499999999999"/>
    <n v="5"/>
    <n v="0.5"/>
    <n v="-120.51300000000001"/>
    <x v="2"/>
    <x v="1"/>
  </r>
  <r>
    <s v="CA-2017-169124"/>
    <x v="209"/>
    <d v="2017-07-10T00:00:00"/>
    <x v="1"/>
    <s v="MB-17305"/>
    <s v="Maria Bertelson"/>
    <x v="0"/>
    <s v="United States"/>
    <x v="239"/>
    <x v="2"/>
    <x v="1"/>
    <s v="FUR-FU-10001215"/>
    <s v="Furniture"/>
    <x v="3"/>
    <s v="Howard Miller 11-1/2&quot; Diameter Brentwood Wall Clock"/>
    <n v="129.38999999999999"/>
    <n v="3"/>
    <n v="0"/>
    <n v="54.343800000000002"/>
    <x v="1"/>
    <x v="3"/>
  </r>
  <r>
    <s v="CA-2017-129021"/>
    <x v="547"/>
    <d v="2017-08-26T00:00:00"/>
    <x v="0"/>
    <s v="PO-18850"/>
    <s v="Patrick O'Brill"/>
    <x v="0"/>
    <s v="United States"/>
    <x v="199"/>
    <x v="1"/>
    <x v="0"/>
    <s v="FUR-FU-10001852"/>
    <s v="Furniture"/>
    <x v="3"/>
    <s v="Eldon Regeneration Recycled Desk Accessories, Smoke"/>
    <n v="2.7839999999999998"/>
    <n v="2"/>
    <n v="0.2"/>
    <n v="0.41760000000000003"/>
    <x v="0"/>
    <x v="10"/>
  </r>
  <r>
    <s v="CA-2014-162278"/>
    <x v="548"/>
    <d v="2014-10-30T00:00:00"/>
    <x v="0"/>
    <s v="AH-10585"/>
    <s v="Angele Hood"/>
    <x v="0"/>
    <s v="United States"/>
    <x v="15"/>
    <x v="13"/>
    <x v="1"/>
    <s v="FUR-FU-10000448"/>
    <s v="Furniture"/>
    <x v="3"/>
    <s v="Tenex Chairmats For Use With Carpeted Floors"/>
    <n v="63.92"/>
    <n v="4"/>
    <n v="0"/>
    <n v="3.1960000000000002"/>
    <x v="4"/>
    <x v="1"/>
  </r>
  <r>
    <s v="CA-2014-125829"/>
    <x v="53"/>
    <d v="2014-11-11T00:00:00"/>
    <x v="1"/>
    <s v="WB-21850"/>
    <s v="William Brown"/>
    <x v="0"/>
    <s v="United States"/>
    <x v="2"/>
    <x v="2"/>
    <x v="1"/>
    <s v="FUR-TA-10002041"/>
    <s v="Furniture"/>
    <x v="2"/>
    <s v="Bevis Round Conference Table Top, X-Base"/>
    <n v="573.72799999999995"/>
    <n v="4"/>
    <n v="0.2"/>
    <n v="-64.544399999999996"/>
    <x v="1"/>
    <x v="0"/>
  </r>
  <r>
    <s v="US-2017-136189"/>
    <x v="549"/>
    <d v="2017-12-11T00:00:00"/>
    <x v="1"/>
    <s v="DC-13285"/>
    <s v="Debra Catini"/>
    <x v="0"/>
    <s v="United States"/>
    <x v="52"/>
    <x v="25"/>
    <x v="0"/>
    <s v="FUR-FU-10000175"/>
    <s v="Furniture"/>
    <x v="3"/>
    <s v="DAX Wood Document Frame."/>
    <n v="82.38"/>
    <n v="6"/>
    <n v="0"/>
    <n v="25.537800000000001"/>
    <x v="4"/>
    <x v="5"/>
  </r>
  <r>
    <s v="CA-2015-154795"/>
    <x v="274"/>
    <d v="2015-12-24T00:00:00"/>
    <x v="1"/>
    <s v="GZ-14470"/>
    <s v="Gary Zandusky"/>
    <x v="0"/>
    <s v="United States"/>
    <x v="240"/>
    <x v="22"/>
    <x v="1"/>
    <s v="FUR-FU-10002088"/>
    <s v="Furniture"/>
    <x v="3"/>
    <s v="Nu-Dell Float Frame 11 x 14 1/2"/>
    <n v="14.368"/>
    <n v="2"/>
    <n v="0.2"/>
    <n v="3.9512"/>
    <x v="4"/>
    <x v="5"/>
  </r>
  <r>
    <s v="CA-2016-120355"/>
    <x v="126"/>
    <d v="2016-09-25T00:00:00"/>
    <x v="1"/>
    <s v="MM-17260"/>
    <s v="Magdelene Morse"/>
    <x v="0"/>
    <s v="United States"/>
    <x v="241"/>
    <x v="7"/>
    <x v="2"/>
    <s v="FUR-CH-10001394"/>
    <s v="Furniture"/>
    <x v="1"/>
    <s v="Global Leather Executive Chair"/>
    <n v="631.78200000000004"/>
    <n v="2"/>
    <n v="0.1"/>
    <n v="140.39599999999999"/>
    <x v="1"/>
    <x v="4"/>
  </r>
  <r>
    <s v="CA-2016-120355"/>
    <x v="126"/>
    <d v="2016-09-25T00:00:00"/>
    <x v="1"/>
    <s v="MM-17260"/>
    <s v="Magdelene Morse"/>
    <x v="0"/>
    <s v="United States"/>
    <x v="241"/>
    <x v="7"/>
    <x v="2"/>
    <s v="FUR-FU-10004053"/>
    <s v="Furniture"/>
    <x v="3"/>
    <s v="DAX Two-Tone Silver Metal Document Frame"/>
    <n v="60.72"/>
    <n v="3"/>
    <n v="0"/>
    <n v="26.1096"/>
    <x v="1"/>
    <x v="4"/>
  </r>
  <r>
    <s v="CA-2017-162565"/>
    <x v="246"/>
    <d v="2017-12-11T00:00:00"/>
    <x v="3"/>
    <s v="RR-19315"/>
    <s v="Ralph Ritter"/>
    <x v="0"/>
    <s v="United States"/>
    <x v="14"/>
    <x v="8"/>
    <x v="3"/>
    <s v="FUR-FU-10004306"/>
    <s v="Furniture"/>
    <x v="3"/>
    <s v="Electrix Halogen Magnifier Lamp"/>
    <n v="77.72"/>
    <n v="1"/>
    <n v="0.6"/>
    <n v="-66.061999999999998"/>
    <x v="7"/>
    <x v="5"/>
  </r>
  <r>
    <s v="CA-2017-162565"/>
    <x v="246"/>
    <d v="2017-12-11T00:00:00"/>
    <x v="3"/>
    <s v="RR-19315"/>
    <s v="Ralph Ritter"/>
    <x v="0"/>
    <s v="United States"/>
    <x v="14"/>
    <x v="8"/>
    <x v="3"/>
    <s v="FUR-CH-10003973"/>
    <s v="Furniture"/>
    <x v="1"/>
    <s v="GuestStacker Chair with Chrome Finish Legs"/>
    <n v="520.46400000000006"/>
    <n v="2"/>
    <n v="0.3"/>
    <n v="-14.8704"/>
    <x v="7"/>
    <x v="5"/>
  </r>
  <r>
    <s v="CA-2014-166954"/>
    <x v="550"/>
    <d v="2014-04-30T00:00:00"/>
    <x v="1"/>
    <s v="BT-11305"/>
    <s v="Beth Thompson"/>
    <x v="2"/>
    <s v="United States"/>
    <x v="242"/>
    <x v="2"/>
    <x v="1"/>
    <s v="FUR-FU-10003708"/>
    <s v="Furniture"/>
    <x v="3"/>
    <s v="Tenex Traditional Chairmats for Medium Pile Carpet, Standard Lip, 36&quot; x 48&quot;"/>
    <n v="303.25"/>
    <n v="5"/>
    <n v="0"/>
    <n v="63.682499999999997"/>
    <x v="2"/>
    <x v="6"/>
  </r>
  <r>
    <s v="CA-2014-166954"/>
    <x v="550"/>
    <d v="2014-04-30T00:00:00"/>
    <x v="1"/>
    <s v="BT-11305"/>
    <s v="Beth Thompson"/>
    <x v="2"/>
    <s v="United States"/>
    <x v="242"/>
    <x v="2"/>
    <x v="1"/>
    <s v="FUR-CH-10003973"/>
    <s v="Furniture"/>
    <x v="1"/>
    <s v="GuestStacker Chair with Chrome Finish Legs"/>
    <n v="1487.04"/>
    <n v="5"/>
    <n v="0.2"/>
    <n v="148.70400000000001"/>
    <x v="2"/>
    <x v="6"/>
  </r>
  <r>
    <s v="CA-2015-152891"/>
    <x v="551"/>
    <d v="2015-10-30T00:00:00"/>
    <x v="1"/>
    <s v="TB-21625"/>
    <s v="Trudy Brown"/>
    <x v="0"/>
    <s v="United States"/>
    <x v="28"/>
    <x v="2"/>
    <x v="1"/>
    <s v="FUR-TA-10001857"/>
    <s v="Furniture"/>
    <x v="2"/>
    <s v="Balt Solid Wood Rectangular Table"/>
    <n v="253.17599999999999"/>
    <n v="3"/>
    <n v="0.2"/>
    <n v="-31.646999999999998"/>
    <x v="2"/>
    <x v="1"/>
  </r>
  <r>
    <s v="US-2015-122784"/>
    <x v="552"/>
    <d v="2015-07-27T00:00:00"/>
    <x v="1"/>
    <s v="RA-19915"/>
    <s v="Russell Applegate"/>
    <x v="0"/>
    <s v="United States"/>
    <x v="185"/>
    <x v="8"/>
    <x v="3"/>
    <s v="FUR-BO-10004690"/>
    <s v="Furniture"/>
    <x v="0"/>
    <s v="O'Sullivan Cherrywood Estates Traditional Barrister Bookcase"/>
    <n v="384.94400000000002"/>
    <n v="4"/>
    <n v="0.3"/>
    <n v="-126.4816"/>
    <x v="1"/>
    <x v="3"/>
  </r>
  <r>
    <s v="US-2015-122784"/>
    <x v="552"/>
    <d v="2015-07-27T00:00:00"/>
    <x v="1"/>
    <s v="RA-19915"/>
    <s v="Russell Applegate"/>
    <x v="0"/>
    <s v="United States"/>
    <x v="185"/>
    <x v="8"/>
    <x v="3"/>
    <s v="FUR-BO-10002545"/>
    <s v="Furniture"/>
    <x v="0"/>
    <s v="Atlantic Metals Mobile 3-Shelf Bookcases, Custom Colors"/>
    <n v="913.43"/>
    <n v="5"/>
    <n v="0.3"/>
    <n v="-52.195999999999998"/>
    <x v="1"/>
    <x v="3"/>
  </r>
  <r>
    <s v="CA-2017-111556"/>
    <x v="93"/>
    <d v="2017-11-22T00:00:00"/>
    <x v="2"/>
    <s v="CD-11920"/>
    <s v="Carlos Daly"/>
    <x v="0"/>
    <s v="United States"/>
    <x v="13"/>
    <x v="7"/>
    <x v="2"/>
    <s v="FUR-BO-10003159"/>
    <s v="Furniture"/>
    <x v="0"/>
    <s v="Sauder Camden County Collection Libraries, Planked Cherry Finish"/>
    <n v="183.96799999999999"/>
    <n v="2"/>
    <n v="0.2"/>
    <n v="-25.2956"/>
    <x v="3"/>
    <x v="0"/>
  </r>
  <r>
    <s v="US-2014-138758"/>
    <x v="553"/>
    <d v="2014-07-11T00:00:00"/>
    <x v="1"/>
    <s v="JL-15835"/>
    <s v="John Lee"/>
    <x v="0"/>
    <s v="United States"/>
    <x v="3"/>
    <x v="3"/>
    <x v="2"/>
    <s v="FUR-CH-10002880"/>
    <s v="Furniture"/>
    <x v="1"/>
    <s v="Global High-Back Leather Tilter, Burgundy"/>
    <n v="172.18600000000001"/>
    <n v="2"/>
    <n v="0.3"/>
    <n v="-46.736199999999997"/>
    <x v="4"/>
    <x v="3"/>
  </r>
  <r>
    <s v="US-2014-138758"/>
    <x v="553"/>
    <d v="2014-07-11T00:00:00"/>
    <x v="1"/>
    <s v="JL-15835"/>
    <s v="John Lee"/>
    <x v="0"/>
    <s v="United States"/>
    <x v="3"/>
    <x v="3"/>
    <x v="2"/>
    <s v="FUR-FU-10003039"/>
    <s v="Furniture"/>
    <x v="3"/>
    <s v="Howard Miller 11-1/2&quot; Diameter Grantwood Wall Clock"/>
    <n v="69.007999999999996"/>
    <n v="2"/>
    <n v="0.2"/>
    <n v="12.0764"/>
    <x v="4"/>
    <x v="3"/>
  </r>
  <r>
    <s v="CA-2016-131737"/>
    <x v="554"/>
    <d v="2016-03-17T00:00:00"/>
    <x v="3"/>
    <s v="GZ-14470"/>
    <s v="Gary Zandusky"/>
    <x v="0"/>
    <s v="United States"/>
    <x v="11"/>
    <x v="32"/>
    <x v="2"/>
    <s v="FUR-FU-10004306"/>
    <s v="Furniture"/>
    <x v="3"/>
    <s v="Electrix Halogen Magnifier Lamp"/>
    <n v="971.5"/>
    <n v="5"/>
    <n v="0"/>
    <n v="252.59"/>
    <x v="7"/>
    <x v="9"/>
  </r>
  <r>
    <s v="CA-2014-160157"/>
    <x v="191"/>
    <d v="2014-12-27T00:00:00"/>
    <x v="1"/>
    <s v="MH-17455"/>
    <s v="Mark Hamilton"/>
    <x v="0"/>
    <s v="United States"/>
    <x v="243"/>
    <x v="15"/>
    <x v="2"/>
    <s v="FUR-FU-10003773"/>
    <s v="Furniture"/>
    <x v="3"/>
    <s v="Eldon Cleatmat Plus Chair Mats for High Pile Carpets"/>
    <n v="190.84800000000001"/>
    <n v="3"/>
    <n v="0.2"/>
    <n v="-21.470400000000001"/>
    <x v="1"/>
    <x v="5"/>
  </r>
  <r>
    <s v="CA-2017-159464"/>
    <x v="514"/>
    <d v="2017-05-19T00:00:00"/>
    <x v="2"/>
    <s v="TB-21355"/>
    <s v="Todd Boyes"/>
    <x v="1"/>
    <s v="United States"/>
    <x v="244"/>
    <x v="24"/>
    <x v="0"/>
    <s v="FUR-BO-10003546"/>
    <s v="Furniture"/>
    <x v="0"/>
    <s v="Hon 4-Shelf Metal Bookcases"/>
    <n v="302.94"/>
    <n v="3"/>
    <n v="0"/>
    <n v="75.734999999999999"/>
    <x v="5"/>
    <x v="7"/>
  </r>
  <r>
    <s v="CA-2017-119452"/>
    <x v="555"/>
    <d v="2017-03-27T00:00:00"/>
    <x v="1"/>
    <s v="CL-12565"/>
    <s v="Clay Ludtke"/>
    <x v="0"/>
    <s v="United States"/>
    <x v="169"/>
    <x v="37"/>
    <x v="3"/>
    <s v="FUR-CH-10004495"/>
    <s v="Furniture"/>
    <x v="1"/>
    <s v="Global Leather and Oak Executive Chair, Black"/>
    <n v="1805.88"/>
    <n v="6"/>
    <n v="0"/>
    <n v="523.70519999999999"/>
    <x v="6"/>
    <x v="9"/>
  </r>
  <r>
    <s v="CA-2016-168893"/>
    <x v="361"/>
    <d v="2016-11-08T00:00:00"/>
    <x v="0"/>
    <s v="AP-10915"/>
    <s v="Arthur Prichep"/>
    <x v="0"/>
    <s v="United States"/>
    <x v="0"/>
    <x v="0"/>
    <x v="0"/>
    <s v="FUR-FU-10002885"/>
    <s v="Furniture"/>
    <x v="3"/>
    <s v="Magna Visual Magnetic Picture Hangers"/>
    <n v="24.1"/>
    <n v="5"/>
    <n v="0"/>
    <n v="9.1579999999999995"/>
    <x v="2"/>
    <x v="0"/>
  </r>
  <r>
    <s v="CA-2016-168893"/>
    <x v="361"/>
    <d v="2016-11-08T00:00:00"/>
    <x v="0"/>
    <s v="AP-10915"/>
    <s v="Arthur Prichep"/>
    <x v="0"/>
    <s v="United States"/>
    <x v="0"/>
    <x v="0"/>
    <x v="0"/>
    <s v="FUR-TA-10003392"/>
    <s v="Furniture"/>
    <x v="2"/>
    <s v="Global Adaptabilities Conference Tables"/>
    <n v="842.94"/>
    <n v="3"/>
    <n v="0"/>
    <n v="160.15860000000001"/>
    <x v="2"/>
    <x v="0"/>
  </r>
  <r>
    <s v="CA-2015-121965"/>
    <x v="556"/>
    <d v="2015-06-23T00:00:00"/>
    <x v="1"/>
    <s v="LH-17155"/>
    <s v="Logan Haushalter"/>
    <x v="0"/>
    <s v="United States"/>
    <x v="2"/>
    <x v="2"/>
    <x v="1"/>
    <s v="FUR-FU-10000732"/>
    <s v="Furniture"/>
    <x v="3"/>
    <s v="Eldon 200 Class Desk Accessories"/>
    <n v="12.56"/>
    <n v="2"/>
    <n v="0"/>
    <n v="4.0191999999999997"/>
    <x v="4"/>
    <x v="2"/>
  </r>
  <r>
    <s v="CA-2016-147137"/>
    <x v="557"/>
    <d v="2016-07-06T00:00:00"/>
    <x v="2"/>
    <s v="AA-10645"/>
    <s v="Anna Andreadi"/>
    <x v="0"/>
    <s v="United States"/>
    <x v="28"/>
    <x v="2"/>
    <x v="1"/>
    <s v="FUR-FU-10000221"/>
    <s v="Furniture"/>
    <x v="3"/>
    <s v="Master Caster Door Stop, Brown"/>
    <n v="25.4"/>
    <n v="5"/>
    <n v="0"/>
    <n v="8.6359999999999992"/>
    <x v="3"/>
    <x v="3"/>
  </r>
  <r>
    <s v="CA-2016-147137"/>
    <x v="557"/>
    <d v="2016-07-06T00:00:00"/>
    <x v="2"/>
    <s v="AA-10645"/>
    <s v="Anna Andreadi"/>
    <x v="0"/>
    <s v="United States"/>
    <x v="28"/>
    <x v="2"/>
    <x v="1"/>
    <s v="FUR-BO-10001811"/>
    <s v="Furniture"/>
    <x v="0"/>
    <s v="Atlantic Metals Mobile 5-Shelf Bookcases, Custom Colors"/>
    <n v="1279.165"/>
    <n v="5"/>
    <n v="0.15"/>
    <n v="225.73500000000001"/>
    <x v="3"/>
    <x v="3"/>
  </r>
  <r>
    <s v="US-2015-146745"/>
    <x v="558"/>
    <d v="2015-09-08T00:00:00"/>
    <x v="1"/>
    <s v="AS-10630"/>
    <s v="Ann Steele"/>
    <x v="2"/>
    <s v="United States"/>
    <x v="28"/>
    <x v="2"/>
    <x v="1"/>
    <s v="FUR-CH-10002372"/>
    <s v="Furniture"/>
    <x v="1"/>
    <s v="Office Star - Ergonomically Designed Knee Chair"/>
    <n v="129.56800000000001"/>
    <n v="2"/>
    <n v="0.2"/>
    <n v="-12.956799999999999"/>
    <x v="2"/>
    <x v="4"/>
  </r>
  <r>
    <s v="US-2017-125717"/>
    <x v="559"/>
    <d v="2017-10-01T00:00:00"/>
    <x v="2"/>
    <s v="DS-13030"/>
    <s v="Darrin Sayre"/>
    <x v="2"/>
    <s v="United States"/>
    <x v="14"/>
    <x v="12"/>
    <x v="1"/>
    <s v="FUR-FU-10001979"/>
    <s v="Furniture"/>
    <x v="3"/>
    <s v="Dana Halogen Swing-Arm Architect Lamp"/>
    <n v="32.776000000000003"/>
    <n v="1"/>
    <n v="0.2"/>
    <n v="3.2776000000000001"/>
    <x v="0"/>
    <x v="4"/>
  </r>
  <r>
    <s v="CA-2017-168641"/>
    <x v="241"/>
    <d v="2017-12-01T00:00:00"/>
    <x v="1"/>
    <s v="KA-16525"/>
    <s v="Kelly Andreada"/>
    <x v="0"/>
    <s v="United States"/>
    <x v="13"/>
    <x v="7"/>
    <x v="2"/>
    <s v="FUR-BO-10000780"/>
    <s v="Furniture"/>
    <x v="0"/>
    <s v="O'Sullivan Plantations 2-Door Library in Landvery Oak"/>
    <n v="321.56799999999998"/>
    <n v="2"/>
    <n v="0.2"/>
    <n v="-16.078399999999998"/>
    <x v="1"/>
    <x v="0"/>
  </r>
  <r>
    <s v="CA-2017-156895"/>
    <x v="258"/>
    <d v="2017-05-12T00:00:00"/>
    <x v="1"/>
    <s v="DJ-13510"/>
    <s v="Don Jones"/>
    <x v="1"/>
    <s v="United States"/>
    <x v="3"/>
    <x v="3"/>
    <x v="2"/>
    <s v="FUR-CH-10003535"/>
    <s v="Furniture"/>
    <x v="1"/>
    <s v="Global Armless Task Chair, Royal Blue"/>
    <n v="128.05799999999999"/>
    <n v="3"/>
    <n v="0.3"/>
    <n v="-23.7822"/>
    <x v="4"/>
    <x v="7"/>
  </r>
  <r>
    <s v="CA-2017-121300"/>
    <x v="560"/>
    <d v="2017-09-29T00:00:00"/>
    <x v="3"/>
    <s v="MG-17680"/>
    <s v="Maureen Gastineau"/>
    <x v="2"/>
    <s v="United States"/>
    <x v="245"/>
    <x v="15"/>
    <x v="2"/>
    <s v="FUR-CH-10003774"/>
    <s v="Furniture"/>
    <x v="1"/>
    <s v="Global Wood Trimmed Manager's Task Chair, Khaki"/>
    <n v="63.686"/>
    <n v="1"/>
    <n v="0.3"/>
    <n v="-15.4666"/>
    <x v="7"/>
    <x v="4"/>
  </r>
  <r>
    <s v="CA-2017-121300"/>
    <x v="560"/>
    <d v="2017-09-29T00:00:00"/>
    <x v="3"/>
    <s v="MG-17680"/>
    <s v="Maureen Gastineau"/>
    <x v="2"/>
    <s v="United States"/>
    <x v="245"/>
    <x v="15"/>
    <x v="2"/>
    <s v="FUR-TA-10004442"/>
    <s v="Furniture"/>
    <x v="2"/>
    <s v="Riverside Furniture Stanwyck Manor Table Series"/>
    <n v="344.22"/>
    <n v="2"/>
    <n v="0.4"/>
    <n v="-189.321"/>
    <x v="7"/>
    <x v="4"/>
  </r>
  <r>
    <s v="CA-2017-121300"/>
    <x v="560"/>
    <d v="2017-09-29T00:00:00"/>
    <x v="3"/>
    <s v="MG-17680"/>
    <s v="Maureen Gastineau"/>
    <x v="2"/>
    <s v="United States"/>
    <x v="245"/>
    <x v="15"/>
    <x v="2"/>
    <s v="FUR-FU-10004586"/>
    <s v="Furniture"/>
    <x v="3"/>
    <s v="G.E. Longer-Life Indoor Recessed Floodlight Bulbs"/>
    <n v="21.248000000000001"/>
    <n v="4"/>
    <n v="0.2"/>
    <n v="7.4367999999999999"/>
    <x v="7"/>
    <x v="4"/>
  </r>
  <r>
    <s v="CA-2017-130211"/>
    <x v="546"/>
    <d v="2017-10-22T00:00:00"/>
    <x v="3"/>
    <s v="BD-11620"/>
    <s v="Brian DeCherney"/>
    <x v="0"/>
    <s v="United States"/>
    <x v="246"/>
    <x v="37"/>
    <x v="3"/>
    <s v="FUR-TA-10003748"/>
    <s v="Furniture"/>
    <x v="2"/>
    <s v="Bevis 36 x 72 Conference Tables"/>
    <n v="248.98"/>
    <n v="2"/>
    <n v="0"/>
    <n v="54.775599999999997"/>
    <x v="7"/>
    <x v="1"/>
  </r>
  <r>
    <s v="CA-2017-105921"/>
    <x v="561"/>
    <d v="2017-08-21T00:00:00"/>
    <x v="1"/>
    <s v="JM-15250"/>
    <s v="Janet Martin"/>
    <x v="0"/>
    <s v="United States"/>
    <x v="2"/>
    <x v="2"/>
    <x v="1"/>
    <s v="FUR-TA-10001095"/>
    <s v="Furniture"/>
    <x v="2"/>
    <s v="Chromcraft Round Conference Tables"/>
    <n v="418.29599999999999"/>
    <n v="3"/>
    <n v="0.2"/>
    <n v="5.2286999999999999"/>
    <x v="1"/>
    <x v="10"/>
  </r>
  <r>
    <s v="CA-2014-150798"/>
    <x v="280"/>
    <d v="2014-12-03T00:00:00"/>
    <x v="0"/>
    <s v="JK-15730"/>
    <s v="Joe Kamberova"/>
    <x v="0"/>
    <s v="United States"/>
    <x v="29"/>
    <x v="15"/>
    <x v="2"/>
    <s v="FUR-FU-10000221"/>
    <s v="Furniture"/>
    <x v="3"/>
    <s v="Master Caster Door Stop, Brown"/>
    <n v="8.1280000000000001"/>
    <n v="2"/>
    <n v="0.2"/>
    <n v="1.4224000000000001"/>
    <x v="3"/>
    <x v="5"/>
  </r>
  <r>
    <s v="CA-2014-150798"/>
    <x v="280"/>
    <d v="2014-12-03T00:00:00"/>
    <x v="0"/>
    <s v="JK-15730"/>
    <s v="Joe Kamberova"/>
    <x v="0"/>
    <s v="United States"/>
    <x v="29"/>
    <x v="15"/>
    <x v="2"/>
    <s v="FUR-CH-10000015"/>
    <s v="Furniture"/>
    <x v="1"/>
    <s v="Hon Multipurpose Stacking Arm Chairs"/>
    <n v="909.72"/>
    <n v="6"/>
    <n v="0.3"/>
    <n v="-51.984000000000002"/>
    <x v="3"/>
    <x v="5"/>
  </r>
  <r>
    <s v="CA-2017-112753"/>
    <x v="562"/>
    <d v="2017-06-23T00:00:00"/>
    <x v="1"/>
    <s v="CC-12670"/>
    <s v="Craig Carreira"/>
    <x v="0"/>
    <s v="United States"/>
    <x v="2"/>
    <x v="2"/>
    <x v="1"/>
    <s v="FUR-BO-10004015"/>
    <s v="Furniture"/>
    <x v="0"/>
    <s v="Bush Andora Bookcase, Maple/Graphite Gray Finish"/>
    <n v="917.92349999999999"/>
    <n v="9"/>
    <n v="0.15"/>
    <n v="75.593699999999998"/>
    <x v="2"/>
    <x v="2"/>
  </r>
  <r>
    <s v="US-2014-138247"/>
    <x v="109"/>
    <d v="2014-12-29T00:00:00"/>
    <x v="1"/>
    <s v="BF-11170"/>
    <s v="Ben Ferrer"/>
    <x v="2"/>
    <s v="United States"/>
    <x v="2"/>
    <x v="2"/>
    <x v="1"/>
    <s v="FUR-FU-10002554"/>
    <s v="Furniture"/>
    <x v="3"/>
    <s v="Westinghouse Floor Lamp with Metal Mesh Shade, Black"/>
    <n v="23.99"/>
    <n v="1"/>
    <n v="0"/>
    <n v="5.5176999999999996"/>
    <x v="2"/>
    <x v="5"/>
  </r>
  <r>
    <s v="CA-2017-167003"/>
    <x v="563"/>
    <d v="2017-05-29T00:00:00"/>
    <x v="1"/>
    <s v="VS-21820"/>
    <s v="Vivek Sundaresam"/>
    <x v="0"/>
    <s v="United States"/>
    <x v="2"/>
    <x v="2"/>
    <x v="1"/>
    <s v="FUR-TA-10001520"/>
    <s v="Furniture"/>
    <x v="2"/>
    <s v="Lesro Sheffield Collection Coffee Table, End Table, Center Table, Corner Table"/>
    <n v="171.28800000000001"/>
    <n v="3"/>
    <n v="0.2"/>
    <n v="-6.4233000000000002"/>
    <x v="6"/>
    <x v="7"/>
  </r>
  <r>
    <s v="CA-2016-119935"/>
    <x v="480"/>
    <d v="2016-11-14T00:00:00"/>
    <x v="1"/>
    <s v="KM-16225"/>
    <s v="Kalyca Meade"/>
    <x v="1"/>
    <s v="United States"/>
    <x v="76"/>
    <x v="23"/>
    <x v="3"/>
    <s v="FUR-FU-10001085"/>
    <s v="Furniture"/>
    <x v="3"/>
    <s v="3M Polarizing Light Filter Sleeves"/>
    <n v="37.299999999999997"/>
    <n v="2"/>
    <n v="0"/>
    <n v="17.158000000000001"/>
    <x v="4"/>
    <x v="0"/>
  </r>
  <r>
    <s v="CA-2016-120873"/>
    <x v="78"/>
    <d v="2016-11-01T00:00:00"/>
    <x v="0"/>
    <s v="BW-11200"/>
    <s v="Ben Wallace"/>
    <x v="0"/>
    <s v="United States"/>
    <x v="247"/>
    <x v="25"/>
    <x v="0"/>
    <s v="FUR-CH-10000847"/>
    <s v="Furniture"/>
    <x v="1"/>
    <s v="Global Executive Mid-Back Manager's Chair"/>
    <n v="290.98"/>
    <n v="1"/>
    <n v="0"/>
    <n v="75.654799999999994"/>
    <x v="2"/>
    <x v="1"/>
  </r>
  <r>
    <s v="CA-2014-109491"/>
    <x v="564"/>
    <d v="2014-02-26T00:00:00"/>
    <x v="1"/>
    <s v="LC-16930"/>
    <s v="Linda Cazamias"/>
    <x v="1"/>
    <s v="United States"/>
    <x v="52"/>
    <x v="6"/>
    <x v="3"/>
    <s v="FUR-FU-10000221"/>
    <s v="Furniture"/>
    <x v="3"/>
    <s v="Master Caster Door Stop, Brown"/>
    <n v="20.32"/>
    <n v="4"/>
    <n v="0"/>
    <n v="6.9088000000000003"/>
    <x v="6"/>
    <x v="11"/>
  </r>
  <r>
    <s v="CA-2014-107454"/>
    <x v="565"/>
    <d v="2014-11-06T00:00:00"/>
    <x v="1"/>
    <s v="RD-19720"/>
    <s v="Roger Demir"/>
    <x v="0"/>
    <s v="United States"/>
    <x v="13"/>
    <x v="7"/>
    <x v="2"/>
    <s v="FUR-FU-10004018"/>
    <s v="Furniture"/>
    <x v="3"/>
    <s v="Tensor Computer Mounted Lamp"/>
    <n v="89.34"/>
    <n v="6"/>
    <n v="0"/>
    <n v="24.1218"/>
    <x v="4"/>
    <x v="0"/>
  </r>
  <r>
    <s v="US-2017-105046"/>
    <x v="357"/>
    <d v="2017-07-23T00:00:00"/>
    <x v="1"/>
    <s v="BE-11335"/>
    <s v="Bill Eplett"/>
    <x v="2"/>
    <s v="United States"/>
    <x v="248"/>
    <x v="7"/>
    <x v="2"/>
    <s v="FUR-FU-10004848"/>
    <s v="Furniture"/>
    <x v="3"/>
    <s v="DAX Solid Wood Frames"/>
    <n v="39.08"/>
    <n v="4"/>
    <n v="0"/>
    <n v="14.4596"/>
    <x v="6"/>
    <x v="3"/>
  </r>
  <r>
    <s v="CA-2016-118759"/>
    <x v="566"/>
    <d v="2016-11-17T00:00:00"/>
    <x v="2"/>
    <s v="MB-17305"/>
    <s v="Maria Bertelson"/>
    <x v="0"/>
    <s v="United States"/>
    <x v="13"/>
    <x v="7"/>
    <x v="2"/>
    <s v="FUR-CH-10002335"/>
    <s v="Furniture"/>
    <x v="1"/>
    <s v="Hon GuestStacker Chair"/>
    <n v="408.00599999999997"/>
    <n v="2"/>
    <n v="0.1"/>
    <n v="72.534400000000005"/>
    <x v="0"/>
    <x v="0"/>
  </r>
  <r>
    <s v="CA-2014-140403"/>
    <x v="567"/>
    <d v="2014-10-10T00:00:00"/>
    <x v="3"/>
    <s v="TN-21040"/>
    <s v="Tanja Norvell"/>
    <x v="2"/>
    <s v="United States"/>
    <x v="249"/>
    <x v="2"/>
    <x v="1"/>
    <s v="FUR-CH-10002774"/>
    <s v="Furniture"/>
    <x v="1"/>
    <s v="Global Deluxe Stacking Chair, Gray"/>
    <n v="122.352"/>
    <n v="3"/>
    <n v="0.2"/>
    <n v="13.7646"/>
    <x v="7"/>
    <x v="1"/>
  </r>
  <r>
    <s v="CA-2017-138464"/>
    <x v="220"/>
    <d v="2017-07-12T00:00:00"/>
    <x v="1"/>
    <s v="VF-21715"/>
    <s v="Vicky Freymann"/>
    <x v="2"/>
    <s v="United States"/>
    <x v="15"/>
    <x v="13"/>
    <x v="1"/>
    <s v="FUR-FU-10003142"/>
    <s v="Furniture"/>
    <x v="3"/>
    <s v="Master Big Foot Doorstop, Beige"/>
    <n v="15.84"/>
    <n v="3"/>
    <n v="0"/>
    <n v="4.9104000000000001"/>
    <x v="4"/>
    <x v="3"/>
  </r>
  <r>
    <s v="CA-2015-104129"/>
    <x v="568"/>
    <d v="2015-03-02T00:00:00"/>
    <x v="1"/>
    <s v="ES-14080"/>
    <s v="Erin Smith"/>
    <x v="1"/>
    <s v="United States"/>
    <x v="134"/>
    <x v="38"/>
    <x v="2"/>
    <s v="FUR-TA-10004152"/>
    <s v="Furniture"/>
    <x v="2"/>
    <s v="Barricks 18&quot; x 48&quot; Non-Folding Utility Table with Bottom Storage Shelf"/>
    <n v="493.92"/>
    <n v="7"/>
    <n v="0.3"/>
    <n v="-28.224"/>
    <x v="0"/>
    <x v="11"/>
  </r>
  <r>
    <s v="CA-2015-126557"/>
    <x v="569"/>
    <d v="2015-07-17T00:00:00"/>
    <x v="0"/>
    <s v="RL-19615"/>
    <s v="Rob Lucas"/>
    <x v="0"/>
    <s v="United States"/>
    <x v="9"/>
    <x v="8"/>
    <x v="3"/>
    <s v="FUR-CH-10004477"/>
    <s v="Furniture"/>
    <x v="1"/>
    <s v="Global Push Button Manager's Chair, Indigo"/>
    <n v="383.60700000000003"/>
    <n v="9"/>
    <n v="0.3"/>
    <n v="-5.4801000000000002"/>
    <x v="2"/>
    <x v="3"/>
  </r>
  <r>
    <s v="CA-2015-126557"/>
    <x v="569"/>
    <d v="2015-07-17T00:00:00"/>
    <x v="0"/>
    <s v="RL-19615"/>
    <s v="Rob Lucas"/>
    <x v="0"/>
    <s v="United States"/>
    <x v="9"/>
    <x v="8"/>
    <x v="3"/>
    <s v="FUR-FU-10001861"/>
    <s v="Furniture"/>
    <x v="3"/>
    <s v="Floodlight Indoor Halogen Bulbs, 1 Bulb per Pack, 60 Watts"/>
    <n v="7.76"/>
    <n v="1"/>
    <n v="0.6"/>
    <n v="-2.1339999999999999"/>
    <x v="2"/>
    <x v="3"/>
  </r>
  <r>
    <s v="US-2014-165862"/>
    <x v="570"/>
    <d v="2014-07-17T00:00:00"/>
    <x v="1"/>
    <s v="GK-14620"/>
    <s v="Grace Kelly"/>
    <x v="1"/>
    <s v="United States"/>
    <x v="2"/>
    <x v="2"/>
    <x v="1"/>
    <s v="FUR-TA-10002855"/>
    <s v="Furniture"/>
    <x v="2"/>
    <s v="Bevis Round Conference Table Top &amp; Single Column Base"/>
    <n v="351.21600000000001"/>
    <n v="3"/>
    <n v="0.2"/>
    <n v="4.3902000000000001"/>
    <x v="4"/>
    <x v="3"/>
  </r>
  <r>
    <s v="US-2014-106334"/>
    <x v="421"/>
    <d v="2015-01-02T00:00:00"/>
    <x v="1"/>
    <s v="JF-15490"/>
    <s v="Jeremy Farry"/>
    <x v="0"/>
    <s v="United States"/>
    <x v="28"/>
    <x v="2"/>
    <x v="1"/>
    <s v="FUR-CH-10004886"/>
    <s v="Furniture"/>
    <x v="1"/>
    <s v="Bevis Steel Folding Chairs"/>
    <n v="230.28"/>
    <n v="3"/>
    <n v="0.2"/>
    <n v="23.027999999999999"/>
    <x v="6"/>
    <x v="5"/>
  </r>
  <r>
    <s v="CA-2014-110219"/>
    <x v="571"/>
    <d v="2014-05-08T00:00:00"/>
    <x v="2"/>
    <s v="EB-13870"/>
    <s v="Emily Burns"/>
    <x v="0"/>
    <s v="United States"/>
    <x v="21"/>
    <x v="5"/>
    <x v="3"/>
    <s v="FUR-CH-10001146"/>
    <s v="Furniture"/>
    <x v="1"/>
    <s v="Global Value Mid-Back Manager's Chair, Gray"/>
    <n v="127.869"/>
    <n v="3"/>
    <n v="0.3"/>
    <n v="-9.1334999999999997"/>
    <x v="0"/>
    <x v="7"/>
  </r>
  <r>
    <s v="CA-2015-118871"/>
    <x v="463"/>
    <d v="2015-12-09T00:00:00"/>
    <x v="0"/>
    <s v="HM-14860"/>
    <s v="Harry Marie"/>
    <x v="1"/>
    <s v="United States"/>
    <x v="2"/>
    <x v="2"/>
    <x v="1"/>
    <s v="FUR-FU-10002111"/>
    <s v="Furniture"/>
    <x v="3"/>
    <s v="Master Caster Door Stop, Large Brown"/>
    <n v="36.4"/>
    <n v="5"/>
    <n v="0"/>
    <n v="13.832000000000001"/>
    <x v="2"/>
    <x v="5"/>
  </r>
  <r>
    <s v="CA-2017-129490"/>
    <x v="572"/>
    <d v="2017-09-30T00:00:00"/>
    <x v="1"/>
    <s v="SJ-20125"/>
    <s v="Sanjit Jacobs"/>
    <x v="2"/>
    <s v="United States"/>
    <x v="232"/>
    <x v="1"/>
    <x v="0"/>
    <s v="FUR-CH-10003298"/>
    <s v="Furniture"/>
    <x v="1"/>
    <s v="Office Star - Contemporary Task Swivel chair with Loop Arms, Charcoal"/>
    <n v="419.13600000000002"/>
    <n v="4"/>
    <n v="0.2"/>
    <n v="-57.6312"/>
    <x v="4"/>
    <x v="4"/>
  </r>
  <r>
    <s v="CA-2014-169460"/>
    <x v="573"/>
    <d v="2014-04-21T00:00:00"/>
    <x v="0"/>
    <s v="NF-18595"/>
    <s v="Nicole Fjeld"/>
    <x v="2"/>
    <s v="United States"/>
    <x v="124"/>
    <x v="2"/>
    <x v="1"/>
    <s v="FUR-FU-10004017"/>
    <s v="Furniture"/>
    <x v="3"/>
    <s v="Executive Impressions 13&quot; Chairman Wall Clock"/>
    <n v="76.14"/>
    <n v="3"/>
    <n v="0"/>
    <n v="26.649000000000001"/>
    <x v="3"/>
    <x v="6"/>
  </r>
  <r>
    <s v="CA-2016-139395"/>
    <x v="574"/>
    <d v="2016-12-18T00:00:00"/>
    <x v="1"/>
    <s v="MG-17650"/>
    <s v="Matthew Grinstein"/>
    <x v="2"/>
    <s v="United States"/>
    <x v="38"/>
    <x v="17"/>
    <x v="3"/>
    <s v="FUR-FU-10003724"/>
    <s v="Furniture"/>
    <x v="3"/>
    <s v="Westinghouse Clip-On Gooseneck Lamps"/>
    <n v="33.479999999999997"/>
    <n v="4"/>
    <n v="0"/>
    <n v="8.7048000000000005"/>
    <x v="6"/>
    <x v="5"/>
  </r>
  <r>
    <s v="CA-2016-120250"/>
    <x v="107"/>
    <d v="2016-09-22T00:00:00"/>
    <x v="2"/>
    <s v="AP-10720"/>
    <s v="Anne Pryor"/>
    <x v="2"/>
    <s v="United States"/>
    <x v="3"/>
    <x v="3"/>
    <x v="2"/>
    <s v="FUR-FU-10003424"/>
    <s v="Furniture"/>
    <x v="3"/>
    <s v="Nu-Dell Oak Frame"/>
    <n v="25.632000000000001"/>
    <n v="3"/>
    <n v="0.2"/>
    <n v="3.8448000000000002"/>
    <x v="0"/>
    <x v="4"/>
  </r>
  <r>
    <s v="US-2017-163790"/>
    <x v="575"/>
    <d v="2017-11-04T00:00:00"/>
    <x v="0"/>
    <s v="NL-18310"/>
    <s v="Nancy Lomonaco"/>
    <x v="2"/>
    <s v="United States"/>
    <x v="250"/>
    <x v="2"/>
    <x v="1"/>
    <s v="FUR-FU-10002508"/>
    <s v="Furniture"/>
    <x v="3"/>
    <s v="Document Clip Frames"/>
    <n v="25.02"/>
    <n v="3"/>
    <n v="0"/>
    <n v="10.5084"/>
    <x v="3"/>
    <x v="0"/>
  </r>
  <r>
    <s v="CA-2016-129868"/>
    <x v="576"/>
    <d v="2016-12-31T00:00:00"/>
    <x v="1"/>
    <s v="MC-18130"/>
    <s v="Mike Caudle"/>
    <x v="1"/>
    <s v="United States"/>
    <x v="2"/>
    <x v="2"/>
    <x v="1"/>
    <s v="FUR-CH-10003535"/>
    <s v="Furniture"/>
    <x v="1"/>
    <s v="Global Armless Task Chair, Royal Blue"/>
    <n v="146.352"/>
    <n v="3"/>
    <n v="0.2"/>
    <n v="-5.4882"/>
    <x v="2"/>
    <x v="5"/>
  </r>
  <r>
    <s v="CA-2016-129868"/>
    <x v="576"/>
    <d v="2016-12-31T00:00:00"/>
    <x v="1"/>
    <s v="MC-18130"/>
    <s v="Mike Caudle"/>
    <x v="1"/>
    <s v="United States"/>
    <x v="2"/>
    <x v="2"/>
    <x v="1"/>
    <s v="FUR-TA-10003473"/>
    <s v="Furniture"/>
    <x v="2"/>
    <s v="Bretford Rectangular Conference Table Tops"/>
    <n v="902.71199999999999"/>
    <n v="3"/>
    <n v="0.2"/>
    <n v="33.851700000000001"/>
    <x v="2"/>
    <x v="5"/>
  </r>
  <r>
    <s v="CA-2015-146948"/>
    <x v="370"/>
    <d v="2015-07-20T00:00:00"/>
    <x v="1"/>
    <s v="MG-17890"/>
    <s v="Michael Granlund"/>
    <x v="2"/>
    <s v="United States"/>
    <x v="237"/>
    <x v="32"/>
    <x v="2"/>
    <s v="FUR-CH-10004853"/>
    <s v="Furniture"/>
    <x v="1"/>
    <s v="Global Manager's Adjustable Task Chair, Storm"/>
    <n v="150.97999999999999"/>
    <n v="1"/>
    <n v="0"/>
    <n v="43.784199999999998"/>
    <x v="4"/>
    <x v="3"/>
  </r>
  <r>
    <s v="US-2017-141852"/>
    <x v="17"/>
    <d v="2017-11-14T00:00:00"/>
    <x v="1"/>
    <s v="JE-15745"/>
    <s v="Joel Eaton"/>
    <x v="0"/>
    <s v="United States"/>
    <x v="64"/>
    <x v="2"/>
    <x v="1"/>
    <s v="FUR-FU-10000023"/>
    <s v="Furniture"/>
    <x v="3"/>
    <s v="Eldon Wave Desk Accessories"/>
    <n v="47.12"/>
    <n v="8"/>
    <n v="0"/>
    <n v="20.732800000000001"/>
    <x v="2"/>
    <x v="0"/>
  </r>
  <r>
    <s v="CA-2015-117800"/>
    <x v="231"/>
    <d v="2015-09-26T00:00:00"/>
    <x v="1"/>
    <s v="TH-21550"/>
    <s v="Tracy Hopkins"/>
    <x v="2"/>
    <s v="United States"/>
    <x v="114"/>
    <x v="20"/>
    <x v="2"/>
    <s v="FUR-CH-10000785"/>
    <s v="Furniture"/>
    <x v="1"/>
    <s v="Global Ergonomic Managers Chair"/>
    <n v="542.94000000000005"/>
    <n v="3"/>
    <n v="0"/>
    <n v="141.1644"/>
    <x v="2"/>
    <x v="4"/>
  </r>
  <r>
    <s v="CA-2017-147228"/>
    <x v="198"/>
    <d v="2017-09-14T00:00:00"/>
    <x v="1"/>
    <s v="SO-20335"/>
    <s v="Sean O'Donnell"/>
    <x v="0"/>
    <s v="United States"/>
    <x v="11"/>
    <x v="9"/>
    <x v="0"/>
    <s v="FUR-FU-10000023"/>
    <s v="Furniture"/>
    <x v="3"/>
    <s v="Eldon Wave Desk Accessories"/>
    <n v="14.135999999999999"/>
    <n v="3"/>
    <n v="0.2"/>
    <n v="4.2408000000000001"/>
    <x v="2"/>
    <x v="4"/>
  </r>
  <r>
    <s v="US-2015-126235"/>
    <x v="233"/>
    <d v="2015-10-15T00:00:00"/>
    <x v="3"/>
    <s v="GA-14725"/>
    <s v="Guy Armstrong"/>
    <x v="0"/>
    <s v="United States"/>
    <x v="189"/>
    <x v="17"/>
    <x v="3"/>
    <s v="FUR-FU-10000719"/>
    <s v="Furniture"/>
    <x v="3"/>
    <s v="DAX Cubicle Frames, 8-1/2 x 11"/>
    <n v="17.14"/>
    <n v="2"/>
    <n v="0"/>
    <n v="6.1703999999999999"/>
    <x v="7"/>
    <x v="1"/>
  </r>
  <r>
    <s v="CA-2017-168396"/>
    <x v="309"/>
    <d v="2017-08-08T00:00:00"/>
    <x v="0"/>
    <s v="BD-11725"/>
    <s v="Bruce Degenhardt"/>
    <x v="0"/>
    <s v="United States"/>
    <x v="28"/>
    <x v="2"/>
    <x v="1"/>
    <s v="FUR-FU-10000723"/>
    <s v="Furniture"/>
    <x v="3"/>
    <s v="Deflect-o EconoMat Studded, No Bevel Mat for Low Pile Carpeting"/>
    <n v="123.96"/>
    <n v="3"/>
    <n v="0"/>
    <n v="11.1564"/>
    <x v="2"/>
    <x v="10"/>
  </r>
  <r>
    <s v="CA-2015-130456"/>
    <x v="130"/>
    <d v="2015-08-26T00:00:00"/>
    <x v="1"/>
    <s v="DS-13180"/>
    <s v="David Smith"/>
    <x v="1"/>
    <s v="United States"/>
    <x v="28"/>
    <x v="2"/>
    <x v="1"/>
    <s v="FUR-BO-10003893"/>
    <s v="Furniture"/>
    <x v="0"/>
    <s v="Sauder Camden County Collection Library"/>
    <n v="586.39800000000002"/>
    <n v="6"/>
    <n v="0.15"/>
    <n v="34.494"/>
    <x v="2"/>
    <x v="10"/>
  </r>
  <r>
    <s v="CA-2017-130141"/>
    <x v="546"/>
    <d v="2017-10-24T00:00:00"/>
    <x v="0"/>
    <s v="HA-14905"/>
    <s v="Helen Abelman"/>
    <x v="0"/>
    <s v="United States"/>
    <x v="200"/>
    <x v="12"/>
    <x v="1"/>
    <s v="FUR-CH-10000749"/>
    <s v="Furniture"/>
    <x v="1"/>
    <s v="Office Star - Ergonomic Mid Back Chair with 2-Way Adjustable Arms"/>
    <n v="579.13599999999997"/>
    <n v="4"/>
    <n v="0.2"/>
    <n v="-28.956800000000001"/>
    <x v="3"/>
    <x v="1"/>
  </r>
  <r>
    <s v="CA-2016-143910"/>
    <x v="577"/>
    <d v="2016-08-16T00:00:00"/>
    <x v="1"/>
    <s v="BC-11125"/>
    <s v="Becky Castell"/>
    <x v="2"/>
    <s v="United States"/>
    <x v="13"/>
    <x v="7"/>
    <x v="2"/>
    <s v="FUR-CH-10000225"/>
    <s v="Furniture"/>
    <x v="1"/>
    <s v="Global Geo Office Task Chair, Gray"/>
    <n v="145.76400000000001"/>
    <n v="2"/>
    <n v="0.1"/>
    <n v="-8.0980000000000008"/>
    <x v="4"/>
    <x v="10"/>
  </r>
  <r>
    <s v="CA-2016-139556"/>
    <x v="578"/>
    <d v="2016-05-01T00:00:00"/>
    <x v="1"/>
    <s v="DB-13360"/>
    <s v="Dennis Bolton"/>
    <x v="2"/>
    <s v="United States"/>
    <x v="13"/>
    <x v="7"/>
    <x v="2"/>
    <s v="FUR-CH-10004983"/>
    <s v="Furniture"/>
    <x v="1"/>
    <s v="Office Star - Mid Back Dual function Ergonomic High Back Chair with 2-Way Adjustable Arms"/>
    <n v="434.64600000000002"/>
    <n v="3"/>
    <n v="0.1"/>
    <n v="62.782200000000003"/>
    <x v="2"/>
    <x v="6"/>
  </r>
  <r>
    <s v="CA-2015-112130"/>
    <x v="496"/>
    <d v="2015-05-07T00:00:00"/>
    <x v="1"/>
    <s v="SV-20785"/>
    <s v="Stewart Visinsky"/>
    <x v="0"/>
    <s v="United States"/>
    <x v="3"/>
    <x v="3"/>
    <x v="2"/>
    <s v="FUR-CH-10002965"/>
    <s v="Furniture"/>
    <x v="1"/>
    <s v="Global Leather Highback Executive Chair with Pneumatic Height Adjustment, Black"/>
    <n v="844.11599999999999"/>
    <n v="6"/>
    <n v="0.3"/>
    <n v="-36.176400000000001"/>
    <x v="4"/>
    <x v="7"/>
  </r>
  <r>
    <s v="CA-2016-116547"/>
    <x v="579"/>
    <d v="2016-01-17T00:00:00"/>
    <x v="1"/>
    <s v="KB-16585"/>
    <s v="Ken Black"/>
    <x v="1"/>
    <s v="United States"/>
    <x v="15"/>
    <x v="13"/>
    <x v="1"/>
    <s v="FUR-FU-10000076"/>
    <s v="Furniture"/>
    <x v="3"/>
    <s v="24-Hour Round Wall Clock"/>
    <n v="79.92"/>
    <n v="4"/>
    <n v="0"/>
    <n v="34.365600000000001"/>
    <x v="1"/>
    <x v="8"/>
  </r>
  <r>
    <s v="US-2017-133200"/>
    <x v="580"/>
    <d v="2017-05-11T00:00:00"/>
    <x v="1"/>
    <s v="DB-13555"/>
    <s v="Dorothy Badders"/>
    <x v="1"/>
    <s v="United States"/>
    <x v="50"/>
    <x v="5"/>
    <x v="3"/>
    <s v="FUR-BO-10001601"/>
    <s v="Furniture"/>
    <x v="0"/>
    <s v="Sauder Mission Library with Doors, Fruitwood Finish"/>
    <n v="623.46479999999997"/>
    <n v="7"/>
    <n v="0.32"/>
    <n v="-119.1918"/>
    <x v="2"/>
    <x v="7"/>
  </r>
  <r>
    <s v="CA-2016-133550"/>
    <x v="581"/>
    <d v="2016-08-06T00:00:00"/>
    <x v="1"/>
    <s v="KL-16645"/>
    <s v="Ken Lonsdale"/>
    <x v="0"/>
    <s v="United States"/>
    <x v="25"/>
    <x v="17"/>
    <x v="3"/>
    <s v="FUR-FU-10002918"/>
    <s v="Furniture"/>
    <x v="3"/>
    <s v="Eldon ClusterMat Chair Mat with Cordless Antistatic Protection"/>
    <n v="272.94"/>
    <n v="3"/>
    <n v="0"/>
    <n v="30.023399999999999"/>
    <x v="6"/>
    <x v="3"/>
  </r>
  <r>
    <s v="CA-2017-139416"/>
    <x v="582"/>
    <d v="2017-03-29T00:00:00"/>
    <x v="0"/>
    <s v="AG-10270"/>
    <s v="Alejandro Grove"/>
    <x v="0"/>
    <s v="United States"/>
    <x v="3"/>
    <x v="3"/>
    <x v="2"/>
    <s v="FUR-FU-10003832"/>
    <s v="Furniture"/>
    <x v="3"/>
    <s v="Eldon Expressions Punched Metal &amp; Wood Desk Accessories, Black &amp; Cherry"/>
    <n v="15.007999999999999"/>
    <n v="2"/>
    <n v="0.2"/>
    <n v="1.5007999999999999"/>
    <x v="3"/>
    <x v="9"/>
  </r>
  <r>
    <s v="CA-2016-159912"/>
    <x v="583"/>
    <d v="2016-09-03T00:00:00"/>
    <x v="1"/>
    <s v="GB-14530"/>
    <s v="George Bell"/>
    <x v="1"/>
    <s v="United States"/>
    <x v="3"/>
    <x v="3"/>
    <x v="2"/>
    <s v="FUR-TA-10004152"/>
    <s v="Furniture"/>
    <x v="2"/>
    <s v="Barricks 18&quot; x 48&quot; Non-Folding Utility Table with Bottom Storage Shelf"/>
    <n v="241.92"/>
    <n v="4"/>
    <n v="0.4"/>
    <n v="-56.448"/>
    <x v="2"/>
    <x v="10"/>
  </r>
  <r>
    <s v="CA-2016-159912"/>
    <x v="583"/>
    <d v="2016-09-03T00:00:00"/>
    <x v="1"/>
    <s v="GB-14530"/>
    <s v="George Bell"/>
    <x v="1"/>
    <s v="United States"/>
    <x v="3"/>
    <x v="3"/>
    <x v="2"/>
    <s v="FUR-BO-10002853"/>
    <s v="Furniture"/>
    <x v="0"/>
    <s v="O'Sullivan 5-Shelf Heavy-Duty Bookcases"/>
    <n v="163.88"/>
    <n v="4"/>
    <n v="0.5"/>
    <n v="-81.94"/>
    <x v="2"/>
    <x v="10"/>
  </r>
  <r>
    <s v="CA-2014-138681"/>
    <x v="191"/>
    <d v="2014-12-22T00:00:00"/>
    <x v="2"/>
    <s v="CT-11995"/>
    <s v="Carol Triggs"/>
    <x v="0"/>
    <s v="United States"/>
    <x v="104"/>
    <x v="22"/>
    <x v="1"/>
    <s v="FUR-FU-10001876"/>
    <s v="Furniture"/>
    <x v="3"/>
    <s v="Computer Room Manger, 14&quot;"/>
    <n v="51.968000000000004"/>
    <n v="2"/>
    <n v="0.2"/>
    <n v="10.393599999999999"/>
    <x v="3"/>
    <x v="5"/>
  </r>
  <r>
    <s v="CA-2014-138681"/>
    <x v="191"/>
    <d v="2014-12-22T00:00:00"/>
    <x v="2"/>
    <s v="CT-11995"/>
    <s v="Carol Triggs"/>
    <x v="0"/>
    <s v="United States"/>
    <x v="104"/>
    <x v="22"/>
    <x v="1"/>
    <s v="FUR-CH-10004860"/>
    <s v="Furniture"/>
    <x v="1"/>
    <s v="Global Low Back Tilter Chair"/>
    <n v="242.352"/>
    <n v="3"/>
    <n v="0.2"/>
    <n v="-42.4116"/>
    <x v="3"/>
    <x v="5"/>
  </r>
  <r>
    <s v="US-2015-138121"/>
    <x v="584"/>
    <d v="2015-12-17T00:00:00"/>
    <x v="3"/>
    <s v="JL-15835"/>
    <s v="John Lee"/>
    <x v="0"/>
    <s v="United States"/>
    <x v="25"/>
    <x v="17"/>
    <x v="3"/>
    <s v="FUR-CH-10003846"/>
    <s v="Furniture"/>
    <x v="1"/>
    <s v="Hon Valutask Swivel Chairs"/>
    <n v="302.94"/>
    <n v="3"/>
    <n v="0"/>
    <n v="48.470399999999998"/>
    <x v="7"/>
    <x v="5"/>
  </r>
  <r>
    <s v="US-2015-138121"/>
    <x v="584"/>
    <d v="2015-12-17T00:00:00"/>
    <x v="3"/>
    <s v="JL-15835"/>
    <s v="John Lee"/>
    <x v="0"/>
    <s v="United States"/>
    <x v="25"/>
    <x v="17"/>
    <x v="3"/>
    <s v="FUR-CH-10004875"/>
    <s v="Furniture"/>
    <x v="1"/>
    <s v="Harbour Creations 67200 Series Stacking Chairs"/>
    <n v="142.36000000000001"/>
    <n v="2"/>
    <n v="0"/>
    <n v="38.437199999999997"/>
    <x v="7"/>
    <x v="5"/>
  </r>
  <r>
    <s v="US-2015-138121"/>
    <x v="584"/>
    <d v="2015-12-17T00:00:00"/>
    <x v="3"/>
    <s v="JL-15835"/>
    <s v="John Lee"/>
    <x v="0"/>
    <s v="United States"/>
    <x v="25"/>
    <x v="17"/>
    <x v="3"/>
    <s v="FUR-CH-10003817"/>
    <s v="Furniture"/>
    <x v="1"/>
    <s v="Global Value Steno Chair, Gray"/>
    <n v="546.66"/>
    <n v="9"/>
    <n v="0"/>
    <n v="136.66499999999999"/>
    <x v="7"/>
    <x v="5"/>
  </r>
  <r>
    <s v="US-2015-138121"/>
    <x v="584"/>
    <d v="2015-12-17T00:00:00"/>
    <x v="3"/>
    <s v="JL-15835"/>
    <s v="John Lee"/>
    <x v="0"/>
    <s v="United States"/>
    <x v="25"/>
    <x v="17"/>
    <x v="3"/>
    <s v="FUR-FU-10002116"/>
    <s v="Furniture"/>
    <x v="3"/>
    <s v="Tenex Carpeted, Granite-Look or Clear Contemporary Contour Shape Chair Mats"/>
    <n v="212.13"/>
    <n v="3"/>
    <n v="0"/>
    <n v="14.8491"/>
    <x v="7"/>
    <x v="5"/>
  </r>
  <r>
    <s v="CA-2017-140298"/>
    <x v="585"/>
    <d v="2017-05-17T00:00:00"/>
    <x v="1"/>
    <s v="JK-16120"/>
    <s v="Julie Kriz"/>
    <x v="2"/>
    <s v="United States"/>
    <x v="198"/>
    <x v="5"/>
    <x v="3"/>
    <s v="FUR-FU-10001967"/>
    <s v="Furniture"/>
    <x v="3"/>
    <s v="Telescoping Adjustable Floor Lamp"/>
    <n v="7.9960000000000004"/>
    <n v="1"/>
    <n v="0.6"/>
    <n v="-6.9965000000000002"/>
    <x v="6"/>
    <x v="7"/>
  </r>
  <r>
    <s v="CA-2016-158435"/>
    <x v="586"/>
    <d v="2016-05-18T00:00:00"/>
    <x v="2"/>
    <s v="AG-10900"/>
    <s v="Arthur Gainer"/>
    <x v="0"/>
    <s v="United States"/>
    <x v="251"/>
    <x v="19"/>
    <x v="2"/>
    <s v="FUR-FU-10003975"/>
    <s v="Furniture"/>
    <x v="3"/>
    <s v="Eldon Advantage Chair Mats for Low to Medium Pile Carpets"/>
    <n v="173.24"/>
    <n v="4"/>
    <n v="0"/>
    <n v="17.324000000000002"/>
    <x v="5"/>
    <x v="7"/>
  </r>
  <r>
    <s v="CA-2014-108273"/>
    <x v="439"/>
    <d v="2014-12-21T00:00:00"/>
    <x v="1"/>
    <s v="EJ-13720"/>
    <s v="Ed Jacobs"/>
    <x v="0"/>
    <s v="United States"/>
    <x v="156"/>
    <x v="5"/>
    <x v="3"/>
    <s v="FUR-FU-10002116"/>
    <s v="Furniture"/>
    <x v="3"/>
    <s v="Tenex Carpeted, Granite-Look or Clear Contemporary Contour Shape Chair Mats"/>
    <n v="56.567999999999998"/>
    <n v="2"/>
    <n v="0.6"/>
    <n v="-74.952600000000004"/>
    <x v="2"/>
    <x v="5"/>
  </r>
  <r>
    <s v="CA-2017-143126"/>
    <x v="587"/>
    <d v="2017-12-07T00:00:00"/>
    <x v="0"/>
    <s v="CM-12655"/>
    <s v="Corinna Mitchell"/>
    <x v="2"/>
    <s v="United States"/>
    <x v="15"/>
    <x v="13"/>
    <x v="1"/>
    <s v="FUR-TA-10002958"/>
    <s v="Furniture"/>
    <x v="2"/>
    <s v="Bevis Oval Conference Table, Walnut"/>
    <n v="521.96"/>
    <n v="2"/>
    <n v="0"/>
    <n v="88.733199999999997"/>
    <x v="4"/>
    <x v="5"/>
  </r>
  <r>
    <s v="CA-2014-106229"/>
    <x v="588"/>
    <d v="2014-06-11T00:00:00"/>
    <x v="0"/>
    <s v="NR-18550"/>
    <s v="Nick Radford"/>
    <x v="0"/>
    <s v="United States"/>
    <x v="14"/>
    <x v="8"/>
    <x v="3"/>
    <s v="FUR-TA-10002041"/>
    <s v="Furniture"/>
    <x v="2"/>
    <s v="Bevis Round Conference Table Top, X-Base"/>
    <n v="268.935"/>
    <n v="3"/>
    <n v="0.5"/>
    <n v="-209.76929999999999"/>
    <x v="4"/>
    <x v="2"/>
  </r>
  <r>
    <s v="CA-2014-119151"/>
    <x v="306"/>
    <d v="2014-11-29T00:00:00"/>
    <x v="0"/>
    <s v="MP-18175"/>
    <s v="Mike Pelletier"/>
    <x v="2"/>
    <s v="United States"/>
    <x v="13"/>
    <x v="7"/>
    <x v="2"/>
    <s v="FUR-BO-10003159"/>
    <s v="Furniture"/>
    <x v="0"/>
    <s v="Sauder Camden County Collection Libraries, Planked Cherry Finish"/>
    <n v="275.952"/>
    <n v="3"/>
    <n v="0.2"/>
    <n v="-37.943399999999997"/>
    <x v="4"/>
    <x v="0"/>
  </r>
  <r>
    <s v="US-2015-103996"/>
    <x v="165"/>
    <d v="2015-03-31T00:00:00"/>
    <x v="0"/>
    <s v="RB-19435"/>
    <s v="Richard Bierner"/>
    <x v="0"/>
    <s v="United States"/>
    <x v="53"/>
    <x v="2"/>
    <x v="1"/>
    <s v="FUR-FU-10004586"/>
    <s v="Furniture"/>
    <x v="3"/>
    <s v="G.E. Longer-Life Indoor Recessed Floodlight Bulbs"/>
    <n v="19.920000000000002"/>
    <n v="3"/>
    <n v="0"/>
    <n v="9.5616000000000003"/>
    <x v="3"/>
    <x v="9"/>
  </r>
  <r>
    <s v="CA-2016-120530"/>
    <x v="589"/>
    <d v="2016-04-12T00:00:00"/>
    <x v="1"/>
    <s v="Dl-13600"/>
    <s v="Dorris liebe"/>
    <x v="1"/>
    <s v="United States"/>
    <x v="13"/>
    <x v="7"/>
    <x v="2"/>
    <s v="FUR-CH-10000454"/>
    <s v="Furniture"/>
    <x v="1"/>
    <s v="Hon Deluxe Fabric Upholstered Stacking Chairs, Rounded Back"/>
    <n v="658.74599999999998"/>
    <n v="3"/>
    <n v="0.1"/>
    <n v="146.38800000000001"/>
    <x v="2"/>
    <x v="6"/>
  </r>
  <r>
    <s v="CA-2015-105725"/>
    <x v="590"/>
    <d v="2015-02-24T00:00:00"/>
    <x v="1"/>
    <s v="GT-14755"/>
    <s v="Guy Thornton"/>
    <x v="0"/>
    <s v="United States"/>
    <x v="62"/>
    <x v="2"/>
    <x v="1"/>
    <s v="FUR-TA-10001676"/>
    <s v="Furniture"/>
    <x v="2"/>
    <s v="Hon 61000 Series Interactive Training Tables"/>
    <n v="35.543999999999997"/>
    <n v="1"/>
    <n v="0.2"/>
    <n v="-0.88859999999999995"/>
    <x v="6"/>
    <x v="11"/>
  </r>
  <r>
    <s v="CA-2016-120005"/>
    <x v="492"/>
    <d v="2016-03-03T00:00:00"/>
    <x v="3"/>
    <s v="TS-21160"/>
    <s v="Theresa Swint"/>
    <x v="1"/>
    <s v="United States"/>
    <x v="28"/>
    <x v="2"/>
    <x v="1"/>
    <s v="FUR-FU-10000672"/>
    <s v="Furniture"/>
    <x v="3"/>
    <s v="Executive Impressions 10&quot; Spectator Wall Clock"/>
    <n v="35.28"/>
    <n v="3"/>
    <n v="0"/>
    <n v="11.995200000000001"/>
    <x v="7"/>
    <x v="9"/>
  </r>
  <r>
    <s v="CA-2017-103499"/>
    <x v="93"/>
    <d v="2017-11-24T00:00:00"/>
    <x v="1"/>
    <s v="ES-14020"/>
    <s v="Erica Smith"/>
    <x v="0"/>
    <s v="United States"/>
    <x v="38"/>
    <x v="9"/>
    <x v="0"/>
    <s v="FUR-CH-10001482"/>
    <s v="Furniture"/>
    <x v="1"/>
    <s v="Office Star - Mesh Screen back chair with Vinyl seat"/>
    <n v="209.56800000000001"/>
    <n v="2"/>
    <n v="0.2"/>
    <n v="-23.5764"/>
    <x v="4"/>
    <x v="0"/>
  </r>
  <r>
    <s v="CA-2017-119746"/>
    <x v="68"/>
    <d v="2017-11-27T00:00:00"/>
    <x v="1"/>
    <s v="CM-12385"/>
    <s v="Christopher Martinez"/>
    <x v="0"/>
    <s v="United States"/>
    <x v="9"/>
    <x v="8"/>
    <x v="3"/>
    <s v="FUR-FU-10004909"/>
    <s v="Furniture"/>
    <x v="3"/>
    <s v="Contemporary Wood/Metal Frame"/>
    <n v="6.4640000000000004"/>
    <n v="1"/>
    <n v="0.6"/>
    <n v="-4.04"/>
    <x v="4"/>
    <x v="0"/>
  </r>
  <r>
    <s v="CA-2014-150301"/>
    <x v="591"/>
    <d v="2014-07-10T00:00:00"/>
    <x v="2"/>
    <s v="MH-18025"/>
    <s v="Michelle Huthwaite"/>
    <x v="0"/>
    <s v="United States"/>
    <x v="252"/>
    <x v="7"/>
    <x v="2"/>
    <s v="FUR-CH-10002647"/>
    <s v="Furniture"/>
    <x v="1"/>
    <s v="Situations Contoured Folding Chairs, 4/Set"/>
    <n v="63.881999999999998"/>
    <n v="1"/>
    <n v="0.1"/>
    <n v="10.647"/>
    <x v="3"/>
    <x v="3"/>
  </r>
  <r>
    <s v="CA-2014-159310"/>
    <x v="592"/>
    <d v="2014-11-12T00:00:00"/>
    <x v="1"/>
    <s v="SC-20725"/>
    <s v="Steven Cartwright"/>
    <x v="0"/>
    <s v="United States"/>
    <x v="6"/>
    <x v="5"/>
    <x v="3"/>
    <s v="FUR-CH-10002758"/>
    <s v="Furniture"/>
    <x v="1"/>
    <s v="Hon Deluxe Fabric Upholstered Stacking Chairs, Squared Back"/>
    <n v="683.14400000000001"/>
    <n v="4"/>
    <n v="0.3"/>
    <n v="0"/>
    <x v="2"/>
    <x v="0"/>
  </r>
  <r>
    <s v="CA-2015-104346"/>
    <x v="593"/>
    <d v="2015-12-16T00:00:00"/>
    <x v="1"/>
    <s v="IM-15070"/>
    <s v="Irene Maddox"/>
    <x v="0"/>
    <s v="United States"/>
    <x v="30"/>
    <x v="12"/>
    <x v="1"/>
    <s v="FUR-BO-10003450"/>
    <s v="Furniture"/>
    <x v="0"/>
    <s v="Bush Westfield Collection Bookcases, Dark Cherry Finish"/>
    <n v="69.575999999999993"/>
    <n v="4"/>
    <n v="0.7"/>
    <n v="-143.79040000000001"/>
    <x v="2"/>
    <x v="5"/>
  </r>
  <r>
    <s v="CA-2015-104346"/>
    <x v="593"/>
    <d v="2015-12-16T00:00:00"/>
    <x v="1"/>
    <s v="IM-15070"/>
    <s v="Irene Maddox"/>
    <x v="0"/>
    <s v="United States"/>
    <x v="30"/>
    <x v="12"/>
    <x v="1"/>
    <s v="FUR-FU-10002456"/>
    <s v="Furniture"/>
    <x v="3"/>
    <s v="Master Caster Door Stop, Large Neon Orange"/>
    <n v="52.415999999999997"/>
    <n v="9"/>
    <n v="0.2"/>
    <n v="15.069599999999999"/>
    <x v="2"/>
    <x v="5"/>
  </r>
  <r>
    <s v="CA-2015-104346"/>
    <x v="593"/>
    <d v="2015-12-16T00:00:00"/>
    <x v="1"/>
    <s v="IM-15070"/>
    <s v="Irene Maddox"/>
    <x v="0"/>
    <s v="United States"/>
    <x v="30"/>
    <x v="12"/>
    <x v="1"/>
    <s v="FUR-FU-10001473"/>
    <s v="Furniture"/>
    <x v="3"/>
    <s v="DAX Wood Document Frame"/>
    <n v="54.92"/>
    <n v="5"/>
    <n v="0.2"/>
    <n v="10.984"/>
    <x v="2"/>
    <x v="5"/>
  </r>
  <r>
    <s v="CA-2015-104346"/>
    <x v="593"/>
    <d v="2015-12-16T00:00:00"/>
    <x v="1"/>
    <s v="IM-15070"/>
    <s v="Irene Maddox"/>
    <x v="0"/>
    <s v="United States"/>
    <x v="30"/>
    <x v="12"/>
    <x v="1"/>
    <s v="FUR-TA-10000849"/>
    <s v="Furniture"/>
    <x v="2"/>
    <s v="Bevis Rectangular Conference Tables"/>
    <n v="364.95"/>
    <n v="5"/>
    <n v="0.5"/>
    <n v="-248.166"/>
    <x v="2"/>
    <x v="5"/>
  </r>
  <r>
    <s v="CA-2015-144722"/>
    <x v="253"/>
    <d v="2015-03-23T00:00:00"/>
    <x v="1"/>
    <s v="MF-18250"/>
    <s v="Monica Federle"/>
    <x v="1"/>
    <s v="United States"/>
    <x v="2"/>
    <x v="2"/>
    <x v="1"/>
    <s v="FUR-FU-10001215"/>
    <s v="Furniture"/>
    <x v="3"/>
    <s v="Howard Miller 11-1/2&quot; Diameter Brentwood Wall Clock"/>
    <n v="43.13"/>
    <n v="1"/>
    <n v="0"/>
    <n v="18.114599999999999"/>
    <x v="1"/>
    <x v="9"/>
  </r>
  <r>
    <s v="US-2016-148901"/>
    <x v="326"/>
    <d v="2016-05-19T00:00:00"/>
    <x v="1"/>
    <s v="MK-17905"/>
    <s v="Michael Kennedy"/>
    <x v="1"/>
    <s v="United States"/>
    <x v="51"/>
    <x v="1"/>
    <x v="0"/>
    <s v="FUR-FU-10002396"/>
    <s v="Furniture"/>
    <x v="3"/>
    <s v="DAX Copper Panel Document Frame, 5 x 7 Size"/>
    <n v="30.192"/>
    <n v="3"/>
    <n v="0.2"/>
    <n v="8.3027999999999995"/>
    <x v="2"/>
    <x v="7"/>
  </r>
  <r>
    <s v="CA-2017-136364"/>
    <x v="594"/>
    <d v="2017-07-17T00:00:00"/>
    <x v="0"/>
    <s v="MH-17455"/>
    <s v="Mark Hamilton"/>
    <x v="0"/>
    <s v="United States"/>
    <x v="3"/>
    <x v="3"/>
    <x v="2"/>
    <s v="FUR-FU-10002501"/>
    <s v="Furniture"/>
    <x v="3"/>
    <s v="Nu-Dell Executive Frame"/>
    <n v="91.007999999999996"/>
    <n v="9"/>
    <n v="0.2"/>
    <n v="19.339200000000002"/>
    <x v="4"/>
    <x v="3"/>
  </r>
  <r>
    <s v="CA-2016-121370"/>
    <x v="566"/>
    <d v="2016-11-19T00:00:00"/>
    <x v="0"/>
    <s v="EB-14110"/>
    <s v="Eugene Barchas"/>
    <x v="0"/>
    <s v="United States"/>
    <x v="3"/>
    <x v="3"/>
    <x v="2"/>
    <s v="FUR-CH-10000785"/>
    <s v="Furniture"/>
    <x v="1"/>
    <s v="Global Ergonomic Managers Chair"/>
    <n v="380.05799999999999"/>
    <n v="3"/>
    <n v="0.3"/>
    <n v="-21.717600000000001"/>
    <x v="2"/>
    <x v="0"/>
  </r>
  <r>
    <s v="CA-2016-121370"/>
    <x v="566"/>
    <d v="2016-11-19T00:00:00"/>
    <x v="0"/>
    <s v="EB-14110"/>
    <s v="Eugene Barchas"/>
    <x v="0"/>
    <s v="United States"/>
    <x v="3"/>
    <x v="3"/>
    <x v="2"/>
    <s v="FUR-FU-10002813"/>
    <s v="Furniture"/>
    <x v="3"/>
    <s v="DAX Contemporary Wood Frame with Silver Metal Mat, Desktop, 11 x 14 Size"/>
    <n v="48.576000000000001"/>
    <n v="3"/>
    <n v="0.2"/>
    <n v="9.7151999999999994"/>
    <x v="2"/>
    <x v="0"/>
  </r>
  <r>
    <s v="CA-2016-140018"/>
    <x v="431"/>
    <d v="2016-11-26T00:00:00"/>
    <x v="1"/>
    <s v="CK-12205"/>
    <s v="Chloris Kastensmidt"/>
    <x v="0"/>
    <s v="United States"/>
    <x v="29"/>
    <x v="15"/>
    <x v="2"/>
    <s v="FUR-CH-10003817"/>
    <s v="Furniture"/>
    <x v="1"/>
    <s v="Global Value Steno Chair, Gray"/>
    <n v="127.554"/>
    <n v="3"/>
    <n v="0.3"/>
    <n v="-9.1110000000000007"/>
    <x v="2"/>
    <x v="0"/>
  </r>
  <r>
    <s v="CA-2016-140018"/>
    <x v="431"/>
    <d v="2016-11-26T00:00:00"/>
    <x v="1"/>
    <s v="CK-12205"/>
    <s v="Chloris Kastensmidt"/>
    <x v="0"/>
    <s v="United States"/>
    <x v="29"/>
    <x v="15"/>
    <x v="2"/>
    <s v="FUR-FU-10001876"/>
    <s v="Furniture"/>
    <x v="3"/>
    <s v="Computer Room Manger, 14&quot;"/>
    <n v="77.951999999999998"/>
    <n v="3"/>
    <n v="0.2"/>
    <n v="15.590400000000001"/>
    <x v="2"/>
    <x v="0"/>
  </r>
  <r>
    <s v="CA-2017-154123"/>
    <x v="93"/>
    <d v="2017-11-25T00:00:00"/>
    <x v="1"/>
    <s v="SC-20050"/>
    <s v="Sample Company A"/>
    <x v="2"/>
    <s v="United States"/>
    <x v="0"/>
    <x v="0"/>
    <x v="0"/>
    <s v="FUR-FU-10000629"/>
    <s v="Furniture"/>
    <x v="3"/>
    <s v="9-3/4 Diameter Round Wall Clock"/>
    <n v="27.58"/>
    <n v="2"/>
    <n v="0"/>
    <n v="11.583600000000001"/>
    <x v="2"/>
    <x v="0"/>
  </r>
  <r>
    <s v="CA-2014-107818"/>
    <x v="30"/>
    <d v="2014-09-14T00:00:00"/>
    <x v="1"/>
    <s v="MC-17275"/>
    <s v="Marc Crier"/>
    <x v="0"/>
    <s v="United States"/>
    <x v="253"/>
    <x v="13"/>
    <x v="1"/>
    <s v="FUR-CH-10000454"/>
    <s v="Furniture"/>
    <x v="1"/>
    <s v="Hon Deluxe Fabric Upholstered Stacking Chairs, Rounded Back"/>
    <n v="975.92"/>
    <n v="5"/>
    <n v="0.2"/>
    <n v="121.99"/>
    <x v="6"/>
    <x v="4"/>
  </r>
  <r>
    <s v="CA-2014-113320"/>
    <x v="202"/>
    <d v="2014-12-15T00:00:00"/>
    <x v="0"/>
    <s v="LH-17155"/>
    <s v="Logan Haushalter"/>
    <x v="0"/>
    <s v="United States"/>
    <x v="121"/>
    <x v="2"/>
    <x v="1"/>
    <s v="FUR-FU-10004270"/>
    <s v="Furniture"/>
    <x v="3"/>
    <s v="Eldon Image Series Desk Accessories, Burgundy"/>
    <n v="12.54"/>
    <n v="3"/>
    <n v="0"/>
    <n v="4.5144000000000002"/>
    <x v="0"/>
    <x v="5"/>
  </r>
  <r>
    <s v="CA-2014-113320"/>
    <x v="202"/>
    <d v="2014-12-15T00:00:00"/>
    <x v="0"/>
    <s v="LH-17155"/>
    <s v="Logan Haushalter"/>
    <x v="0"/>
    <s v="United States"/>
    <x v="121"/>
    <x v="2"/>
    <x v="1"/>
    <s v="FUR-FU-10001706"/>
    <s v="Furniture"/>
    <x v="3"/>
    <s v="Longer-Life Soft White Bulbs"/>
    <n v="9.24"/>
    <n v="3"/>
    <n v="0"/>
    <n v="4.4352"/>
    <x v="0"/>
    <x v="5"/>
  </r>
  <r>
    <s v="CA-2015-137526"/>
    <x v="595"/>
    <d v="2015-01-17T00:00:00"/>
    <x v="1"/>
    <s v="PB-19150"/>
    <s v="Philip Brown"/>
    <x v="0"/>
    <s v="United States"/>
    <x v="2"/>
    <x v="2"/>
    <x v="1"/>
    <s v="FUR-FU-10001861"/>
    <s v="Furniture"/>
    <x v="3"/>
    <s v="Floodlight Indoor Halogen Bulbs, 1 Bulb per Pack, 60 Watts"/>
    <n v="77.599999999999994"/>
    <n v="4"/>
    <n v="0"/>
    <n v="38.024000000000001"/>
    <x v="4"/>
    <x v="8"/>
  </r>
  <r>
    <s v="CA-2015-137526"/>
    <x v="595"/>
    <d v="2015-01-17T00:00:00"/>
    <x v="1"/>
    <s v="PB-19150"/>
    <s v="Philip Brown"/>
    <x v="0"/>
    <s v="United States"/>
    <x v="2"/>
    <x v="2"/>
    <x v="1"/>
    <s v="FUR-FU-10004845"/>
    <s v="Furniture"/>
    <x v="3"/>
    <s v="Deflect-o EconoMat Nonstudded, No Bevel Mat"/>
    <n v="464.85"/>
    <n v="9"/>
    <n v="0"/>
    <n v="92.97"/>
    <x v="4"/>
    <x v="8"/>
  </r>
  <r>
    <s v="CA-2017-122490"/>
    <x v="596"/>
    <d v="2017-11-18T00:00:00"/>
    <x v="1"/>
    <s v="TT-21070"/>
    <s v="Ted Trevino"/>
    <x v="0"/>
    <s v="United States"/>
    <x v="15"/>
    <x v="13"/>
    <x v="1"/>
    <s v="FUR-CH-10001215"/>
    <s v="Furniture"/>
    <x v="1"/>
    <s v="Global Troy Executive Leather Low-Back Tilter"/>
    <n v="2404.7040000000002"/>
    <n v="6"/>
    <n v="0.2"/>
    <n v="150.29400000000001"/>
    <x v="2"/>
    <x v="0"/>
  </r>
  <r>
    <s v="CA-2017-143567"/>
    <x v="575"/>
    <d v="2017-11-05T00:00:00"/>
    <x v="0"/>
    <s v="TB-21175"/>
    <s v="Thomas Boland"/>
    <x v="1"/>
    <s v="United States"/>
    <x v="0"/>
    <x v="0"/>
    <x v="0"/>
    <s v="FUR-CH-10000454"/>
    <s v="Furniture"/>
    <x v="1"/>
    <s v="Hon Deluxe Fabric Upholstered Stacking Chairs, Rounded Back"/>
    <n v="975.92"/>
    <n v="4"/>
    <n v="0"/>
    <n v="292.77600000000001"/>
    <x v="0"/>
    <x v="0"/>
  </r>
  <r>
    <s v="CA-2016-163167"/>
    <x v="597"/>
    <d v="2016-12-01T00:00:00"/>
    <x v="0"/>
    <s v="RF-19345"/>
    <s v="Randy Ferguson"/>
    <x v="1"/>
    <s v="United States"/>
    <x v="254"/>
    <x v="24"/>
    <x v="0"/>
    <s v="FUR-CH-10004477"/>
    <s v="Furniture"/>
    <x v="1"/>
    <s v="Global Push Button Manager's Chair, Indigo"/>
    <n v="182.67"/>
    <n v="3"/>
    <n v="0"/>
    <n v="52.974299999999999"/>
    <x v="0"/>
    <x v="0"/>
  </r>
  <r>
    <s v="US-2014-122021"/>
    <x v="384"/>
    <d v="2014-10-17T00:00:00"/>
    <x v="2"/>
    <s v="AC-10660"/>
    <s v="Anna Chung"/>
    <x v="0"/>
    <s v="United States"/>
    <x v="255"/>
    <x v="15"/>
    <x v="2"/>
    <s v="FUR-CH-10003761"/>
    <s v="Furniture"/>
    <x v="1"/>
    <s v="Global Italian Leather Office Chair"/>
    <n v="183.37200000000001"/>
    <n v="2"/>
    <n v="0.3"/>
    <n v="-7.8587999999999996"/>
    <x v="3"/>
    <x v="1"/>
  </r>
  <r>
    <s v="US-2014-161613"/>
    <x v="280"/>
    <d v="2014-12-03T00:00:00"/>
    <x v="0"/>
    <s v="MC-17605"/>
    <s v="Matt Connell"/>
    <x v="1"/>
    <s v="United States"/>
    <x v="6"/>
    <x v="5"/>
    <x v="3"/>
    <s v="FUR-CH-10003746"/>
    <s v="Furniture"/>
    <x v="1"/>
    <s v="Hon 4070 Series Pagoda Round Back Stacking Chairs"/>
    <n v="674.05799999999999"/>
    <n v="3"/>
    <n v="0.3"/>
    <n v="-19.258800000000001"/>
    <x v="3"/>
    <x v="5"/>
  </r>
  <r>
    <s v="CA-2017-163125"/>
    <x v="224"/>
    <d v="2017-10-11T00:00:00"/>
    <x v="0"/>
    <s v="MB-17305"/>
    <s v="Maria Bertelson"/>
    <x v="0"/>
    <s v="United States"/>
    <x v="256"/>
    <x v="5"/>
    <x v="3"/>
    <s v="FUR-CH-10001802"/>
    <s v="Furniture"/>
    <x v="1"/>
    <s v="Hon Every-Day Chair Series Swivel Task Chairs"/>
    <n v="254.05799999999999"/>
    <n v="3"/>
    <n v="0.3"/>
    <n v="-32.6646"/>
    <x v="3"/>
    <x v="1"/>
  </r>
  <r>
    <s v="CA-2016-160304"/>
    <x v="598"/>
    <d v="2016-01-07T00:00:00"/>
    <x v="1"/>
    <s v="BM-11575"/>
    <s v="Brendan Murry"/>
    <x v="1"/>
    <s v="United States"/>
    <x v="257"/>
    <x v="32"/>
    <x v="2"/>
    <s v="FUR-BO-10004709"/>
    <s v="Furniture"/>
    <x v="0"/>
    <s v="Bush Westfield Collection Bookcases, Medium Cherry Finish"/>
    <n v="173.94"/>
    <n v="3"/>
    <n v="0"/>
    <n v="38.266800000000003"/>
    <x v="2"/>
    <x v="8"/>
  </r>
  <r>
    <s v="CA-2017-117653"/>
    <x v="66"/>
    <d v="2017-10-23T00:00:00"/>
    <x v="1"/>
    <s v="MO-17500"/>
    <s v="Mary O'Rourke"/>
    <x v="0"/>
    <s v="United States"/>
    <x v="9"/>
    <x v="8"/>
    <x v="3"/>
    <s v="FUR-TA-10003008"/>
    <s v="Furniture"/>
    <x v="2"/>
    <s v="Lesro Round Back Collection Coffee Table, End Table"/>
    <n v="91.275000000000006"/>
    <n v="1"/>
    <n v="0.5"/>
    <n v="-67.543499999999995"/>
    <x v="4"/>
    <x v="1"/>
  </r>
  <r>
    <s v="CA-2017-143245"/>
    <x v="451"/>
    <d v="2017-12-06T00:00:00"/>
    <x v="1"/>
    <s v="AD-10180"/>
    <s v="Alan Dominguez"/>
    <x v="2"/>
    <s v="United States"/>
    <x v="130"/>
    <x v="19"/>
    <x v="2"/>
    <s v="FUR-CH-10000155"/>
    <s v="Furniture"/>
    <x v="1"/>
    <s v="Global Comet Stacking Armless Chair"/>
    <n v="897.15"/>
    <n v="3"/>
    <n v="0"/>
    <n v="251.202"/>
    <x v="2"/>
    <x v="5"/>
  </r>
  <r>
    <s v="CA-2014-157147"/>
    <x v="424"/>
    <d v="2014-01-18T00:00:00"/>
    <x v="1"/>
    <s v="BD-11605"/>
    <s v="Brian Dahlen"/>
    <x v="0"/>
    <s v="United States"/>
    <x v="28"/>
    <x v="2"/>
    <x v="1"/>
    <s v="FUR-BO-10003034"/>
    <s v="Furniture"/>
    <x v="0"/>
    <s v="O'Sullivan Elevations Bookcase, Cherry Finish"/>
    <n v="333.99900000000002"/>
    <n v="3"/>
    <n v="0.15"/>
    <n v="3.9293999999999998"/>
    <x v="2"/>
    <x v="8"/>
  </r>
  <r>
    <s v="CA-2015-156482"/>
    <x v="599"/>
    <d v="2015-02-13T00:00:00"/>
    <x v="1"/>
    <s v="IL-15100"/>
    <s v="Ivan Liston"/>
    <x v="0"/>
    <s v="United States"/>
    <x v="16"/>
    <x v="14"/>
    <x v="2"/>
    <s v="FUR-CH-10001708"/>
    <s v="Furniture"/>
    <x v="1"/>
    <s v="Office Star - Contemporary Swivel Chair with Padded Adjustable Arms and Flex Back"/>
    <n v="1268.82"/>
    <n v="9"/>
    <n v="0"/>
    <n v="266.4522"/>
    <x v="1"/>
    <x v="11"/>
  </r>
  <r>
    <s v="CA-2015-156482"/>
    <x v="599"/>
    <d v="2015-02-13T00:00:00"/>
    <x v="1"/>
    <s v="IL-15100"/>
    <s v="Ivan Liston"/>
    <x v="0"/>
    <s v="United States"/>
    <x v="16"/>
    <x v="14"/>
    <x v="2"/>
    <s v="FUR-BO-10002598"/>
    <s v="Furniture"/>
    <x v="0"/>
    <s v="Hon Metal Bookcases, Putty"/>
    <n v="283.92"/>
    <n v="4"/>
    <n v="0"/>
    <n v="82.336799999999997"/>
    <x v="1"/>
    <x v="11"/>
  </r>
  <r>
    <s v="CA-2017-107125"/>
    <x v="152"/>
    <d v="2017-12-02T00:00:00"/>
    <x v="1"/>
    <s v="BD-11320"/>
    <s v="Bill Donatelli"/>
    <x v="0"/>
    <s v="United States"/>
    <x v="2"/>
    <x v="2"/>
    <x v="1"/>
    <s v="FUR-FU-10000732"/>
    <s v="Furniture"/>
    <x v="3"/>
    <s v="Eldon 200 Class Desk Accessories"/>
    <n v="18.84"/>
    <n v="3"/>
    <n v="0"/>
    <n v="6.0288000000000004"/>
    <x v="2"/>
    <x v="0"/>
  </r>
  <r>
    <s v="CA-2014-160262"/>
    <x v="2"/>
    <d v="2014-06-13T00:00:00"/>
    <x v="0"/>
    <s v="TS-21205"/>
    <s v="Thomas Seio"/>
    <x v="1"/>
    <s v="United States"/>
    <x v="111"/>
    <x v="34"/>
    <x v="1"/>
    <s v="FUR-FU-10002685"/>
    <s v="Furniture"/>
    <x v="3"/>
    <s v="Executive Impressions 13-1/2&quot; Indoor/Outdoor Wall Clock"/>
    <n v="37.4"/>
    <n v="2"/>
    <n v="0"/>
    <n v="14.212"/>
    <x v="4"/>
    <x v="2"/>
  </r>
  <r>
    <s v="CA-2014-156587"/>
    <x v="600"/>
    <d v="2014-03-08T00:00:00"/>
    <x v="2"/>
    <s v="AB-10015"/>
    <s v="Aaron Bergman"/>
    <x v="0"/>
    <s v="United States"/>
    <x v="15"/>
    <x v="13"/>
    <x v="1"/>
    <s v="FUR-CH-10004477"/>
    <s v="Furniture"/>
    <x v="1"/>
    <s v="Global Push Button Manager's Chair, Indigo"/>
    <n v="48.712000000000003"/>
    <n v="1"/>
    <n v="0.2"/>
    <n v="5.4801000000000002"/>
    <x v="5"/>
    <x v="9"/>
  </r>
  <r>
    <s v="CA-2015-122406"/>
    <x v="601"/>
    <d v="2015-08-05T00:00:00"/>
    <x v="0"/>
    <s v="BE-11455"/>
    <s v="Brad Eason"/>
    <x v="2"/>
    <s v="United States"/>
    <x v="134"/>
    <x v="38"/>
    <x v="2"/>
    <s v="FUR-CH-10001973"/>
    <s v="Furniture"/>
    <x v="1"/>
    <s v="Office Star Flex Back Scooter Chair with White Frame"/>
    <n v="110.98"/>
    <n v="1"/>
    <n v="0"/>
    <n v="15.5372"/>
    <x v="0"/>
    <x v="10"/>
  </r>
  <r>
    <s v="US-2016-153815"/>
    <x v="24"/>
    <d v="2016-11-09T00:00:00"/>
    <x v="2"/>
    <s v="KL-16555"/>
    <s v="Kelly Lampkin"/>
    <x v="1"/>
    <s v="United States"/>
    <x v="51"/>
    <x v="1"/>
    <x v="0"/>
    <s v="FUR-CH-10000513"/>
    <s v="Furniture"/>
    <x v="1"/>
    <s v="High-Back Leather Manager's Chair"/>
    <n v="207.98400000000001"/>
    <n v="2"/>
    <n v="0.2"/>
    <n v="-28.597799999999999"/>
    <x v="0"/>
    <x v="0"/>
  </r>
  <r>
    <s v="US-2016-153815"/>
    <x v="24"/>
    <d v="2016-11-09T00:00:00"/>
    <x v="2"/>
    <s v="KL-16555"/>
    <s v="Kelly Lampkin"/>
    <x v="1"/>
    <s v="United States"/>
    <x v="51"/>
    <x v="1"/>
    <x v="0"/>
    <s v="FUR-FU-10004090"/>
    <s v="Furniture"/>
    <x v="3"/>
    <s v="Executive Impressions 14&quot; Contract Wall Clock"/>
    <n v="35.567999999999998"/>
    <n v="2"/>
    <n v="0.2"/>
    <n v="5.7797999999999998"/>
    <x v="0"/>
    <x v="0"/>
  </r>
  <r>
    <s v="CA-2016-149279"/>
    <x v="602"/>
    <d v="2016-04-28T00:00:00"/>
    <x v="1"/>
    <s v="CL-12700"/>
    <s v="Craig Leslie"/>
    <x v="2"/>
    <s v="United States"/>
    <x v="30"/>
    <x v="12"/>
    <x v="1"/>
    <s v="FUR-CH-10004287"/>
    <s v="Furniture"/>
    <x v="1"/>
    <s v="SAFCO Arco Folding Chair"/>
    <n v="1325.76"/>
    <n v="6"/>
    <n v="0.2"/>
    <n v="149.148"/>
    <x v="4"/>
    <x v="6"/>
  </r>
  <r>
    <s v="CA-2015-153038"/>
    <x v="603"/>
    <d v="2015-12-25T00:00:00"/>
    <x v="1"/>
    <s v="RB-19645"/>
    <s v="Robert Barroso"/>
    <x v="1"/>
    <s v="United States"/>
    <x v="10"/>
    <x v="9"/>
    <x v="0"/>
    <s v="FUR-FU-10000221"/>
    <s v="Furniture"/>
    <x v="3"/>
    <s v="Master Caster Door Stop, Brown"/>
    <n v="20.32"/>
    <n v="5"/>
    <n v="0.2"/>
    <n v="3.556"/>
    <x v="1"/>
    <x v="5"/>
  </r>
  <r>
    <s v="US-2017-139647"/>
    <x v="585"/>
    <d v="2017-05-13T00:00:00"/>
    <x v="2"/>
    <s v="TS-21370"/>
    <s v="Todd Sumrall"/>
    <x v="1"/>
    <s v="United States"/>
    <x v="43"/>
    <x v="22"/>
    <x v="1"/>
    <s v="FUR-BO-10004467"/>
    <s v="Furniture"/>
    <x v="0"/>
    <s v="Bestar Classic Bookcase"/>
    <n v="209.97900000000001"/>
    <n v="7"/>
    <n v="0.7"/>
    <n v="-356.96429999999998"/>
    <x v="3"/>
    <x v="7"/>
  </r>
  <r>
    <s v="CA-2014-153850"/>
    <x v="168"/>
    <d v="2014-11-29T00:00:00"/>
    <x v="1"/>
    <s v="TH-21100"/>
    <s v="Thea Hendricks"/>
    <x v="0"/>
    <s v="United States"/>
    <x v="219"/>
    <x v="15"/>
    <x v="2"/>
    <s v="FUR-FU-10002960"/>
    <s v="Furniture"/>
    <x v="3"/>
    <s v="Eldon 200 Class Desk Accessories, Burgundy"/>
    <n v="35.167999999999999"/>
    <n v="7"/>
    <n v="0.2"/>
    <n v="9.6712000000000007"/>
    <x v="2"/>
    <x v="0"/>
  </r>
  <r>
    <s v="CA-2014-127558"/>
    <x v="604"/>
    <d v="2014-11-18T00:00:00"/>
    <x v="2"/>
    <s v="SS-20410"/>
    <s v="Shahid Shariari"/>
    <x v="0"/>
    <s v="United States"/>
    <x v="2"/>
    <x v="2"/>
    <x v="1"/>
    <s v="FUR-FU-10002505"/>
    <s v="Furniture"/>
    <x v="3"/>
    <s v="Eldon 100 Class Desk Accessories"/>
    <n v="10.11"/>
    <n v="3"/>
    <n v="0"/>
    <n v="3.2351999999999999"/>
    <x v="0"/>
    <x v="0"/>
  </r>
  <r>
    <s v="CA-2016-133795"/>
    <x v="105"/>
    <d v="2016-12-24T00:00:00"/>
    <x v="1"/>
    <s v="JE-15475"/>
    <s v="Jeremy Ellison"/>
    <x v="0"/>
    <s v="United States"/>
    <x v="53"/>
    <x v="2"/>
    <x v="1"/>
    <s v="FUR-FU-10003731"/>
    <s v="Furniture"/>
    <x v="3"/>
    <s v="Eldon Expressions Wood and Plastic Desk Accessories, Oak"/>
    <n v="39.92"/>
    <n v="4"/>
    <n v="0"/>
    <n v="11.1776"/>
    <x v="6"/>
    <x v="5"/>
  </r>
  <r>
    <s v="US-2017-130953"/>
    <x v="605"/>
    <d v="2017-08-03T00:00:00"/>
    <x v="1"/>
    <s v="RF-19735"/>
    <s v="Roland Fjeld"/>
    <x v="0"/>
    <s v="United States"/>
    <x v="258"/>
    <x v="37"/>
    <x v="3"/>
    <s v="FUR-CH-10004626"/>
    <s v="Furniture"/>
    <x v="1"/>
    <s v="Office Star Flex Back Scooter Chair with Aluminum Finish Frame"/>
    <n v="302.67"/>
    <n v="3"/>
    <n v="0"/>
    <n v="72.640799999999999"/>
    <x v="2"/>
    <x v="3"/>
  </r>
  <r>
    <s v="CA-2016-155166"/>
    <x v="576"/>
    <d v="2017-01-02T00:00:00"/>
    <x v="1"/>
    <s v="BB-11545"/>
    <s v="Brenda Bowman"/>
    <x v="1"/>
    <s v="United States"/>
    <x v="109"/>
    <x v="18"/>
    <x v="2"/>
    <s v="FUR-CH-10003968"/>
    <s v="Furniture"/>
    <x v="1"/>
    <s v="Novimex Turbo Task Chair"/>
    <n v="212.94"/>
    <n v="3"/>
    <n v="0"/>
    <n v="25.552800000000001"/>
    <x v="1"/>
    <x v="5"/>
  </r>
  <r>
    <s v="CA-2015-103954"/>
    <x v="38"/>
    <d v="2015-08-13T00:00:00"/>
    <x v="0"/>
    <s v="HR-14770"/>
    <s v="Hallie Redmond"/>
    <x v="2"/>
    <s v="United States"/>
    <x v="79"/>
    <x v="16"/>
    <x v="3"/>
    <s v="FUR-BO-10004690"/>
    <s v="Furniture"/>
    <x v="0"/>
    <s v="O'Sullivan Cherrywood Estates Traditional Barrister Bookcase"/>
    <n v="687.4"/>
    <n v="5"/>
    <n v="0"/>
    <n v="48.118000000000002"/>
    <x v="4"/>
    <x v="10"/>
  </r>
  <r>
    <s v="CA-2014-169803"/>
    <x v="226"/>
    <d v="2014-04-12T00:00:00"/>
    <x v="1"/>
    <s v="SC-20260"/>
    <s v="Scott Cohen"/>
    <x v="1"/>
    <s v="United States"/>
    <x v="15"/>
    <x v="13"/>
    <x v="1"/>
    <s v="FUR-TA-10000688"/>
    <s v="Furniture"/>
    <x v="2"/>
    <s v="Chromcraft Bull-Nose Wood Round Conference Table Top, Wood Base"/>
    <n v="653.54999999999995"/>
    <n v="3"/>
    <n v="0"/>
    <n v="111.1035"/>
    <x v="6"/>
    <x v="6"/>
  </r>
  <r>
    <s v="CA-2015-136469"/>
    <x v="312"/>
    <d v="2015-07-12T00:00:00"/>
    <x v="2"/>
    <s v="TS-21370"/>
    <s v="Todd Sumrall"/>
    <x v="1"/>
    <s v="United States"/>
    <x v="16"/>
    <x v="14"/>
    <x v="2"/>
    <s v="FUR-TA-10001520"/>
    <s v="Furniture"/>
    <x v="2"/>
    <s v="Lesro Sheffield Collection Coffee Table, End Table, Center Table, Corner Table"/>
    <n v="199.83600000000001"/>
    <n v="4"/>
    <n v="0.3"/>
    <n v="-37.112400000000001"/>
    <x v="5"/>
    <x v="3"/>
  </r>
  <r>
    <s v="CA-2016-158694"/>
    <x v="480"/>
    <d v="2016-11-13T00:00:00"/>
    <x v="0"/>
    <s v="AI-10855"/>
    <s v="Arianne Irving"/>
    <x v="0"/>
    <s v="United States"/>
    <x v="2"/>
    <x v="2"/>
    <x v="1"/>
    <s v="FUR-FU-10000965"/>
    <s v="Furniture"/>
    <x v="3"/>
    <s v="Howard Miller 11-1/2&quot; Diameter Ridgewood Wall Clock"/>
    <n v="467.46"/>
    <n v="9"/>
    <n v="0"/>
    <n v="191.65860000000001"/>
    <x v="0"/>
    <x v="0"/>
  </r>
  <r>
    <s v="CA-2015-141243"/>
    <x v="606"/>
    <d v="2015-01-08T00:00:00"/>
    <x v="0"/>
    <s v="AH-10465"/>
    <s v="Amy Hunt"/>
    <x v="0"/>
    <s v="United States"/>
    <x v="144"/>
    <x v="5"/>
    <x v="3"/>
    <s v="FUR-BO-10003272"/>
    <s v="Furniture"/>
    <x v="0"/>
    <s v="O'Sullivan Living Dimensions 5-Shelf Bookcases"/>
    <n v="1352.3976"/>
    <n v="9"/>
    <n v="0.32"/>
    <n v="-437.54039999999998"/>
    <x v="2"/>
    <x v="8"/>
  </r>
  <r>
    <s v="CA-2015-136798"/>
    <x v="190"/>
    <d v="2015-05-12T00:00:00"/>
    <x v="1"/>
    <s v="DL-12925"/>
    <s v="Daniel Lacy"/>
    <x v="0"/>
    <s v="United States"/>
    <x v="12"/>
    <x v="11"/>
    <x v="3"/>
    <s v="FUR-FU-10000723"/>
    <s v="Furniture"/>
    <x v="3"/>
    <s v="Deflect-o EconoMat Studded, No Bevel Mat for Low Pile Carpeting"/>
    <n v="123.96"/>
    <n v="3"/>
    <n v="0"/>
    <n v="11.1564"/>
    <x v="4"/>
    <x v="7"/>
  </r>
  <r>
    <s v="CA-2017-142090"/>
    <x v="147"/>
    <d v="2017-12-07T00:00:00"/>
    <x v="1"/>
    <s v="SC-20380"/>
    <s v="Shahid Collister"/>
    <x v="0"/>
    <s v="United States"/>
    <x v="259"/>
    <x v="30"/>
    <x v="0"/>
    <s v="FUR-TA-10001889"/>
    <s v="Furniture"/>
    <x v="2"/>
    <s v="Bush Advantage Collection Racetrack Conference Table"/>
    <n v="1781.682"/>
    <n v="7"/>
    <n v="0.4"/>
    <n v="-653.28340000000003"/>
    <x v="1"/>
    <x v="0"/>
  </r>
  <r>
    <s v="CA-2014-124478"/>
    <x v="98"/>
    <d v="2014-08-12T00:00:00"/>
    <x v="1"/>
    <s v="MA-17560"/>
    <s v="Matt Abelman"/>
    <x v="2"/>
    <s v="United States"/>
    <x v="65"/>
    <x v="17"/>
    <x v="3"/>
    <s v="FUR-FU-10002088"/>
    <s v="Furniture"/>
    <x v="3"/>
    <s v="Nu-Dell Float Frame 11 x 14 1/2"/>
    <n v="53.88"/>
    <n v="6"/>
    <n v="0"/>
    <n v="22.6296"/>
    <x v="4"/>
    <x v="10"/>
  </r>
  <r>
    <s v="CA-2014-134572"/>
    <x v="607"/>
    <d v="2014-04-22T00:00:00"/>
    <x v="0"/>
    <s v="SV-20365"/>
    <s v="Seth Vernon"/>
    <x v="0"/>
    <s v="United States"/>
    <x v="6"/>
    <x v="5"/>
    <x v="3"/>
    <s v="FUR-TA-10001705"/>
    <s v="Furniture"/>
    <x v="2"/>
    <s v="Bush Advantage Collection Round Conference Table"/>
    <n v="744.1"/>
    <n v="5"/>
    <n v="0.3"/>
    <n v="-95.67"/>
    <x v="3"/>
    <x v="6"/>
  </r>
  <r>
    <s v="CA-2014-134572"/>
    <x v="607"/>
    <d v="2014-04-22T00:00:00"/>
    <x v="0"/>
    <s v="SV-20365"/>
    <s v="Seth Vernon"/>
    <x v="0"/>
    <s v="United States"/>
    <x v="6"/>
    <x v="5"/>
    <x v="3"/>
    <s v="FUR-TA-10004442"/>
    <s v="Furniture"/>
    <x v="2"/>
    <s v="Riverside Furniture Stanwyck Manor Table Series"/>
    <n v="401.59"/>
    <n v="2"/>
    <n v="0.3"/>
    <n v="-131.95099999999999"/>
    <x v="3"/>
    <x v="6"/>
  </r>
  <r>
    <s v="US-2017-133312"/>
    <x v="608"/>
    <d v="2017-11-29T00:00:00"/>
    <x v="1"/>
    <s v="BD-11500"/>
    <s v="Bradley Drucker"/>
    <x v="0"/>
    <s v="United States"/>
    <x v="28"/>
    <x v="2"/>
    <x v="1"/>
    <s v="FUR-BO-10002213"/>
    <s v="Furniture"/>
    <x v="0"/>
    <s v="Sauder Forest Hills Library, Woodland Oak Finish"/>
    <n v="359.49900000000002"/>
    <n v="3"/>
    <n v="0.15"/>
    <n v="-29.605799999999999"/>
    <x v="4"/>
    <x v="0"/>
  </r>
  <r>
    <s v="US-2014-140452"/>
    <x v="387"/>
    <d v="2014-12-10T00:00:00"/>
    <x v="1"/>
    <s v="BK-11260"/>
    <s v="Berenike Kampe"/>
    <x v="0"/>
    <s v="United States"/>
    <x v="9"/>
    <x v="8"/>
    <x v="3"/>
    <s v="FUR-TA-10004086"/>
    <s v="Furniture"/>
    <x v="2"/>
    <s v="KI Adjustable-Height Table"/>
    <n v="214.95"/>
    <n v="5"/>
    <n v="0.5"/>
    <n v="-120.372"/>
    <x v="4"/>
    <x v="5"/>
  </r>
  <r>
    <s v="US-2014-140452"/>
    <x v="387"/>
    <d v="2014-12-10T00:00:00"/>
    <x v="1"/>
    <s v="BK-11260"/>
    <s v="Berenike Kampe"/>
    <x v="0"/>
    <s v="United States"/>
    <x v="9"/>
    <x v="8"/>
    <x v="3"/>
    <s v="FUR-FU-10002088"/>
    <s v="Furniture"/>
    <x v="3"/>
    <s v="Nu-Dell Float Frame 11 x 14 1/2"/>
    <n v="10.776"/>
    <n v="3"/>
    <n v="0.6"/>
    <n v="-4.8491999999999997"/>
    <x v="4"/>
    <x v="5"/>
  </r>
  <r>
    <s v="CA-2014-116568"/>
    <x v="609"/>
    <d v="2014-12-20T00:00:00"/>
    <x v="1"/>
    <s v="BM-11785"/>
    <s v="Bryan Mills"/>
    <x v="0"/>
    <s v="United States"/>
    <x v="260"/>
    <x v="1"/>
    <x v="0"/>
    <s v="FUR-CH-10002439"/>
    <s v="Furniture"/>
    <x v="1"/>
    <s v="Iceberg Nesting Folding Chair, 19w x 6d x 43h"/>
    <n v="186.304"/>
    <n v="4"/>
    <n v="0.2"/>
    <n v="13.972799999999999"/>
    <x v="6"/>
    <x v="5"/>
  </r>
  <r>
    <s v="CA-2015-153073"/>
    <x v="18"/>
    <d v="2015-11-13T00:00:00"/>
    <x v="3"/>
    <s v="HA-14905"/>
    <s v="Helen Abelman"/>
    <x v="0"/>
    <s v="United States"/>
    <x v="9"/>
    <x v="8"/>
    <x v="3"/>
    <s v="FUR-FU-10001025"/>
    <s v="Furniture"/>
    <x v="3"/>
    <s v="Eldon Imˆge Series Desk Accessories, Clear"/>
    <n v="17.495999999999999"/>
    <n v="9"/>
    <n v="0.6"/>
    <n v="-7.4358000000000004"/>
    <x v="7"/>
    <x v="0"/>
  </r>
  <r>
    <s v="CA-2014-160766"/>
    <x v="94"/>
    <d v="2014-09-14T00:00:00"/>
    <x v="3"/>
    <s v="DM-13015"/>
    <s v="Darrin Martin"/>
    <x v="0"/>
    <s v="United States"/>
    <x v="13"/>
    <x v="7"/>
    <x v="2"/>
    <s v="FUR-TA-10001039"/>
    <s v="Furniture"/>
    <x v="2"/>
    <s v="KI Adjustable-Height Table"/>
    <n v="464.29199999999997"/>
    <n v="9"/>
    <n v="0.4"/>
    <n v="-108.3348"/>
    <x v="7"/>
    <x v="4"/>
  </r>
  <r>
    <s v="CA-2017-146626"/>
    <x v="297"/>
    <d v="2018-01-05T00:00:00"/>
    <x v="1"/>
    <s v="BP-11185"/>
    <s v="Ben Peterman"/>
    <x v="1"/>
    <s v="United States"/>
    <x v="261"/>
    <x v="2"/>
    <x v="1"/>
    <s v="FUR-FU-10002501"/>
    <s v="Furniture"/>
    <x v="3"/>
    <s v="Nu-Dell Executive Frame"/>
    <n v="101.12"/>
    <n v="8"/>
    <n v="0"/>
    <n v="37.414400000000001"/>
    <x v="1"/>
    <x v="5"/>
  </r>
  <r>
    <s v="CA-2016-128972"/>
    <x v="282"/>
    <d v="2016-11-17T00:00:00"/>
    <x v="1"/>
    <s v="TS-21430"/>
    <s v="Tom Stivers"/>
    <x v="1"/>
    <s v="United States"/>
    <x v="258"/>
    <x v="37"/>
    <x v="3"/>
    <s v="FUR-FU-10003096"/>
    <s v="Furniture"/>
    <x v="3"/>
    <s v="Master Giant Foot Doorstop, Safety Yellow"/>
    <n v="30.36"/>
    <n v="4"/>
    <n v="0"/>
    <n v="13.0548"/>
    <x v="4"/>
    <x v="0"/>
  </r>
  <r>
    <s v="CA-2016-111213"/>
    <x v="610"/>
    <d v="2016-04-05T00:00:00"/>
    <x v="1"/>
    <s v="FP-14320"/>
    <s v="Frank Preis"/>
    <x v="0"/>
    <s v="United States"/>
    <x v="13"/>
    <x v="7"/>
    <x v="2"/>
    <s v="FUR-CH-10000454"/>
    <s v="Furniture"/>
    <x v="1"/>
    <s v="Hon Deluxe Fabric Upholstered Stacking Chairs, Rounded Back"/>
    <n v="1317.492"/>
    <n v="6"/>
    <n v="0.1"/>
    <n v="292.77600000000001"/>
    <x v="4"/>
    <x v="6"/>
  </r>
  <r>
    <s v="CA-2017-161333"/>
    <x v="611"/>
    <d v="2017-02-07T00:00:00"/>
    <x v="1"/>
    <s v="JL-15835"/>
    <s v="John Lee"/>
    <x v="0"/>
    <s v="United States"/>
    <x v="2"/>
    <x v="2"/>
    <x v="1"/>
    <s v="FUR-FU-10003039"/>
    <s v="Furniture"/>
    <x v="3"/>
    <s v="Howard Miller 11-1/2&quot; Diameter Grantwood Wall Clock"/>
    <n v="86.26"/>
    <n v="2"/>
    <n v="0"/>
    <n v="29.328399999999998"/>
    <x v="2"/>
    <x v="11"/>
  </r>
  <r>
    <s v="CA-2017-128734"/>
    <x v="455"/>
    <d v="2017-12-31T00:00:00"/>
    <x v="1"/>
    <s v="JL-15175"/>
    <s v="James Lanier"/>
    <x v="2"/>
    <s v="United States"/>
    <x v="262"/>
    <x v="22"/>
    <x v="1"/>
    <s v="FUR-FU-10001731"/>
    <s v="Furniture"/>
    <x v="3"/>
    <s v="Acrylic Self-Standing Desk Frames"/>
    <n v="8.5440000000000005"/>
    <n v="4"/>
    <n v="0.2"/>
    <n v="1.9224000000000001"/>
    <x v="1"/>
    <x v="5"/>
  </r>
  <r>
    <s v="CA-2017-128734"/>
    <x v="455"/>
    <d v="2017-12-31T00:00:00"/>
    <x v="1"/>
    <s v="JL-15175"/>
    <s v="James Lanier"/>
    <x v="2"/>
    <s v="United States"/>
    <x v="262"/>
    <x v="22"/>
    <x v="1"/>
    <s v="FUR-CH-10001394"/>
    <s v="Furniture"/>
    <x v="1"/>
    <s v="Global Leather Executive Chair"/>
    <n v="842.37599999999998"/>
    <n v="3"/>
    <n v="0.2"/>
    <n v="105.297"/>
    <x v="1"/>
    <x v="5"/>
  </r>
  <r>
    <s v="US-2015-124219"/>
    <x v="612"/>
    <d v="2015-08-08T00:00:00"/>
    <x v="2"/>
    <s v="KW-16570"/>
    <s v="Kelly Williams"/>
    <x v="0"/>
    <s v="United States"/>
    <x v="263"/>
    <x v="23"/>
    <x v="3"/>
    <s v="FUR-FU-10000305"/>
    <s v="Furniture"/>
    <x v="3"/>
    <s v="Tenex V2T-RE Standard Weight Series Chair Mat, 45&quot; x 53&quot;, Lip 25&quot; x 12&quot;"/>
    <n v="212.94"/>
    <n v="3"/>
    <n v="0"/>
    <n v="34.070399999999999"/>
    <x v="5"/>
    <x v="10"/>
  </r>
  <r>
    <s v="CA-2017-163006"/>
    <x v="254"/>
    <d v="2017-07-04T00:00:00"/>
    <x v="0"/>
    <s v="GH-14410"/>
    <s v="Gary Hansen"/>
    <x v="2"/>
    <s v="United States"/>
    <x v="9"/>
    <x v="8"/>
    <x v="3"/>
    <s v="FUR-CH-10000229"/>
    <s v="Furniture"/>
    <x v="1"/>
    <s v="Global Enterprise Series Seating High-Back Swivel/Tilt Chairs"/>
    <n v="569.05799999999999"/>
    <n v="3"/>
    <n v="0.3"/>
    <n v="-178.8468"/>
    <x v="4"/>
    <x v="2"/>
  </r>
  <r>
    <s v="CA-2017-163006"/>
    <x v="254"/>
    <d v="2017-07-04T00:00:00"/>
    <x v="0"/>
    <s v="GH-14410"/>
    <s v="Gary Hansen"/>
    <x v="2"/>
    <s v="United States"/>
    <x v="9"/>
    <x v="8"/>
    <x v="3"/>
    <s v="FUR-FU-10003799"/>
    <s v="Furniture"/>
    <x v="3"/>
    <s v="Seth Thomas 13 1/2&quot; Wall Clock"/>
    <n v="14.224"/>
    <n v="2"/>
    <n v="0.6"/>
    <n v="-10.3124"/>
    <x v="4"/>
    <x v="2"/>
  </r>
  <r>
    <s v="CA-2014-111192"/>
    <x v="613"/>
    <d v="2014-08-05T00:00:00"/>
    <x v="1"/>
    <s v="TS-21430"/>
    <s v="Tom Stivers"/>
    <x v="1"/>
    <s v="United States"/>
    <x v="15"/>
    <x v="13"/>
    <x v="1"/>
    <s v="FUR-BO-10002916"/>
    <s v="Furniture"/>
    <x v="0"/>
    <s v="Rush Hierlooms Collection 1&quot; Thick Stackable Bookcases"/>
    <n v="1367.84"/>
    <n v="8"/>
    <n v="0"/>
    <n v="259.88959999999997"/>
    <x v="6"/>
    <x v="3"/>
  </r>
  <r>
    <s v="CA-2016-115378"/>
    <x v="515"/>
    <d v="2016-11-23T00:00:00"/>
    <x v="0"/>
    <s v="AJ-10945"/>
    <s v="Ashley Jarboe"/>
    <x v="0"/>
    <s v="United States"/>
    <x v="264"/>
    <x v="17"/>
    <x v="3"/>
    <s v="FUR-CH-10000863"/>
    <s v="Furniture"/>
    <x v="1"/>
    <s v="Novimex Swivel Fabric Task Chair"/>
    <n v="301.95999999999998"/>
    <n v="2"/>
    <n v="0"/>
    <n v="33.215600000000002"/>
    <x v="2"/>
    <x v="0"/>
  </r>
  <r>
    <s v="CA-2015-161627"/>
    <x v="171"/>
    <d v="2015-07-11T00:00:00"/>
    <x v="1"/>
    <s v="SJ-20215"/>
    <s v="Sarah Jordon"/>
    <x v="0"/>
    <s v="United States"/>
    <x v="102"/>
    <x v="2"/>
    <x v="1"/>
    <s v="FUR-CH-10003968"/>
    <s v="Furniture"/>
    <x v="1"/>
    <s v="Novimex Turbo Task Chair"/>
    <n v="170.352"/>
    <n v="3"/>
    <n v="0.2"/>
    <n v="-17.0352"/>
    <x v="2"/>
    <x v="3"/>
  </r>
  <r>
    <s v="CA-2014-121006"/>
    <x v="448"/>
    <d v="2014-11-16T00:00:00"/>
    <x v="1"/>
    <s v="SC-20020"/>
    <s v="Sam Craven"/>
    <x v="0"/>
    <s v="United States"/>
    <x v="265"/>
    <x v="17"/>
    <x v="3"/>
    <s v="FUR-CH-10004997"/>
    <s v="Furniture"/>
    <x v="1"/>
    <s v="Hon Every-Day Series Multi-Task Chairs"/>
    <n v="563.94000000000005"/>
    <n v="3"/>
    <n v="0"/>
    <n v="112.788"/>
    <x v="6"/>
    <x v="0"/>
  </r>
  <r>
    <s v="CA-2016-122903"/>
    <x v="614"/>
    <d v="2016-05-29T00:00:00"/>
    <x v="0"/>
    <s v="LA-16780"/>
    <s v="Laura Armstrong"/>
    <x v="1"/>
    <s v="United States"/>
    <x v="25"/>
    <x v="17"/>
    <x v="3"/>
    <s v="FUR-CH-10002024"/>
    <s v="Furniture"/>
    <x v="1"/>
    <s v="HON 5400 Series Task Chairs for Big and Tall"/>
    <n v="3504.9"/>
    <n v="5"/>
    <n v="0"/>
    <n v="700.98"/>
    <x v="3"/>
    <x v="7"/>
  </r>
  <r>
    <s v="CA-2017-106432"/>
    <x v="66"/>
    <d v="2017-10-24T00:00:00"/>
    <x v="1"/>
    <s v="CA-12265"/>
    <s v="Christina Anderson"/>
    <x v="0"/>
    <s v="United States"/>
    <x v="266"/>
    <x v="5"/>
    <x v="3"/>
    <s v="FUR-BO-10004360"/>
    <s v="Furniture"/>
    <x v="0"/>
    <s v="Rush Hierlooms Collection Rich Wood Bookcases"/>
    <n v="328.39920000000001"/>
    <n v="3"/>
    <n v="0.32"/>
    <n v="-91.758600000000001"/>
    <x v="2"/>
    <x v="1"/>
  </r>
  <r>
    <s v="US-2015-120502"/>
    <x v="315"/>
    <d v="2015-04-19T00:00:00"/>
    <x v="1"/>
    <s v="BT-11395"/>
    <s v="Bill Tyler"/>
    <x v="1"/>
    <s v="United States"/>
    <x v="2"/>
    <x v="2"/>
    <x v="1"/>
    <s v="FUR-FU-10004973"/>
    <s v="Furniture"/>
    <x v="3"/>
    <s v="Flat Face Poster Frame"/>
    <n v="37.68"/>
    <n v="2"/>
    <n v="0"/>
    <n v="15.8256"/>
    <x v="6"/>
    <x v="6"/>
  </r>
  <r>
    <s v="CA-2015-115567"/>
    <x v="615"/>
    <d v="2015-09-18T00:00:00"/>
    <x v="1"/>
    <s v="ZC-21910"/>
    <s v="Zuschuss Carroll"/>
    <x v="0"/>
    <s v="United States"/>
    <x v="29"/>
    <x v="6"/>
    <x v="3"/>
    <s v="FUR-CH-10000015"/>
    <s v="Furniture"/>
    <x v="1"/>
    <s v="Hon Multipurpose Stacking Arm Chairs"/>
    <n v="1516.2"/>
    <n v="7"/>
    <n v="0"/>
    <n v="394.21199999999999"/>
    <x v="2"/>
    <x v="4"/>
  </r>
  <r>
    <s v="CA-2014-101560"/>
    <x v="616"/>
    <d v="2014-12-01T00:00:00"/>
    <x v="0"/>
    <s v="CS-12250"/>
    <s v="Chris Selesnick"/>
    <x v="1"/>
    <s v="United States"/>
    <x v="11"/>
    <x v="10"/>
    <x v="0"/>
    <s v="FUR-FU-10003773"/>
    <s v="Furniture"/>
    <x v="3"/>
    <s v="Eldon Cleatmat Plus Chair Mats for High Pile Carpets"/>
    <n v="397.6"/>
    <n v="5"/>
    <n v="0"/>
    <n v="43.735999999999997"/>
    <x v="0"/>
    <x v="0"/>
  </r>
  <r>
    <s v="CA-2015-142454"/>
    <x v="617"/>
    <d v="2015-08-19T00:00:00"/>
    <x v="1"/>
    <s v="RE-19450"/>
    <s v="Richard Eichhorn"/>
    <x v="0"/>
    <s v="United States"/>
    <x v="121"/>
    <x v="2"/>
    <x v="1"/>
    <s v="FUR-FU-10004018"/>
    <s v="Furniture"/>
    <x v="3"/>
    <s v="Tensor Computer Mounted Lamp"/>
    <n v="104.23"/>
    <n v="7"/>
    <n v="0"/>
    <n v="28.142099999999999"/>
    <x v="4"/>
    <x v="10"/>
  </r>
  <r>
    <s v="CA-2017-145653"/>
    <x v="449"/>
    <d v="2017-09-01T00:00:00"/>
    <x v="3"/>
    <s v="CA-12775"/>
    <s v="Cynthia Arntzen"/>
    <x v="0"/>
    <s v="United States"/>
    <x v="25"/>
    <x v="17"/>
    <x v="3"/>
    <s v="FUR-CH-10004875"/>
    <s v="Furniture"/>
    <x v="1"/>
    <s v="Harbour Creations 67200 Series Stacking Chairs"/>
    <n v="498.26"/>
    <n v="7"/>
    <n v="0"/>
    <n v="134.53020000000001"/>
    <x v="7"/>
    <x v="4"/>
  </r>
  <r>
    <s v="CA-2014-140487"/>
    <x v="618"/>
    <d v="2014-06-20T00:00:00"/>
    <x v="1"/>
    <s v="SR-20425"/>
    <s v="Sharelle Roach"/>
    <x v="2"/>
    <s v="United States"/>
    <x v="25"/>
    <x v="17"/>
    <x v="3"/>
    <s v="FUR-BO-10000711"/>
    <s v="Furniture"/>
    <x v="0"/>
    <s v="Hon Metal Bookcases, Gray"/>
    <n v="212.94"/>
    <n v="3"/>
    <n v="0"/>
    <n v="57.4938"/>
    <x v="6"/>
    <x v="2"/>
  </r>
  <r>
    <s v="CA-2016-119865"/>
    <x v="619"/>
    <d v="2016-06-26T00:00:00"/>
    <x v="1"/>
    <s v="AS-10090"/>
    <s v="Adam Shillingsburg"/>
    <x v="0"/>
    <s v="United States"/>
    <x v="13"/>
    <x v="7"/>
    <x v="2"/>
    <s v="FUR-BO-10003272"/>
    <s v="Furniture"/>
    <x v="0"/>
    <s v="O'Sullivan Living Dimensions 5-Shelf Bookcases"/>
    <n v="353.56799999999998"/>
    <n v="2"/>
    <n v="0.2"/>
    <n v="-44.195999999999998"/>
    <x v="2"/>
    <x v="2"/>
  </r>
  <r>
    <s v="CA-2017-124436"/>
    <x v="620"/>
    <d v="2017-03-22T00:00:00"/>
    <x v="0"/>
    <s v="SA-20830"/>
    <s v="Sue Ann Reed"/>
    <x v="0"/>
    <s v="United States"/>
    <x v="99"/>
    <x v="2"/>
    <x v="1"/>
    <s v="FUR-TA-10001095"/>
    <s v="Furniture"/>
    <x v="2"/>
    <s v="Chromcraft Round Conference Tables"/>
    <n v="697.16"/>
    <n v="5"/>
    <n v="0.2"/>
    <n v="8.7144999999999992"/>
    <x v="0"/>
    <x v="9"/>
  </r>
  <r>
    <s v="CA-2017-124436"/>
    <x v="620"/>
    <d v="2017-03-22T00:00:00"/>
    <x v="0"/>
    <s v="SA-20830"/>
    <s v="Sue Ann Reed"/>
    <x v="0"/>
    <s v="United States"/>
    <x v="99"/>
    <x v="2"/>
    <x v="1"/>
    <s v="FUR-FU-10001185"/>
    <s v="Furniture"/>
    <x v="3"/>
    <s v="Advantus Employee of the Month Certificate Frame, 11 x 13-1/2"/>
    <n v="30.93"/>
    <n v="1"/>
    <n v="0"/>
    <n v="12.6813"/>
    <x v="0"/>
    <x v="9"/>
  </r>
  <r>
    <s v="CA-2014-115084"/>
    <x v="305"/>
    <d v="2014-10-22T00:00:00"/>
    <x v="1"/>
    <s v="LS-17200"/>
    <s v="Luke Schmidt"/>
    <x v="1"/>
    <s v="United States"/>
    <x v="267"/>
    <x v="31"/>
    <x v="0"/>
    <s v="FUR-CH-10004626"/>
    <s v="Furniture"/>
    <x v="1"/>
    <s v="Office Star Flex Back Scooter Chair with Aluminum Finish Frame"/>
    <n v="605.34"/>
    <n v="6"/>
    <n v="0"/>
    <n v="145.2816"/>
    <x v="4"/>
    <x v="1"/>
  </r>
  <r>
    <s v="CA-2017-131037"/>
    <x v="621"/>
    <d v="2017-08-23T00:00:00"/>
    <x v="2"/>
    <s v="TM-21490"/>
    <s v="Tony Molinari"/>
    <x v="0"/>
    <s v="United States"/>
    <x v="28"/>
    <x v="2"/>
    <x v="1"/>
    <s v="FUR-TA-10001768"/>
    <s v="Furniture"/>
    <x v="2"/>
    <s v="Hon Racetrack Conference Tables"/>
    <n v="210.00800000000001"/>
    <n v="1"/>
    <n v="0.2"/>
    <n v="2.6251000000000002"/>
    <x v="5"/>
    <x v="10"/>
  </r>
  <r>
    <s v="CA-2014-166744"/>
    <x v="23"/>
    <d v="2014-09-24T00:00:00"/>
    <x v="1"/>
    <s v="DN-13690"/>
    <s v="Duane Noonan"/>
    <x v="0"/>
    <s v="United States"/>
    <x v="11"/>
    <x v="32"/>
    <x v="2"/>
    <s v="FUR-FU-10004952"/>
    <s v="Furniture"/>
    <x v="3"/>
    <s v="C-Line Cubicle Keepers Polyproplyene Holder w/Velcro Back, 8-1/2x11, 25/Bx"/>
    <n v="164.22"/>
    <n v="3"/>
    <n v="0"/>
    <n v="50.908200000000001"/>
    <x v="4"/>
    <x v="4"/>
  </r>
  <r>
    <s v="CA-2014-166744"/>
    <x v="23"/>
    <d v="2014-09-24T00:00:00"/>
    <x v="1"/>
    <s v="DN-13690"/>
    <s v="Duane Noonan"/>
    <x v="0"/>
    <s v="United States"/>
    <x v="11"/>
    <x v="32"/>
    <x v="2"/>
    <s v="FUR-BO-10001337"/>
    <s v="Furniture"/>
    <x v="0"/>
    <s v="O'Sullivan Living Dimensions 2-Shelf Bookcases"/>
    <n v="362.94"/>
    <n v="3"/>
    <n v="0"/>
    <n v="36.293999999999997"/>
    <x v="4"/>
    <x v="4"/>
  </r>
  <r>
    <s v="CA-2016-156265"/>
    <x v="622"/>
    <d v="2016-08-04T00:00:00"/>
    <x v="0"/>
    <s v="BF-11020"/>
    <s v="Barry Franzšsisch"/>
    <x v="1"/>
    <s v="United States"/>
    <x v="2"/>
    <x v="2"/>
    <x v="1"/>
    <s v="FUR-TA-10001691"/>
    <s v="Furniture"/>
    <x v="2"/>
    <s v="Barricks Non-Folding Utility Table with Steel Legs, Laminate Tops"/>
    <n v="136.464"/>
    <n v="2"/>
    <n v="0.2"/>
    <n v="15.3522"/>
    <x v="3"/>
    <x v="10"/>
  </r>
  <r>
    <s v="CA-2015-125185"/>
    <x v="298"/>
    <d v="2015-03-07T00:00:00"/>
    <x v="0"/>
    <s v="AH-10195"/>
    <s v="Alan Haines"/>
    <x v="1"/>
    <s v="United States"/>
    <x v="268"/>
    <x v="3"/>
    <x v="2"/>
    <s v="FUR-CH-10002647"/>
    <s v="Furniture"/>
    <x v="1"/>
    <s v="Situations Contoured Folding Chairs, 4/Set"/>
    <n v="99.372"/>
    <n v="2"/>
    <n v="0.3"/>
    <n v="-7.0979999999999999"/>
    <x v="3"/>
    <x v="9"/>
  </r>
  <r>
    <s v="CA-2015-125185"/>
    <x v="298"/>
    <d v="2015-03-07T00:00:00"/>
    <x v="0"/>
    <s v="AH-10195"/>
    <s v="Alan Haines"/>
    <x v="1"/>
    <s v="United States"/>
    <x v="268"/>
    <x v="3"/>
    <x v="2"/>
    <s v="FUR-FU-10003247"/>
    <s v="Furniture"/>
    <x v="3"/>
    <s v="36X48 HARDFLOOR CHAIRMAT"/>
    <n v="33.567999999999998"/>
    <n v="2"/>
    <n v="0.2"/>
    <n v="-5.4547999999999996"/>
    <x v="3"/>
    <x v="9"/>
  </r>
  <r>
    <s v="CA-2014-105165"/>
    <x v="266"/>
    <d v="2014-09-10T00:00:00"/>
    <x v="2"/>
    <s v="SZ-20035"/>
    <s v="Sam Zeldin"/>
    <x v="2"/>
    <s v="United States"/>
    <x v="6"/>
    <x v="5"/>
    <x v="3"/>
    <s v="FUR-TA-10004154"/>
    <s v="Furniture"/>
    <x v="2"/>
    <s v="Riverside Furniture Oval Coffee Table, Oval End Table, End Table with Drawer"/>
    <n v="200.79499999999999"/>
    <n v="1"/>
    <n v="0.3"/>
    <n v="-22.948"/>
    <x v="0"/>
    <x v="4"/>
  </r>
  <r>
    <s v="CA-2017-144484"/>
    <x v="91"/>
    <d v="2017-09-11T00:00:00"/>
    <x v="3"/>
    <s v="CB-12025"/>
    <s v="Cassandra Brandow"/>
    <x v="0"/>
    <s v="United States"/>
    <x v="28"/>
    <x v="2"/>
    <x v="1"/>
    <s v="FUR-FU-10000260"/>
    <s v="Furniture"/>
    <x v="3"/>
    <s v="6&quot; Cubicle Wall Clock, Black"/>
    <n v="32.36"/>
    <n v="4"/>
    <n v="0"/>
    <n v="11.6496"/>
    <x v="7"/>
    <x v="4"/>
  </r>
  <r>
    <s v="CA-2017-125913"/>
    <x v="623"/>
    <d v="2017-01-16T00:00:00"/>
    <x v="3"/>
    <s v="JO-15145"/>
    <s v="Jack O'Briant"/>
    <x v="1"/>
    <s v="United States"/>
    <x v="2"/>
    <x v="2"/>
    <x v="1"/>
    <s v="FUR-FU-10001487"/>
    <s v="Furniture"/>
    <x v="3"/>
    <s v="Eldon Expressions Wood and Plastic Desk Accessories, Cherry Wood"/>
    <n v="27.92"/>
    <n v="4"/>
    <n v="0"/>
    <n v="8.0968"/>
    <x v="7"/>
    <x v="8"/>
  </r>
  <r>
    <s v="CA-2017-125913"/>
    <x v="623"/>
    <d v="2017-01-16T00:00:00"/>
    <x v="3"/>
    <s v="JO-15145"/>
    <s v="Jack O'Briant"/>
    <x v="1"/>
    <s v="United States"/>
    <x v="2"/>
    <x v="2"/>
    <x v="1"/>
    <s v="FUR-TA-10001520"/>
    <s v="Furniture"/>
    <x v="2"/>
    <s v="Lesro Sheffield Collection Coffee Table, End Table, Center Table, Corner Table"/>
    <n v="399.67200000000003"/>
    <n v="7"/>
    <n v="0.2"/>
    <n v="-14.9877"/>
    <x v="7"/>
    <x v="8"/>
  </r>
  <r>
    <s v="CA-2015-162887"/>
    <x v="86"/>
    <d v="2015-11-09T00:00:00"/>
    <x v="0"/>
    <s v="SV-20785"/>
    <s v="Stewart Visinsky"/>
    <x v="0"/>
    <s v="United States"/>
    <x v="259"/>
    <x v="43"/>
    <x v="2"/>
    <s v="FUR-CH-10000595"/>
    <s v="Furniture"/>
    <x v="1"/>
    <s v="Safco Contoured Stacking Chairs"/>
    <n v="715.2"/>
    <n v="3"/>
    <n v="0"/>
    <n v="178.8"/>
    <x v="3"/>
    <x v="0"/>
  </r>
  <r>
    <s v="CA-2014-113859"/>
    <x v="624"/>
    <d v="2014-09-17T00:00:00"/>
    <x v="1"/>
    <s v="BC-11125"/>
    <s v="Becky Castell"/>
    <x v="2"/>
    <s v="United States"/>
    <x v="221"/>
    <x v="5"/>
    <x v="3"/>
    <s v="FUR-CH-10004698"/>
    <s v="Furniture"/>
    <x v="1"/>
    <s v="Padded Folding Chairs, Black, 4/Carton"/>
    <n v="340.11599999999999"/>
    <n v="6"/>
    <n v="0.3"/>
    <n v="-9.7175999999999991"/>
    <x v="4"/>
    <x v="4"/>
  </r>
  <r>
    <s v="CA-2015-105158"/>
    <x v="278"/>
    <d v="2015-09-10T00:00:00"/>
    <x v="1"/>
    <s v="SP-20860"/>
    <s v="Sung Pak"/>
    <x v="1"/>
    <s v="United States"/>
    <x v="77"/>
    <x v="11"/>
    <x v="3"/>
    <s v="FUR-FU-10001706"/>
    <s v="Furniture"/>
    <x v="3"/>
    <s v="Longer-Life Soft White Bulbs"/>
    <n v="6.16"/>
    <n v="2"/>
    <n v="0"/>
    <n v="2.9567999999999999"/>
    <x v="2"/>
    <x v="4"/>
  </r>
  <r>
    <s v="CA-2017-105991"/>
    <x v="625"/>
    <d v="2017-05-06T00:00:00"/>
    <x v="2"/>
    <s v="LH-17020"/>
    <s v="Lisa Hazard"/>
    <x v="0"/>
    <s v="United States"/>
    <x v="74"/>
    <x v="12"/>
    <x v="1"/>
    <s v="FUR-BO-10004467"/>
    <s v="Furniture"/>
    <x v="0"/>
    <s v="Bestar Classic Bookcase"/>
    <n v="89.991"/>
    <n v="3"/>
    <n v="0.7"/>
    <n v="-152.9847"/>
    <x v="5"/>
    <x v="7"/>
  </r>
  <r>
    <s v="CA-2014-146283"/>
    <x v="30"/>
    <d v="2014-09-15T00:00:00"/>
    <x v="1"/>
    <s v="KT-16465"/>
    <s v="Kean Takahito"/>
    <x v="0"/>
    <s v="United States"/>
    <x v="6"/>
    <x v="5"/>
    <x v="3"/>
    <s v="FUR-CH-10004287"/>
    <s v="Furniture"/>
    <x v="1"/>
    <s v="SAFCO Arco Folding Chair"/>
    <n v="966.7"/>
    <n v="5"/>
    <n v="0.3"/>
    <n v="-13.81"/>
    <x v="1"/>
    <x v="4"/>
  </r>
  <r>
    <s v="CA-2015-111073"/>
    <x v="626"/>
    <d v="2015-12-30T00:00:00"/>
    <x v="1"/>
    <s v="MC-18100"/>
    <s v="Mick Crebagga"/>
    <x v="0"/>
    <s v="United States"/>
    <x v="23"/>
    <x v="15"/>
    <x v="2"/>
    <s v="FUR-TA-10004086"/>
    <s v="Furniture"/>
    <x v="2"/>
    <s v="KI Adjustable-Height Table"/>
    <n v="51.588000000000001"/>
    <n v="1"/>
    <n v="0.4"/>
    <n v="-15.4764"/>
    <x v="4"/>
    <x v="5"/>
  </r>
  <r>
    <s v="CA-2017-108791"/>
    <x v="534"/>
    <d v="2017-07-31T00:00:00"/>
    <x v="1"/>
    <s v="TM-21490"/>
    <s v="Tony Molinari"/>
    <x v="0"/>
    <s v="United States"/>
    <x v="90"/>
    <x v="7"/>
    <x v="2"/>
    <s v="FUR-FU-10004018"/>
    <s v="Furniture"/>
    <x v="3"/>
    <s v="Tensor Computer Mounted Lamp"/>
    <n v="14.89"/>
    <n v="1"/>
    <n v="0"/>
    <n v="4.0202999999999998"/>
    <x v="4"/>
    <x v="3"/>
  </r>
  <r>
    <s v="CA-2016-113831"/>
    <x v="82"/>
    <d v="2016-06-03T00:00:00"/>
    <x v="1"/>
    <s v="AH-10690"/>
    <s v="Anna HŠberlin"/>
    <x v="1"/>
    <s v="United States"/>
    <x v="76"/>
    <x v="25"/>
    <x v="0"/>
    <s v="FUR-TA-10002645"/>
    <s v="Furniture"/>
    <x v="2"/>
    <s v="Hon Rectangular Conference Tables"/>
    <n v="2275.5"/>
    <n v="10"/>
    <n v="0"/>
    <n v="386.83499999999998"/>
    <x v="4"/>
    <x v="7"/>
  </r>
  <r>
    <s v="US-2014-139500"/>
    <x v="627"/>
    <d v="2014-11-20T00:00:00"/>
    <x v="1"/>
    <s v="AB-10165"/>
    <s v="Alan Barnes"/>
    <x v="0"/>
    <s v="United States"/>
    <x v="42"/>
    <x v="8"/>
    <x v="3"/>
    <s v="FUR-CH-10002017"/>
    <s v="Furniture"/>
    <x v="1"/>
    <s v="SAFCO Optional Arm Kit for Workspace Cribbage Stacking Chair"/>
    <n v="37.295999999999999"/>
    <n v="2"/>
    <n v="0.3"/>
    <n v="-1.0656000000000001"/>
    <x v="4"/>
    <x v="0"/>
  </r>
  <r>
    <s v="US-2014-166310"/>
    <x v="628"/>
    <d v="2014-09-23T00:00:00"/>
    <x v="2"/>
    <s v="JS-15940"/>
    <s v="Joni Sundaresam"/>
    <x v="2"/>
    <s v="United States"/>
    <x v="269"/>
    <x v="5"/>
    <x v="3"/>
    <s v="FUR-FU-10001546"/>
    <s v="Furniture"/>
    <x v="3"/>
    <s v="Dana Swing-Arm Lamps"/>
    <n v="8.5440000000000005"/>
    <n v="2"/>
    <n v="0.6"/>
    <n v="-7.476"/>
    <x v="3"/>
    <x v="4"/>
  </r>
  <r>
    <s v="US-2016-168410"/>
    <x v="629"/>
    <d v="2016-02-26T00:00:00"/>
    <x v="1"/>
    <s v="BV-11245"/>
    <s v="Benjamin Venier"/>
    <x v="1"/>
    <s v="United States"/>
    <x v="64"/>
    <x v="7"/>
    <x v="2"/>
    <s v="FUR-FU-10000629"/>
    <s v="Furniture"/>
    <x v="3"/>
    <s v="9-3/4 Diameter Round Wall Clock"/>
    <n v="68.95"/>
    <n v="5"/>
    <n v="0"/>
    <n v="28.959"/>
    <x v="2"/>
    <x v="11"/>
  </r>
  <r>
    <s v="CA-2017-131254"/>
    <x v="49"/>
    <d v="2017-11-21T00:00:00"/>
    <x v="2"/>
    <s v="NC-18415"/>
    <s v="Nathan Cano"/>
    <x v="0"/>
    <s v="United States"/>
    <x v="6"/>
    <x v="5"/>
    <x v="3"/>
    <s v="FUR-CH-10003774"/>
    <s v="Furniture"/>
    <x v="1"/>
    <s v="Global Wood Trimmed Manager's Task Chair, Khaki"/>
    <n v="191.05799999999999"/>
    <n v="3"/>
    <n v="0.3"/>
    <n v="-46.399799999999999"/>
    <x v="3"/>
    <x v="0"/>
  </r>
  <r>
    <s v="CA-2017-137876"/>
    <x v="393"/>
    <d v="2017-05-05T00:00:00"/>
    <x v="1"/>
    <s v="DJ-13510"/>
    <s v="Don Jones"/>
    <x v="1"/>
    <s v="United States"/>
    <x v="28"/>
    <x v="2"/>
    <x v="1"/>
    <s v="FUR-FU-10000222"/>
    <s v="Furniture"/>
    <x v="3"/>
    <s v="Seth Thomas 16&quot; Steel Case Clock"/>
    <n v="64.959999999999994"/>
    <n v="2"/>
    <n v="0"/>
    <n v="21.436800000000002"/>
    <x v="2"/>
    <x v="6"/>
  </r>
  <r>
    <s v="CA-2016-154060"/>
    <x v="630"/>
    <d v="2016-05-08T00:00:00"/>
    <x v="1"/>
    <s v="DL-12865"/>
    <s v="Dan Lawera"/>
    <x v="0"/>
    <s v="United States"/>
    <x v="224"/>
    <x v="30"/>
    <x v="0"/>
    <s v="FUR-CH-10002304"/>
    <s v="Furniture"/>
    <x v="1"/>
    <s v="Global Stack Chair without Arms, Black"/>
    <n v="187.05600000000001"/>
    <n v="9"/>
    <n v="0.2"/>
    <n v="11.691000000000001"/>
    <x v="6"/>
    <x v="7"/>
  </r>
  <r>
    <s v="US-2017-162558"/>
    <x v="125"/>
    <d v="2017-10-05T00:00:00"/>
    <x v="2"/>
    <s v="Dp-13240"/>
    <s v="Dean percer"/>
    <x v="2"/>
    <s v="United States"/>
    <x v="270"/>
    <x v="9"/>
    <x v="0"/>
    <s v="FUR-FU-10002364"/>
    <s v="Furniture"/>
    <x v="3"/>
    <s v="Eldon Expressions Wood Desk Accessories, Oak"/>
    <n v="11.808"/>
    <n v="2"/>
    <n v="0.2"/>
    <n v="1.3284"/>
    <x v="0"/>
    <x v="1"/>
  </r>
  <r>
    <s v="US-2017-162558"/>
    <x v="125"/>
    <d v="2017-10-05T00:00:00"/>
    <x v="2"/>
    <s v="Dp-13240"/>
    <s v="Dean percer"/>
    <x v="2"/>
    <s v="United States"/>
    <x v="270"/>
    <x v="9"/>
    <x v="0"/>
    <s v="FUR-FU-10004864"/>
    <s v="Furniture"/>
    <x v="3"/>
    <s v="Eldon 500 Class Desk Accessories"/>
    <n v="9.6560000000000006"/>
    <n v="1"/>
    <n v="0.2"/>
    <n v="1.5690999999999999"/>
    <x v="0"/>
    <x v="1"/>
  </r>
  <r>
    <s v="US-2017-162558"/>
    <x v="125"/>
    <d v="2017-10-05T00:00:00"/>
    <x v="2"/>
    <s v="Dp-13240"/>
    <s v="Dean percer"/>
    <x v="2"/>
    <s v="United States"/>
    <x v="270"/>
    <x v="9"/>
    <x v="0"/>
    <s v="FUR-TA-10000198"/>
    <s v="Furniture"/>
    <x v="2"/>
    <s v="Chromcraft Bull-Nose Wood Oval Conference Tables &amp; Bases"/>
    <n v="2314.116"/>
    <n v="7"/>
    <n v="0.4"/>
    <n v="-1002.7836"/>
    <x v="0"/>
    <x v="1"/>
  </r>
  <r>
    <s v="US-2017-162558"/>
    <x v="125"/>
    <d v="2017-10-05T00:00:00"/>
    <x v="2"/>
    <s v="Dp-13240"/>
    <s v="Dean percer"/>
    <x v="2"/>
    <s v="United States"/>
    <x v="270"/>
    <x v="9"/>
    <x v="0"/>
    <s v="FUR-FU-10003691"/>
    <s v="Furniture"/>
    <x v="3"/>
    <s v="Eldon Image Series Desk Accessories, Ebony"/>
    <n v="19.760000000000002"/>
    <n v="2"/>
    <n v="0.2"/>
    <n v="5.9279999999999999"/>
    <x v="0"/>
    <x v="1"/>
  </r>
  <r>
    <s v="CA-2015-119508"/>
    <x v="463"/>
    <d v="2015-12-09T00:00:00"/>
    <x v="1"/>
    <s v="TZ-21580"/>
    <s v="Tracy Zic"/>
    <x v="0"/>
    <s v="United States"/>
    <x v="174"/>
    <x v="2"/>
    <x v="1"/>
    <s v="FUR-FU-10004270"/>
    <s v="Furniture"/>
    <x v="3"/>
    <s v="Eldon Image Series Desk Accessories, Burgundy"/>
    <n v="25.08"/>
    <n v="6"/>
    <n v="0"/>
    <n v="9.0288000000000004"/>
    <x v="2"/>
    <x v="5"/>
  </r>
  <r>
    <s v="CA-2016-123120"/>
    <x v="631"/>
    <d v="2016-09-08T00:00:00"/>
    <x v="1"/>
    <s v="CV-12295"/>
    <s v="Christina VanderZanden"/>
    <x v="0"/>
    <s v="United States"/>
    <x v="13"/>
    <x v="7"/>
    <x v="2"/>
    <s v="FUR-FU-10004748"/>
    <s v="Furniture"/>
    <x v="3"/>
    <s v="Howard Miller 16&quot; Diameter Gallery Wall Clock"/>
    <n v="63.94"/>
    <n v="1"/>
    <n v="0"/>
    <n v="24.936599999999999"/>
    <x v="4"/>
    <x v="4"/>
  </r>
  <r>
    <s v="CA-2014-103331"/>
    <x v="632"/>
    <d v="2014-09-01T00:00:00"/>
    <x v="1"/>
    <s v="KB-16315"/>
    <s v="Karl Braun"/>
    <x v="0"/>
    <s v="United States"/>
    <x v="19"/>
    <x v="14"/>
    <x v="2"/>
    <s v="FUR-FU-10001731"/>
    <s v="Furniture"/>
    <x v="3"/>
    <s v="Acrylic Self-Standing Desk Frames"/>
    <n v="10.68"/>
    <n v="4"/>
    <n v="0"/>
    <n v="4.0583999999999998"/>
    <x v="6"/>
    <x v="10"/>
  </r>
  <r>
    <s v="CA-2014-113768"/>
    <x v="633"/>
    <d v="2014-05-19T00:00:00"/>
    <x v="1"/>
    <s v="AH-10030"/>
    <s v="Aaron Hawkins"/>
    <x v="1"/>
    <s v="United States"/>
    <x v="2"/>
    <x v="2"/>
    <x v="1"/>
    <s v="FUR-CH-10002439"/>
    <s v="Furniture"/>
    <x v="1"/>
    <s v="Iceberg Nesting Folding Chair, 19w x 6d x 43h"/>
    <n v="279.45600000000002"/>
    <n v="6"/>
    <n v="0.2"/>
    <n v="20.959199999999999"/>
    <x v="6"/>
    <x v="7"/>
  </r>
  <r>
    <s v="US-2017-126060"/>
    <x v="438"/>
    <d v="2017-04-18T00:00:00"/>
    <x v="1"/>
    <s v="DW-13585"/>
    <s v="Dorothy Wardle"/>
    <x v="1"/>
    <s v="United States"/>
    <x v="160"/>
    <x v="30"/>
    <x v="0"/>
    <s v="FUR-BO-10003433"/>
    <s v="Furniture"/>
    <x v="0"/>
    <s v="Sauder Cornerstone Collection Library"/>
    <n v="198.27199999999999"/>
    <n v="8"/>
    <n v="0.2"/>
    <n v="-32.219200000000001"/>
    <x v="4"/>
    <x v="6"/>
  </r>
  <r>
    <s v="CA-2016-122017"/>
    <x v="353"/>
    <d v="2017-01-02T00:00:00"/>
    <x v="1"/>
    <s v="CD-11920"/>
    <s v="Carlos Daly"/>
    <x v="0"/>
    <s v="United States"/>
    <x v="271"/>
    <x v="44"/>
    <x v="3"/>
    <s v="FUR-FU-10000672"/>
    <s v="Furniture"/>
    <x v="3"/>
    <s v="Executive Impressions 10&quot; Spectator Wall Clock"/>
    <n v="70.56"/>
    <n v="6"/>
    <n v="0"/>
    <n v="23.990400000000001"/>
    <x v="4"/>
    <x v="5"/>
  </r>
  <r>
    <s v="US-2017-136721"/>
    <x v="403"/>
    <d v="2017-04-12T00:00:00"/>
    <x v="1"/>
    <s v="NH-18610"/>
    <s v="Nicole Hansen"/>
    <x v="1"/>
    <s v="United States"/>
    <x v="272"/>
    <x v="17"/>
    <x v="3"/>
    <s v="FUR-FU-10004665"/>
    <s v="Furniture"/>
    <x v="3"/>
    <s v="3M Polarizing Task Lamp with Clamp Arm, Light Gray"/>
    <n v="273.95999999999998"/>
    <n v="2"/>
    <n v="0"/>
    <n v="71.229600000000005"/>
    <x v="4"/>
    <x v="6"/>
  </r>
  <r>
    <s v="US-2017-136721"/>
    <x v="403"/>
    <d v="2017-04-12T00:00:00"/>
    <x v="1"/>
    <s v="NH-18610"/>
    <s v="Nicole Hansen"/>
    <x v="1"/>
    <s v="United States"/>
    <x v="272"/>
    <x v="17"/>
    <x v="3"/>
    <s v="FUR-FU-10004188"/>
    <s v="Furniture"/>
    <x v="3"/>
    <s v="Luxo Professional Combination Clamp-On Lamps"/>
    <n v="306.89999999999998"/>
    <n v="3"/>
    <n v="0"/>
    <n v="79.793999999999997"/>
    <x v="4"/>
    <x v="6"/>
  </r>
  <r>
    <s v="CA-2015-118738"/>
    <x v="634"/>
    <d v="2015-10-30T00:00:00"/>
    <x v="1"/>
    <s v="AG-10495"/>
    <s v="Andrew Gjertsen"/>
    <x v="1"/>
    <s v="United States"/>
    <x v="6"/>
    <x v="5"/>
    <x v="3"/>
    <s v="FUR-TA-10002607"/>
    <s v="Furniture"/>
    <x v="2"/>
    <s v="KI Conference Tables"/>
    <n v="347.36099999999999"/>
    <n v="7"/>
    <n v="0.3"/>
    <n v="-69.472200000000001"/>
    <x v="6"/>
    <x v="1"/>
  </r>
  <r>
    <s v="US-2014-123183"/>
    <x v="635"/>
    <d v="2014-11-25T00:00:00"/>
    <x v="1"/>
    <s v="GR-14560"/>
    <s v="Georgia Rosenberg"/>
    <x v="1"/>
    <s v="United States"/>
    <x v="16"/>
    <x v="14"/>
    <x v="2"/>
    <s v="FUR-BO-10000362"/>
    <s v="Furniture"/>
    <x v="0"/>
    <s v="Sauder Inglewood Library Bookcases"/>
    <n v="1025.8800000000001"/>
    <n v="6"/>
    <n v="0"/>
    <n v="235.95240000000001"/>
    <x v="6"/>
    <x v="0"/>
  </r>
  <r>
    <s v="US-2016-147340"/>
    <x v="211"/>
    <d v="2016-09-24T00:00:00"/>
    <x v="3"/>
    <s v="EB-13750"/>
    <s v="Edward Becker"/>
    <x v="1"/>
    <s v="United States"/>
    <x v="28"/>
    <x v="2"/>
    <x v="1"/>
    <s v="FUR-FU-10002501"/>
    <s v="Furniture"/>
    <x v="3"/>
    <s v="Nu-Dell Executive Frame"/>
    <n v="63.2"/>
    <n v="5"/>
    <n v="0"/>
    <n v="23.384"/>
    <x v="7"/>
    <x v="4"/>
  </r>
  <r>
    <s v="CA-2016-117681"/>
    <x v="636"/>
    <d v="2016-04-14T00:00:00"/>
    <x v="1"/>
    <s v="HF-14995"/>
    <s v="Herbert Flentye"/>
    <x v="0"/>
    <s v="United States"/>
    <x v="2"/>
    <x v="2"/>
    <x v="1"/>
    <s v="FUR-BO-10001798"/>
    <s v="Furniture"/>
    <x v="0"/>
    <s v="Bush Somerset Collection Bookcase"/>
    <n v="556.66499999999996"/>
    <n v="5"/>
    <n v="0.15"/>
    <n v="6.5490000000000004"/>
    <x v="2"/>
    <x v="6"/>
  </r>
  <r>
    <s v="CA-2016-153598"/>
    <x v="122"/>
    <d v="2016-12-06T00:00:00"/>
    <x v="2"/>
    <s v="NM-18520"/>
    <s v="Neoma Murray"/>
    <x v="0"/>
    <s v="United States"/>
    <x v="2"/>
    <x v="2"/>
    <x v="1"/>
    <s v="FUR-FU-10001085"/>
    <s v="Furniture"/>
    <x v="3"/>
    <s v="3M Polarizing Light Filter Sleeves"/>
    <n v="111.9"/>
    <n v="6"/>
    <n v="0"/>
    <n v="51.473999999999997"/>
    <x v="0"/>
    <x v="5"/>
  </r>
  <r>
    <s v="US-2016-108497"/>
    <x v="184"/>
    <d v="2016-06-14T00:00:00"/>
    <x v="3"/>
    <s v="MH-17290"/>
    <s v="Marc Harrigan"/>
    <x v="2"/>
    <s v="United States"/>
    <x v="2"/>
    <x v="2"/>
    <x v="1"/>
    <s v="FUR-BO-10004218"/>
    <s v="Furniture"/>
    <x v="0"/>
    <s v="Bush Heritage Pine Collection 5-Shelf Bookcase, Albany Pine Finish, *Special Order"/>
    <n v="599.16499999999996"/>
    <n v="5"/>
    <n v="0.15"/>
    <n v="35.244999999999997"/>
    <x v="7"/>
    <x v="2"/>
  </r>
  <r>
    <s v="CA-2014-136861"/>
    <x v="637"/>
    <d v="2014-09-07T00:00:00"/>
    <x v="2"/>
    <s v="PR-18880"/>
    <s v="Patrick Ryan"/>
    <x v="0"/>
    <s v="United States"/>
    <x v="66"/>
    <x v="1"/>
    <x v="0"/>
    <s v="FUR-FU-10001967"/>
    <s v="Furniture"/>
    <x v="3"/>
    <s v="Telescoping Adjustable Floor Lamp"/>
    <n v="31.984000000000002"/>
    <n v="2"/>
    <n v="0.2"/>
    <n v="1.9990000000000001"/>
    <x v="3"/>
    <x v="4"/>
  </r>
  <r>
    <s v="CA-2014-103317"/>
    <x v="638"/>
    <d v="2014-07-08T00:00:00"/>
    <x v="2"/>
    <s v="DM-13525"/>
    <s v="Don Miller"/>
    <x v="1"/>
    <s v="United States"/>
    <x v="273"/>
    <x v="1"/>
    <x v="0"/>
    <s v="FUR-FU-10001591"/>
    <s v="Furniture"/>
    <x v="3"/>
    <s v="Advantus Panel Wall Certificate Holder - 8.5x11"/>
    <n v="19.52"/>
    <n v="2"/>
    <n v="0.2"/>
    <n v="5.3680000000000003"/>
    <x v="0"/>
    <x v="3"/>
  </r>
  <r>
    <s v="CA-2014-103317"/>
    <x v="638"/>
    <d v="2014-07-08T00:00:00"/>
    <x v="2"/>
    <s v="DM-13525"/>
    <s v="Don Miller"/>
    <x v="1"/>
    <s v="United States"/>
    <x v="273"/>
    <x v="1"/>
    <x v="0"/>
    <s v="FUR-FU-10003192"/>
    <s v="Furniture"/>
    <x v="3"/>
    <s v="Luxo Adjustable Task Clamp Lamp"/>
    <n v="213.21600000000001"/>
    <n v="3"/>
    <n v="0.2"/>
    <n v="15.991199999999999"/>
    <x v="0"/>
    <x v="3"/>
  </r>
  <r>
    <s v="US-2014-119081"/>
    <x v="639"/>
    <d v="2014-09-19T00:00:00"/>
    <x v="1"/>
    <s v="TA-21385"/>
    <s v="Tom Ashbrook"/>
    <x v="2"/>
    <s v="United States"/>
    <x v="274"/>
    <x v="44"/>
    <x v="3"/>
    <s v="FUR-FU-10003464"/>
    <s v="Furniture"/>
    <x v="3"/>
    <s v="Seth Thomas 8 1/2&quot; Cubicle Clock"/>
    <n v="40.56"/>
    <n v="2"/>
    <n v="0"/>
    <n v="12.979200000000001"/>
    <x v="1"/>
    <x v="4"/>
  </r>
  <r>
    <s v="CA-2017-130631"/>
    <x v="297"/>
    <d v="2018-01-02T00:00:00"/>
    <x v="1"/>
    <s v="BS-11755"/>
    <s v="Bruce Stewart"/>
    <x v="0"/>
    <s v="United States"/>
    <x v="71"/>
    <x v="13"/>
    <x v="1"/>
    <s v="FUR-FU-10004093"/>
    <s v="Furniture"/>
    <x v="3"/>
    <s v="Hand-Finished Solid Wood Document Frame"/>
    <n v="68.459999999999994"/>
    <n v="2"/>
    <n v="0"/>
    <n v="20.538"/>
    <x v="4"/>
    <x v="5"/>
  </r>
  <r>
    <s v="CA-2017-116680"/>
    <x v="362"/>
    <d v="2017-09-06T00:00:00"/>
    <x v="0"/>
    <s v="PK-19075"/>
    <s v="Pete Kriz"/>
    <x v="0"/>
    <s v="United States"/>
    <x v="28"/>
    <x v="2"/>
    <x v="1"/>
    <s v="FUR-TA-10001771"/>
    <s v="Furniture"/>
    <x v="2"/>
    <s v="Bush Cubix Conference Tables, Fully Assembled"/>
    <n v="1478.2719999999999"/>
    <n v="8"/>
    <n v="0.2"/>
    <n v="92.391999999999996"/>
    <x v="3"/>
    <x v="4"/>
  </r>
  <r>
    <s v="CA-2017-101574"/>
    <x v="559"/>
    <d v="2017-10-04T00:00:00"/>
    <x v="1"/>
    <s v="BD-11725"/>
    <s v="Bruce Degenhardt"/>
    <x v="0"/>
    <s v="United States"/>
    <x v="2"/>
    <x v="2"/>
    <x v="1"/>
    <s v="FUR-FU-10001706"/>
    <s v="Furniture"/>
    <x v="3"/>
    <s v="Longer-Life Soft White Bulbs"/>
    <n v="9.24"/>
    <n v="3"/>
    <n v="0"/>
    <n v="4.4352"/>
    <x v="6"/>
    <x v="4"/>
  </r>
  <r>
    <s v="CA-2014-146591"/>
    <x v="640"/>
    <d v="2014-01-20T00:00:00"/>
    <x v="2"/>
    <s v="TS-21340"/>
    <s v="Toby Swindell"/>
    <x v="0"/>
    <s v="United States"/>
    <x v="163"/>
    <x v="22"/>
    <x v="1"/>
    <s v="FUR-BO-10001972"/>
    <s v="Furniture"/>
    <x v="0"/>
    <s v="O'Sullivan 4-Shelf Bookcase in Odessa Pine"/>
    <n v="181.47"/>
    <n v="5"/>
    <n v="0.7"/>
    <n v="-320.59699999999998"/>
    <x v="5"/>
    <x v="8"/>
  </r>
  <r>
    <s v="CA-2016-122448"/>
    <x v="641"/>
    <d v="2016-06-14T00:00:00"/>
    <x v="1"/>
    <s v="DB-13210"/>
    <s v="Dean Braden"/>
    <x v="0"/>
    <s v="United States"/>
    <x v="28"/>
    <x v="2"/>
    <x v="1"/>
    <s v="FUR-CH-10002774"/>
    <s v="Furniture"/>
    <x v="1"/>
    <s v="Global Deluxe Stacking Chair, Gray"/>
    <n v="122.352"/>
    <n v="3"/>
    <n v="0.2"/>
    <n v="13.7646"/>
    <x v="2"/>
    <x v="2"/>
  </r>
  <r>
    <s v="CA-2014-132451"/>
    <x v="218"/>
    <d v="2014-09-27T00:00:00"/>
    <x v="2"/>
    <s v="KF-16285"/>
    <s v="Karen Ferguson"/>
    <x v="2"/>
    <s v="United States"/>
    <x v="53"/>
    <x v="2"/>
    <x v="1"/>
    <s v="FUR-CH-10000454"/>
    <s v="Furniture"/>
    <x v="1"/>
    <s v="Hon Deluxe Fabric Upholstered Stacking Chairs, Rounded Back"/>
    <n v="585.55200000000002"/>
    <n v="3"/>
    <n v="0.2"/>
    <n v="73.194000000000003"/>
    <x v="5"/>
    <x v="4"/>
  </r>
  <r>
    <s v="CA-2017-116946"/>
    <x v="642"/>
    <d v="2017-12-23T00:00:00"/>
    <x v="1"/>
    <s v="TS-21505"/>
    <s v="Tony Sayre"/>
    <x v="0"/>
    <s v="United States"/>
    <x v="47"/>
    <x v="12"/>
    <x v="1"/>
    <s v="FUR-FU-10000320"/>
    <s v="Furniture"/>
    <x v="3"/>
    <s v="OIC Stacking Trays"/>
    <n v="13.36"/>
    <n v="5"/>
    <n v="0.2"/>
    <n v="4.008"/>
    <x v="4"/>
    <x v="5"/>
  </r>
  <r>
    <s v="CA-2017-116946"/>
    <x v="642"/>
    <d v="2017-12-23T00:00:00"/>
    <x v="1"/>
    <s v="TS-21505"/>
    <s v="Tony Sayre"/>
    <x v="0"/>
    <s v="United States"/>
    <x v="47"/>
    <x v="12"/>
    <x v="1"/>
    <s v="FUR-BO-10000468"/>
    <s v="Furniture"/>
    <x v="0"/>
    <s v="O'Sullivan 2-Shelf Heavy-Duty Bookcases"/>
    <n v="102.018"/>
    <n v="7"/>
    <n v="0.7"/>
    <n v="-183.63239999999999"/>
    <x v="4"/>
    <x v="5"/>
  </r>
  <r>
    <s v="CA-2017-148999"/>
    <x v="129"/>
    <d v="2017-02-04T00:00:00"/>
    <x v="1"/>
    <s v="EB-13870"/>
    <s v="Emily Burns"/>
    <x v="0"/>
    <s v="United States"/>
    <x v="89"/>
    <x v="1"/>
    <x v="0"/>
    <s v="FUR-CH-10002044"/>
    <s v="Furniture"/>
    <x v="1"/>
    <s v="Office Star - Contemporary Task Swivel chair with 2-way adjustable arms, Plum"/>
    <n v="419.13600000000002"/>
    <n v="4"/>
    <n v="0.2"/>
    <n v="-68.1096"/>
    <x v="2"/>
    <x v="8"/>
  </r>
  <r>
    <s v="CA-2017-134495"/>
    <x v="535"/>
    <d v="2017-04-04T00:00:00"/>
    <x v="0"/>
    <s v="BF-11020"/>
    <s v="Barry Franzšsisch"/>
    <x v="1"/>
    <s v="United States"/>
    <x v="51"/>
    <x v="1"/>
    <x v="0"/>
    <s v="FUR-CH-10003774"/>
    <s v="Furniture"/>
    <x v="1"/>
    <s v="Global Wood Trimmed Manager's Task Chair, Khaki"/>
    <n v="218.352"/>
    <n v="3"/>
    <n v="0.2"/>
    <n v="-19.105799999999999"/>
    <x v="0"/>
    <x v="6"/>
  </r>
  <r>
    <s v="CA-2014-105249"/>
    <x v="616"/>
    <d v="2014-11-28T00:00:00"/>
    <x v="3"/>
    <s v="DH-13675"/>
    <s v="Duane Huffman"/>
    <x v="2"/>
    <s v="United States"/>
    <x v="28"/>
    <x v="2"/>
    <x v="1"/>
    <s v="FUR-BO-10000330"/>
    <s v="Furniture"/>
    <x v="0"/>
    <s v="Sauder Camden County Barrister Bookcase, Planked Cherry Finish"/>
    <n v="411.33199999999999"/>
    <n v="4"/>
    <n v="0.15"/>
    <n v="-4.8391999999999999"/>
    <x v="7"/>
    <x v="0"/>
  </r>
  <r>
    <s v="CA-2017-164378"/>
    <x v="316"/>
    <d v="2017-07-18T00:00:00"/>
    <x v="0"/>
    <s v="MM-18055"/>
    <s v="Michelle Moray"/>
    <x v="0"/>
    <s v="United States"/>
    <x v="13"/>
    <x v="7"/>
    <x v="2"/>
    <s v="FUR-CH-10002084"/>
    <s v="Furniture"/>
    <x v="1"/>
    <s v="Hon Mobius Operator's Chair"/>
    <n v="664.14599999999996"/>
    <n v="6"/>
    <n v="0.1"/>
    <n v="88.552800000000005"/>
    <x v="0"/>
    <x v="3"/>
  </r>
  <r>
    <s v="CA-2017-127782"/>
    <x v="575"/>
    <d v="2017-11-06T00:00:00"/>
    <x v="1"/>
    <s v="TH-21115"/>
    <s v="Thea Hudgings"/>
    <x v="1"/>
    <s v="United States"/>
    <x v="3"/>
    <x v="3"/>
    <x v="2"/>
    <s v="FUR-FU-10001847"/>
    <s v="Furniture"/>
    <x v="3"/>
    <s v="Eldon Image Series Black Desk Accessories"/>
    <n v="3.3119999999999998"/>
    <n v="1"/>
    <n v="0.2"/>
    <n v="0.66239999999999999"/>
    <x v="4"/>
    <x v="0"/>
  </r>
  <r>
    <s v="CA-2015-168529"/>
    <x v="643"/>
    <d v="2015-10-12T00:00:00"/>
    <x v="1"/>
    <s v="MB-17305"/>
    <s v="Maria Bertelson"/>
    <x v="0"/>
    <s v="United States"/>
    <x v="28"/>
    <x v="2"/>
    <x v="1"/>
    <s v="FUR-FU-10001588"/>
    <s v="Furniture"/>
    <x v="3"/>
    <s v="Deflect-o SuperTray Unbreakable Stackable Tray, Letter, Black"/>
    <n v="145.9"/>
    <n v="5"/>
    <n v="0"/>
    <n v="62.737000000000002"/>
    <x v="4"/>
    <x v="1"/>
  </r>
  <r>
    <s v="CA-2017-117667"/>
    <x v="423"/>
    <d v="2017-12-09T00:00:00"/>
    <x v="1"/>
    <s v="MS-17980"/>
    <s v="Michael Stewart"/>
    <x v="1"/>
    <s v="United States"/>
    <x v="3"/>
    <x v="3"/>
    <x v="2"/>
    <s v="FUR-CH-10004540"/>
    <s v="Furniture"/>
    <x v="1"/>
    <s v="Global Chrome Stack Chair"/>
    <n v="239.96"/>
    <n v="10"/>
    <n v="0.3"/>
    <n v="-10.284000000000001"/>
    <x v="2"/>
    <x v="5"/>
  </r>
  <r>
    <s v="CA-2017-117667"/>
    <x v="423"/>
    <d v="2017-12-09T00:00:00"/>
    <x v="1"/>
    <s v="MS-17980"/>
    <s v="Michael Stewart"/>
    <x v="1"/>
    <s v="United States"/>
    <x v="3"/>
    <x v="3"/>
    <x v="2"/>
    <s v="FUR-FU-10004093"/>
    <s v="Furniture"/>
    <x v="3"/>
    <s v="Hand-Finished Solid Wood Document Frame"/>
    <n v="54.768000000000001"/>
    <n v="2"/>
    <n v="0.2"/>
    <n v="6.8460000000000001"/>
    <x v="2"/>
    <x v="5"/>
  </r>
  <r>
    <s v="US-2017-150595"/>
    <x v="644"/>
    <d v="2017-05-26T00:00:00"/>
    <x v="1"/>
    <s v="LE-16810"/>
    <s v="Laurel Elliston"/>
    <x v="0"/>
    <s v="United States"/>
    <x v="9"/>
    <x v="8"/>
    <x v="3"/>
    <s v="FUR-CH-10000513"/>
    <s v="Furniture"/>
    <x v="1"/>
    <s v="High-Back Leather Manager's Chair"/>
    <n v="181.98599999999999"/>
    <n v="2"/>
    <n v="0.3"/>
    <n v="-54.595799999999997"/>
    <x v="4"/>
    <x v="7"/>
  </r>
  <r>
    <s v="CA-2016-134936"/>
    <x v="645"/>
    <d v="2016-12-25T00:00:00"/>
    <x v="1"/>
    <s v="ES-14080"/>
    <s v="Erin Smith"/>
    <x v="1"/>
    <s v="United States"/>
    <x v="104"/>
    <x v="22"/>
    <x v="1"/>
    <s v="FUR-TA-10001086"/>
    <s v="Furniture"/>
    <x v="2"/>
    <s v="SAFCO PlanMaster Boards, 60w x 37-1/2d, White Melamine"/>
    <n v="455.97"/>
    <n v="6"/>
    <n v="0.5"/>
    <n v="-218.8656"/>
    <x v="6"/>
    <x v="5"/>
  </r>
  <r>
    <s v="CA-2017-151008"/>
    <x v="87"/>
    <d v="2017-09-08T00:00:00"/>
    <x v="2"/>
    <s v="JM-16195"/>
    <s v="Justin MacKendrick"/>
    <x v="0"/>
    <s v="United States"/>
    <x v="275"/>
    <x v="4"/>
    <x v="1"/>
    <s v="FUR-FU-10002396"/>
    <s v="Furniture"/>
    <x v="3"/>
    <s v="DAX Copper Panel Document Frame, 5 x 7 Size"/>
    <n v="25.16"/>
    <n v="2"/>
    <n v="0"/>
    <n v="10.5672"/>
    <x v="5"/>
    <x v="4"/>
  </r>
  <r>
    <s v="US-2014-159618"/>
    <x v="352"/>
    <d v="2014-11-16T00:00:00"/>
    <x v="1"/>
    <s v="DB-12970"/>
    <s v="Darren Budd"/>
    <x v="1"/>
    <s v="United States"/>
    <x v="6"/>
    <x v="5"/>
    <x v="3"/>
    <s v="FUR-BO-10004467"/>
    <s v="Furniture"/>
    <x v="0"/>
    <s v="Bestar Classic Bookcase"/>
    <n v="67.993200000000002"/>
    <n v="1"/>
    <n v="0.32"/>
    <n v="-12.998699999999999"/>
    <x v="4"/>
    <x v="0"/>
  </r>
  <r>
    <s v="CA-2017-116113"/>
    <x v="125"/>
    <d v="2017-10-06T00:00:00"/>
    <x v="0"/>
    <s v="JW-15220"/>
    <s v="Jane Waco"/>
    <x v="1"/>
    <s v="United States"/>
    <x v="132"/>
    <x v="33"/>
    <x v="0"/>
    <s v="FUR-FU-10002963"/>
    <s v="Furniture"/>
    <x v="3"/>
    <s v="Master Caster Door Stop, Gray"/>
    <n v="10.16"/>
    <n v="2"/>
    <n v="0"/>
    <n v="3.4544000000000001"/>
    <x v="4"/>
    <x v="1"/>
  </r>
  <r>
    <s v="CA-2015-125066"/>
    <x v="646"/>
    <d v="2015-12-18T00:00:00"/>
    <x v="1"/>
    <s v="KD-16495"/>
    <s v="Keith Dawkins"/>
    <x v="1"/>
    <s v="United States"/>
    <x v="38"/>
    <x v="21"/>
    <x v="0"/>
    <s v="FUR-FU-10003829"/>
    <s v="Furniture"/>
    <x v="3"/>
    <s v="Stackable Trays"/>
    <n v="6.16"/>
    <n v="2"/>
    <n v="0"/>
    <n v="1.9712000000000001"/>
    <x v="4"/>
    <x v="5"/>
  </r>
  <r>
    <s v="CA-2017-157966"/>
    <x v="647"/>
    <d v="2017-03-13T00:00:00"/>
    <x v="3"/>
    <s v="SU-20665"/>
    <s v="Stephanie Ulpright"/>
    <x v="2"/>
    <s v="United States"/>
    <x v="9"/>
    <x v="8"/>
    <x v="3"/>
    <s v="FUR-CH-10003606"/>
    <s v="Furniture"/>
    <x v="1"/>
    <s v="SAFCO Folding Chair Trolley"/>
    <n v="89.768000000000001"/>
    <n v="1"/>
    <n v="0.3"/>
    <n v="-2.5648"/>
    <x v="7"/>
    <x v="9"/>
  </r>
  <r>
    <s v="CA-2016-136686"/>
    <x v="574"/>
    <d v="2016-12-16T00:00:00"/>
    <x v="1"/>
    <s v="RF-19840"/>
    <s v="Roy Franzšsisch"/>
    <x v="0"/>
    <s v="United States"/>
    <x v="102"/>
    <x v="2"/>
    <x v="1"/>
    <s v="FUR-FU-10004864"/>
    <s v="Furniture"/>
    <x v="3"/>
    <s v="Howard Miller 14-1/2&quot; Diameter Chrome Round Wall Clock"/>
    <n v="383.64"/>
    <n v="6"/>
    <n v="0"/>
    <n v="122.76479999999999"/>
    <x v="4"/>
    <x v="5"/>
  </r>
  <r>
    <s v="CA-2017-137498"/>
    <x v="198"/>
    <d v="2017-09-14T00:00:00"/>
    <x v="0"/>
    <s v="LC-17050"/>
    <s v="Liz Carlisle"/>
    <x v="0"/>
    <s v="United States"/>
    <x v="2"/>
    <x v="2"/>
    <x v="1"/>
    <s v="FUR-CH-10003833"/>
    <s v="Furniture"/>
    <x v="1"/>
    <s v="Novimex Fabric Task Chair"/>
    <n v="243.92"/>
    <n v="5"/>
    <n v="0.2"/>
    <n v="-15.244999999999999"/>
    <x v="2"/>
    <x v="4"/>
  </r>
  <r>
    <s v="CA-2017-163818"/>
    <x v="648"/>
    <d v="2017-10-08T00:00:00"/>
    <x v="1"/>
    <s v="PS-18970"/>
    <s v="Paul Stevenson"/>
    <x v="2"/>
    <s v="United States"/>
    <x v="218"/>
    <x v="32"/>
    <x v="2"/>
    <s v="FUR-FU-10000076"/>
    <s v="Furniture"/>
    <x v="3"/>
    <s v="24-Hour Round Wall Clock"/>
    <n v="19.98"/>
    <n v="1"/>
    <n v="0"/>
    <n v="8.5914000000000001"/>
    <x v="4"/>
    <x v="1"/>
  </r>
  <r>
    <s v="CA-2014-116673"/>
    <x v="256"/>
    <d v="2014-12-19T00:00:00"/>
    <x v="0"/>
    <s v="JO-15280"/>
    <s v="Jas O'Carroll"/>
    <x v="0"/>
    <s v="United States"/>
    <x v="53"/>
    <x v="2"/>
    <x v="1"/>
    <s v="FUR-FU-10003829"/>
    <s v="Furniture"/>
    <x v="3"/>
    <s v="Stackable Trays"/>
    <n v="6.16"/>
    <n v="2"/>
    <n v="0"/>
    <n v="1.9712000000000001"/>
    <x v="4"/>
    <x v="5"/>
  </r>
  <r>
    <s v="CA-2014-164742"/>
    <x v="137"/>
    <d v="2014-10-18T00:00:00"/>
    <x v="0"/>
    <s v="ML-17395"/>
    <s v="Marina Lichtenstein"/>
    <x v="1"/>
    <s v="United States"/>
    <x v="174"/>
    <x v="18"/>
    <x v="2"/>
    <s v="FUR-CH-10002880"/>
    <s v="Furniture"/>
    <x v="1"/>
    <s v="Global High-Back Leather Tilter, Burgundy"/>
    <n v="245.98"/>
    <n v="2"/>
    <n v="0"/>
    <n v="27.0578"/>
    <x v="2"/>
    <x v="1"/>
  </r>
  <r>
    <s v="CA-2016-134516"/>
    <x v="649"/>
    <d v="2016-09-25T00:00:00"/>
    <x v="1"/>
    <s v="FM-14215"/>
    <s v="Filia McAdams"/>
    <x v="1"/>
    <s v="United States"/>
    <x v="224"/>
    <x v="30"/>
    <x v="0"/>
    <s v="FUR-FU-10001546"/>
    <s v="Furniture"/>
    <x v="3"/>
    <s v="Dana Swing-Arm Lamps"/>
    <n v="17.088000000000001"/>
    <n v="2"/>
    <n v="0.2"/>
    <n v="1.0680000000000001"/>
    <x v="2"/>
    <x v="4"/>
  </r>
  <r>
    <s v="CA-2016-134516"/>
    <x v="649"/>
    <d v="2016-09-25T00:00:00"/>
    <x v="1"/>
    <s v="FM-14215"/>
    <s v="Filia McAdams"/>
    <x v="1"/>
    <s v="United States"/>
    <x v="224"/>
    <x v="30"/>
    <x v="0"/>
    <s v="FUR-CH-10002880"/>
    <s v="Furniture"/>
    <x v="1"/>
    <s v="Global High-Back Leather Tilter, Burgundy"/>
    <n v="98.391999999999996"/>
    <n v="1"/>
    <n v="0.2"/>
    <n v="-11.069100000000001"/>
    <x v="2"/>
    <x v="4"/>
  </r>
  <r>
    <s v="CA-2017-125745"/>
    <x v="254"/>
    <d v="2017-07-04T00:00:00"/>
    <x v="1"/>
    <s v="DV-13045"/>
    <s v="Darrin Van Huff"/>
    <x v="1"/>
    <s v="United States"/>
    <x v="10"/>
    <x v="9"/>
    <x v="0"/>
    <s v="FUR-FU-10001591"/>
    <s v="Furniture"/>
    <x v="3"/>
    <s v="Advantus Panel Wall Certificate Holder - 8.5x11"/>
    <n v="19.52"/>
    <n v="2"/>
    <n v="0.2"/>
    <n v="5.3680000000000003"/>
    <x v="4"/>
    <x v="2"/>
  </r>
  <r>
    <s v="US-2016-124163"/>
    <x v="228"/>
    <d v="2016-09-30T00:00:00"/>
    <x v="1"/>
    <s v="SC-20695"/>
    <s v="Steve Chapman"/>
    <x v="1"/>
    <s v="United States"/>
    <x v="276"/>
    <x v="16"/>
    <x v="3"/>
    <s v="FUR-CH-10004218"/>
    <s v="Furniture"/>
    <x v="1"/>
    <s v="Global Fabric Manager's Chair, Dark Gray"/>
    <n v="201.96"/>
    <n v="2"/>
    <n v="0"/>
    <n v="50.49"/>
    <x v="2"/>
    <x v="4"/>
  </r>
  <r>
    <s v="US-2016-124163"/>
    <x v="228"/>
    <d v="2016-09-30T00:00:00"/>
    <x v="1"/>
    <s v="SC-20695"/>
    <s v="Steve Chapman"/>
    <x v="1"/>
    <s v="United States"/>
    <x v="276"/>
    <x v="16"/>
    <x v="3"/>
    <s v="FUR-FU-10000755"/>
    <s v="Furniture"/>
    <x v="3"/>
    <s v="Eldon Expressions Mahogany Wood Desk Collection"/>
    <n v="68.64"/>
    <n v="11"/>
    <n v="0"/>
    <n v="17.16"/>
    <x v="2"/>
    <x v="4"/>
  </r>
  <r>
    <s v="CA-2014-126683"/>
    <x v="189"/>
    <d v="2014-10-01T00:00:00"/>
    <x v="0"/>
    <s v="PP-18955"/>
    <s v="Paul Prost"/>
    <x v="2"/>
    <s v="United States"/>
    <x v="15"/>
    <x v="13"/>
    <x v="1"/>
    <s v="FUR-FU-10001706"/>
    <s v="Furniture"/>
    <x v="3"/>
    <s v="Longer-Life Soft White Bulbs"/>
    <n v="6.16"/>
    <n v="2"/>
    <n v="0"/>
    <n v="2.9567999999999999"/>
    <x v="3"/>
    <x v="4"/>
  </r>
  <r>
    <s v="CA-2014-126683"/>
    <x v="189"/>
    <d v="2014-10-01T00:00:00"/>
    <x v="0"/>
    <s v="PP-18955"/>
    <s v="Paul Prost"/>
    <x v="2"/>
    <s v="United States"/>
    <x v="15"/>
    <x v="13"/>
    <x v="1"/>
    <s v="FUR-TA-10002958"/>
    <s v="Furniture"/>
    <x v="2"/>
    <s v="Bevis Oval Conference Table, Walnut"/>
    <n v="2348.8200000000002"/>
    <n v="9"/>
    <n v="0"/>
    <n v="399.29939999999999"/>
    <x v="3"/>
    <x v="4"/>
  </r>
  <r>
    <s v="CA-2017-148810"/>
    <x v="332"/>
    <d v="2017-07-01T00:00:00"/>
    <x v="1"/>
    <s v="DR-12880"/>
    <s v="Dan Reichenbach"/>
    <x v="1"/>
    <s v="United States"/>
    <x v="89"/>
    <x v="1"/>
    <x v="0"/>
    <s v="FUR-CH-10001545"/>
    <s v="Furniture"/>
    <x v="1"/>
    <s v="Hon Comfortask Task/Swivel Chairs"/>
    <n v="273.55200000000002"/>
    <n v="3"/>
    <n v="0.2"/>
    <n v="-13.6776"/>
    <x v="2"/>
    <x v="2"/>
  </r>
  <r>
    <s v="US-2016-146066"/>
    <x v="650"/>
    <d v="2016-08-23T00:00:00"/>
    <x v="0"/>
    <s v="RB-19465"/>
    <s v="Rick Bensley"/>
    <x v="2"/>
    <s v="United States"/>
    <x v="3"/>
    <x v="3"/>
    <x v="2"/>
    <s v="FUR-TA-10002530"/>
    <s v="Furniture"/>
    <x v="2"/>
    <s v="Iceberg OfficeWorks 42&quot; Round Tables"/>
    <n v="815.29200000000003"/>
    <n v="9"/>
    <n v="0.4"/>
    <n v="-339.70499999999998"/>
    <x v="3"/>
    <x v="10"/>
  </r>
  <r>
    <s v="CA-2014-127614"/>
    <x v="651"/>
    <d v="2014-02-15T00:00:00"/>
    <x v="1"/>
    <s v="NF-18385"/>
    <s v="Natalie Fritzler"/>
    <x v="0"/>
    <s v="United States"/>
    <x v="180"/>
    <x v="25"/>
    <x v="0"/>
    <s v="FUR-TA-10003715"/>
    <s v="Furniture"/>
    <x v="2"/>
    <s v="Hon 2111 Invitation Series Corner Table"/>
    <n v="1256.22"/>
    <n v="6"/>
    <n v="0"/>
    <n v="75.373199999999997"/>
    <x v="4"/>
    <x v="11"/>
  </r>
  <r>
    <s v="CA-2017-113208"/>
    <x v="292"/>
    <d v="2017-04-02T00:00:00"/>
    <x v="1"/>
    <s v="ML-18040"/>
    <s v="Michelle Lonsdale"/>
    <x v="1"/>
    <s v="United States"/>
    <x v="54"/>
    <x v="17"/>
    <x v="3"/>
    <s v="FUR-FU-10004245"/>
    <s v="Furniture"/>
    <x v="3"/>
    <s v="Career Cubicle Clock, 8 1/4&quot;, Black"/>
    <n v="60.84"/>
    <n v="3"/>
    <n v="0"/>
    <n v="23.119199999999999"/>
    <x v="1"/>
    <x v="9"/>
  </r>
  <r>
    <s v="CA-2014-154893"/>
    <x v="652"/>
    <d v="2014-12-27T00:00:00"/>
    <x v="1"/>
    <s v="GM-14440"/>
    <s v="Gary McGarr"/>
    <x v="0"/>
    <s v="United States"/>
    <x v="53"/>
    <x v="2"/>
    <x v="1"/>
    <s v="FUR-CH-10004287"/>
    <s v="Furniture"/>
    <x v="1"/>
    <s v="SAFCO Arco Folding Chair"/>
    <n v="1325.76"/>
    <n v="6"/>
    <n v="0.2"/>
    <n v="149.148"/>
    <x v="6"/>
    <x v="5"/>
  </r>
  <r>
    <s v="CA-2014-154893"/>
    <x v="652"/>
    <d v="2014-12-27T00:00:00"/>
    <x v="1"/>
    <s v="GM-14440"/>
    <s v="Gary McGarr"/>
    <x v="0"/>
    <s v="United States"/>
    <x v="53"/>
    <x v="2"/>
    <x v="1"/>
    <s v="FUR-CH-10000595"/>
    <s v="Furniture"/>
    <x v="1"/>
    <s v="Safco Contoured Stacking Chairs"/>
    <n v="572.16"/>
    <n v="3"/>
    <n v="0.2"/>
    <n v="35.76"/>
    <x v="6"/>
    <x v="5"/>
  </r>
  <r>
    <s v="CA-2016-127985"/>
    <x v="610"/>
    <d v="2016-04-05T00:00:00"/>
    <x v="0"/>
    <s v="DB-12910"/>
    <s v="Daniel Byrd"/>
    <x v="2"/>
    <s v="United States"/>
    <x v="29"/>
    <x v="24"/>
    <x v="0"/>
    <s v="FUR-FU-10003274"/>
    <s v="Furniture"/>
    <x v="3"/>
    <s v="Regeneration Desk Collection"/>
    <n v="7.04"/>
    <n v="4"/>
    <n v="0"/>
    <n v="3.0975999999999999"/>
    <x v="4"/>
    <x v="6"/>
  </r>
  <r>
    <s v="CA-2017-127117"/>
    <x v="438"/>
    <d v="2017-04-19T00:00:00"/>
    <x v="1"/>
    <s v="HM-14860"/>
    <s v="Harry Marie"/>
    <x v="1"/>
    <s v="United States"/>
    <x v="277"/>
    <x v="18"/>
    <x v="2"/>
    <s v="FUR-FU-10004018"/>
    <s v="Furniture"/>
    <x v="3"/>
    <s v="Tensor Computer Mounted Lamp"/>
    <n v="74.45"/>
    <n v="5"/>
    <n v="0"/>
    <n v="20.101500000000001"/>
    <x v="2"/>
    <x v="6"/>
  </r>
  <r>
    <s v="CA-2015-104241"/>
    <x v="653"/>
    <d v="2015-01-09T00:00:00"/>
    <x v="1"/>
    <s v="AG-10495"/>
    <s v="Andrew Gjertsen"/>
    <x v="1"/>
    <s v="United States"/>
    <x v="166"/>
    <x v="25"/>
    <x v="0"/>
    <s v="FUR-FU-10001473"/>
    <s v="Furniture"/>
    <x v="3"/>
    <s v="DAX Wood Document Frame"/>
    <n v="192.22"/>
    <n v="14"/>
    <n v="0"/>
    <n v="69.199200000000005"/>
    <x v="2"/>
    <x v="8"/>
  </r>
  <r>
    <s v="CA-2017-142342"/>
    <x v="357"/>
    <d v="2017-07-19T00:00:00"/>
    <x v="0"/>
    <s v="AJ-10795"/>
    <s v="Anthony Johnson"/>
    <x v="1"/>
    <s v="United States"/>
    <x v="278"/>
    <x v="2"/>
    <x v="1"/>
    <s v="FUR-BO-10002613"/>
    <s v="Furniture"/>
    <x v="0"/>
    <s v="Atlantic Metals Mobile 4-Shelf Bookcases, Custom Colors"/>
    <n v="1194.165"/>
    <n v="5"/>
    <n v="0.15"/>
    <n v="210.73500000000001"/>
    <x v="3"/>
    <x v="3"/>
  </r>
  <r>
    <s v="CA-2016-145261"/>
    <x v="105"/>
    <d v="2016-12-21T00:00:00"/>
    <x v="2"/>
    <s v="AH-10120"/>
    <s v="Adrian Hane"/>
    <x v="2"/>
    <s v="United States"/>
    <x v="279"/>
    <x v="36"/>
    <x v="1"/>
    <s v="FUR-TA-10002530"/>
    <s v="Furniture"/>
    <x v="2"/>
    <s v="Iceberg OfficeWorks 42&quot; Round Tables"/>
    <n v="377.45"/>
    <n v="5"/>
    <n v="0.5"/>
    <n v="-264.21499999999997"/>
    <x v="0"/>
    <x v="5"/>
  </r>
  <r>
    <s v="CA-2016-108875"/>
    <x v="211"/>
    <d v="2016-10-01T00:00:00"/>
    <x v="1"/>
    <s v="CL-12700"/>
    <s v="Craig Leslie"/>
    <x v="2"/>
    <s v="United States"/>
    <x v="14"/>
    <x v="12"/>
    <x v="1"/>
    <s v="FUR-FU-10002671"/>
    <s v="Furniture"/>
    <x v="3"/>
    <s v="Electrix 20W Halogen Replacement Bulb for Zoom-In Desk Lamp"/>
    <n v="21.44"/>
    <n v="2"/>
    <n v="0.2"/>
    <n v="7.5039999999999996"/>
    <x v="1"/>
    <x v="4"/>
  </r>
  <r>
    <s v="CA-2015-141012"/>
    <x v="654"/>
    <d v="2015-06-11T00:00:00"/>
    <x v="0"/>
    <s v="TG-21640"/>
    <s v="Trudy Glocke"/>
    <x v="0"/>
    <s v="United States"/>
    <x v="280"/>
    <x v="42"/>
    <x v="1"/>
    <s v="FUR-FU-10003192"/>
    <s v="Furniture"/>
    <x v="3"/>
    <s v="Luxo Adjustable Task Clamp Lamp"/>
    <n v="355.36"/>
    <n v="4"/>
    <n v="0"/>
    <n v="92.393600000000006"/>
    <x v="3"/>
    <x v="2"/>
  </r>
  <r>
    <s v="CA-2014-126802"/>
    <x v="527"/>
    <d v="2015-01-05T00:00:00"/>
    <x v="1"/>
    <s v="ZC-21910"/>
    <s v="Zuschuss Carroll"/>
    <x v="0"/>
    <s v="United States"/>
    <x v="9"/>
    <x v="8"/>
    <x v="3"/>
    <s v="FUR-FU-10000193"/>
    <s v="Furniture"/>
    <x v="3"/>
    <s v="Tenex Chairmats For Use with Hard Floors"/>
    <n v="38.975999999999999"/>
    <n v="3"/>
    <n v="0.6"/>
    <n v="-50.668799999999997"/>
    <x v="1"/>
    <x v="5"/>
  </r>
  <r>
    <s v="CA-2014-131541"/>
    <x v="655"/>
    <d v="2014-07-28T00:00:00"/>
    <x v="3"/>
    <s v="CK-12205"/>
    <s v="Chloris Kastensmidt"/>
    <x v="0"/>
    <s v="United States"/>
    <x v="281"/>
    <x v="1"/>
    <x v="0"/>
    <s v="FUR-FU-10003623"/>
    <s v="Furniture"/>
    <x v="3"/>
    <s v="DataProducts Ampli Magnifier Task Lamp, Black,"/>
    <n v="129.88800000000001"/>
    <n v="6"/>
    <n v="0.2"/>
    <n v="12.988799999999999"/>
    <x v="7"/>
    <x v="3"/>
  </r>
  <r>
    <s v="CA-2015-119550"/>
    <x v="626"/>
    <d v="2015-12-31T00:00:00"/>
    <x v="1"/>
    <s v="RB-19705"/>
    <s v="Roger Barcio"/>
    <x v="2"/>
    <s v="United States"/>
    <x v="6"/>
    <x v="5"/>
    <x v="3"/>
    <s v="FUR-CH-10002044"/>
    <s v="Furniture"/>
    <x v="1"/>
    <s v="Office Star - Contemporary Task Swivel chair with 2-way adjustable arms, Plum"/>
    <n v="275.05799999999999"/>
    <n v="3"/>
    <n v="0.3"/>
    <n v="-90.376199999999997"/>
    <x v="2"/>
    <x v="5"/>
  </r>
  <r>
    <s v="US-2015-138093"/>
    <x v="479"/>
    <d v="2015-12-16T00:00:00"/>
    <x v="1"/>
    <s v="KM-16225"/>
    <s v="Kalyca Meade"/>
    <x v="1"/>
    <s v="United States"/>
    <x v="237"/>
    <x v="32"/>
    <x v="2"/>
    <s v="FUR-CH-10000785"/>
    <s v="Furniture"/>
    <x v="1"/>
    <s v="Global Ergonomic Managers Chair"/>
    <n v="542.94000000000005"/>
    <n v="3"/>
    <n v="0"/>
    <n v="141.1644"/>
    <x v="6"/>
    <x v="5"/>
  </r>
  <r>
    <s v="CA-2016-126165"/>
    <x v="399"/>
    <d v="2016-05-07T00:00:00"/>
    <x v="0"/>
    <s v="AH-10465"/>
    <s v="Amy Hunt"/>
    <x v="0"/>
    <s v="United States"/>
    <x v="28"/>
    <x v="2"/>
    <x v="1"/>
    <s v="FUR-TA-10001676"/>
    <s v="Furniture"/>
    <x v="2"/>
    <s v="Hon 61000 Series Interactive Training Tables"/>
    <n v="71.087999999999994"/>
    <n v="2"/>
    <n v="0.2"/>
    <n v="-1.7771999999999999"/>
    <x v="3"/>
    <x v="7"/>
  </r>
  <r>
    <s v="US-2014-123519"/>
    <x v="609"/>
    <d v="2014-12-21T00:00:00"/>
    <x v="1"/>
    <s v="SS-20875"/>
    <s v="Sung Shariari"/>
    <x v="0"/>
    <s v="United States"/>
    <x v="149"/>
    <x v="15"/>
    <x v="2"/>
    <s v="FUR-TA-10002645"/>
    <s v="Furniture"/>
    <x v="2"/>
    <s v="Hon Rectangular Conference Tables"/>
    <n v="136.53"/>
    <n v="1"/>
    <n v="0.4"/>
    <n v="-52.336500000000001"/>
    <x v="1"/>
    <x v="5"/>
  </r>
  <r>
    <s v="US-2015-160857"/>
    <x v="190"/>
    <d v="2015-05-15T00:00:00"/>
    <x v="1"/>
    <s v="NW-18400"/>
    <s v="Natalie Webber"/>
    <x v="0"/>
    <s v="United States"/>
    <x v="13"/>
    <x v="7"/>
    <x v="2"/>
    <s v="FUR-FU-10001095"/>
    <s v="Furniture"/>
    <x v="3"/>
    <s v="DAX Black Cherry Wood-Tone Poster Frame"/>
    <n v="79.44"/>
    <n v="3"/>
    <n v="0"/>
    <n v="30.187200000000001"/>
    <x v="1"/>
    <x v="7"/>
  </r>
  <r>
    <s v="US-2015-160857"/>
    <x v="190"/>
    <d v="2015-05-15T00:00:00"/>
    <x v="1"/>
    <s v="NW-18400"/>
    <s v="Natalie Webber"/>
    <x v="0"/>
    <s v="United States"/>
    <x v="13"/>
    <x v="7"/>
    <x v="2"/>
    <s v="FUR-CH-10002647"/>
    <s v="Furniture"/>
    <x v="1"/>
    <s v="Situations Contoured Folding Chairs, 4/Set"/>
    <n v="127.764"/>
    <n v="2"/>
    <n v="0.1"/>
    <n v="21.294"/>
    <x v="1"/>
    <x v="7"/>
  </r>
  <r>
    <s v="CA-2017-117324"/>
    <x v="64"/>
    <d v="2017-12-13T00:00:00"/>
    <x v="1"/>
    <s v="JP-15520"/>
    <s v="Jeremy Pistek"/>
    <x v="0"/>
    <s v="United States"/>
    <x v="123"/>
    <x v="16"/>
    <x v="3"/>
    <s v="FUR-BO-10003159"/>
    <s v="Furniture"/>
    <x v="0"/>
    <s v="Sauder Camden County Collection Libraries, Planked Cherry Finish"/>
    <n v="459.92"/>
    <n v="4"/>
    <n v="0"/>
    <n v="41.392800000000001"/>
    <x v="2"/>
    <x v="5"/>
  </r>
  <r>
    <s v="CA-2017-143574"/>
    <x v="656"/>
    <d v="2017-07-02T00:00:00"/>
    <x v="2"/>
    <s v="DR-12880"/>
    <s v="Dan Reichenbach"/>
    <x v="1"/>
    <s v="United States"/>
    <x v="282"/>
    <x v="19"/>
    <x v="2"/>
    <s v="FUR-BO-10002598"/>
    <s v="Furniture"/>
    <x v="0"/>
    <s v="Hon Metal Bookcases, Putty"/>
    <n v="638.82000000000005"/>
    <n v="9"/>
    <n v="0"/>
    <n v="185.2578"/>
    <x v="0"/>
    <x v="2"/>
  </r>
  <r>
    <s v="CA-2017-143574"/>
    <x v="656"/>
    <d v="2017-07-02T00:00:00"/>
    <x v="2"/>
    <s v="DR-12880"/>
    <s v="Dan Reichenbach"/>
    <x v="1"/>
    <s v="United States"/>
    <x v="282"/>
    <x v="19"/>
    <x v="2"/>
    <s v="FUR-FU-10003976"/>
    <s v="Furniture"/>
    <x v="3"/>
    <s v="DAX Executive Solid Wood Document Frame, Desktop or Hang, Mahogany, 5 x 7"/>
    <n v="25.16"/>
    <n v="2"/>
    <n v="0"/>
    <n v="8.5543999999999993"/>
    <x v="0"/>
    <x v="2"/>
  </r>
  <r>
    <s v="CA-2014-148614"/>
    <x v="187"/>
    <d v="2014-01-25T00:00:00"/>
    <x v="1"/>
    <s v="MV-17485"/>
    <s v="Mark Van Huff"/>
    <x v="0"/>
    <s v="United States"/>
    <x v="2"/>
    <x v="2"/>
    <x v="1"/>
    <s v="FUR-FU-10003194"/>
    <s v="Furniture"/>
    <x v="3"/>
    <s v="Eldon Expressions Desk Accessory, Wood Pencil Holder, Oak"/>
    <n v="19.3"/>
    <n v="2"/>
    <n v="0"/>
    <n v="5.79"/>
    <x v="2"/>
    <x v="8"/>
  </r>
  <r>
    <s v="US-2017-147886"/>
    <x v="657"/>
    <d v="2017-03-31T00:00:00"/>
    <x v="2"/>
    <s v="DH-13075"/>
    <s v="Dave Hallsten"/>
    <x v="1"/>
    <s v="United States"/>
    <x v="130"/>
    <x v="2"/>
    <x v="1"/>
    <s v="FUR-FU-10001095"/>
    <s v="Furniture"/>
    <x v="3"/>
    <s v="DAX Black Cherry Wood-Tone Poster Frame"/>
    <n v="26.48"/>
    <n v="1"/>
    <n v="0"/>
    <n v="10.0624"/>
    <x v="0"/>
    <x v="9"/>
  </r>
  <r>
    <s v="US-2017-147886"/>
    <x v="657"/>
    <d v="2017-03-31T00:00:00"/>
    <x v="2"/>
    <s v="DH-13075"/>
    <s v="Dave Hallsten"/>
    <x v="1"/>
    <s v="United States"/>
    <x v="130"/>
    <x v="2"/>
    <x v="1"/>
    <s v="FUR-FU-10003829"/>
    <s v="Furniture"/>
    <x v="3"/>
    <s v="Stackable Trays"/>
    <n v="21.56"/>
    <n v="7"/>
    <n v="0"/>
    <n v="6.8992000000000004"/>
    <x v="0"/>
    <x v="9"/>
  </r>
  <r>
    <s v="CA-2014-145800"/>
    <x v="658"/>
    <d v="2014-06-05T00:00:00"/>
    <x v="1"/>
    <s v="SS-20410"/>
    <s v="Shahid Shariari"/>
    <x v="0"/>
    <s v="United States"/>
    <x v="283"/>
    <x v="8"/>
    <x v="3"/>
    <s v="FUR-TA-10001539"/>
    <s v="Furniture"/>
    <x v="2"/>
    <s v="Chromcraft Rectangular Conference Tables"/>
    <n v="355.45499999999998"/>
    <n v="3"/>
    <n v="0.5"/>
    <n v="-184.8366"/>
    <x v="6"/>
    <x v="7"/>
  </r>
  <r>
    <s v="CA-2016-118514"/>
    <x v="659"/>
    <d v="2016-02-10T00:00:00"/>
    <x v="1"/>
    <s v="LC-17050"/>
    <s v="Liz Carlisle"/>
    <x v="0"/>
    <s v="United States"/>
    <x v="52"/>
    <x v="0"/>
    <x v="0"/>
    <s v="FUR-CH-10000015"/>
    <s v="Furniture"/>
    <x v="1"/>
    <s v="Hon Multipurpose Stacking Arm Chairs"/>
    <n v="866.4"/>
    <n v="4"/>
    <n v="0"/>
    <n v="225.26400000000001"/>
    <x v="1"/>
    <x v="11"/>
  </r>
  <r>
    <s v="CA-2015-119634"/>
    <x v="660"/>
    <d v="2015-08-16T00:00:00"/>
    <x v="1"/>
    <s v="BW-11065"/>
    <s v="Barry Weirich"/>
    <x v="0"/>
    <s v="United States"/>
    <x v="168"/>
    <x v="30"/>
    <x v="0"/>
    <s v="FUR-FU-10004270"/>
    <s v="Furniture"/>
    <x v="3"/>
    <s v="Executive Impressions 13&quot; Clairmont Wall Clock"/>
    <n v="46.152000000000001"/>
    <n v="3"/>
    <n v="0.2"/>
    <n v="12.1149"/>
    <x v="2"/>
    <x v="10"/>
  </r>
  <r>
    <s v="CA-2017-158169"/>
    <x v="661"/>
    <d v="2017-08-15T00:00:00"/>
    <x v="2"/>
    <s v="JM-16195"/>
    <s v="Justin MacKendrick"/>
    <x v="0"/>
    <s v="United States"/>
    <x v="284"/>
    <x v="2"/>
    <x v="1"/>
    <s v="FUR-FU-10001473"/>
    <s v="Furniture"/>
    <x v="3"/>
    <s v="DAX Wood Document Frame"/>
    <n v="54.92"/>
    <n v="4"/>
    <n v="0"/>
    <n v="19.7712"/>
    <x v="0"/>
    <x v="10"/>
  </r>
  <r>
    <s v="CA-2015-162047"/>
    <x v="240"/>
    <d v="2015-11-05T00:00:00"/>
    <x v="2"/>
    <s v="FH-14365"/>
    <s v="Fred Hopkins"/>
    <x v="1"/>
    <s v="United States"/>
    <x v="62"/>
    <x v="7"/>
    <x v="2"/>
    <s v="FUR-CH-10004983"/>
    <s v="Furniture"/>
    <x v="1"/>
    <s v="Office Star - Mid Back Dual function Ergonomic High Back Chair with 2-Way Adjustable Arms"/>
    <n v="1448.82"/>
    <n v="10"/>
    <n v="0.1"/>
    <n v="209.274"/>
    <x v="3"/>
    <x v="0"/>
  </r>
  <r>
    <s v="CA-2015-103835"/>
    <x v="262"/>
    <d v="2015-09-28T00:00:00"/>
    <x v="1"/>
    <s v="SC-20440"/>
    <s v="Shaun Chance"/>
    <x v="1"/>
    <s v="United States"/>
    <x v="2"/>
    <x v="2"/>
    <x v="1"/>
    <s v="FUR-FU-10000010"/>
    <s v="Furniture"/>
    <x v="3"/>
    <s v="DAX Value U-Channel Document Frames, Easel Back"/>
    <n v="14.91"/>
    <n v="3"/>
    <n v="0"/>
    <n v="4.6220999999999997"/>
    <x v="4"/>
    <x v="4"/>
  </r>
  <r>
    <s v="CA-2016-142398"/>
    <x v="188"/>
    <d v="2016-04-16T00:00:00"/>
    <x v="1"/>
    <s v="BP-11290"/>
    <s v="Beth Paige"/>
    <x v="0"/>
    <s v="United States"/>
    <x v="2"/>
    <x v="2"/>
    <x v="1"/>
    <s v="FUR-CH-10001545"/>
    <s v="Furniture"/>
    <x v="1"/>
    <s v="Hon Comfortask Task/Swivel Chairs"/>
    <n v="638.28800000000001"/>
    <n v="7"/>
    <n v="0.2"/>
    <n v="-31.914400000000001"/>
    <x v="4"/>
    <x v="6"/>
  </r>
  <r>
    <s v="CA-2014-105270"/>
    <x v="163"/>
    <d v="2014-11-18T00:00:00"/>
    <x v="1"/>
    <s v="AP-10915"/>
    <s v="Arthur Prichep"/>
    <x v="0"/>
    <s v="United States"/>
    <x v="2"/>
    <x v="2"/>
    <x v="1"/>
    <s v="FUR-CH-10000988"/>
    <s v="Furniture"/>
    <x v="1"/>
    <s v="Hon Olson Stacker Stools"/>
    <n v="112.648"/>
    <n v="1"/>
    <n v="0.2"/>
    <n v="11.264799999999999"/>
    <x v="1"/>
    <x v="0"/>
  </r>
  <r>
    <s v="CA-2017-141117"/>
    <x v="125"/>
    <d v="2017-10-08T00:00:00"/>
    <x v="1"/>
    <s v="JK-16090"/>
    <s v="Juliana Krohn"/>
    <x v="0"/>
    <s v="United States"/>
    <x v="76"/>
    <x v="36"/>
    <x v="1"/>
    <s v="FUR-BO-10001972"/>
    <s v="Furniture"/>
    <x v="0"/>
    <s v="O'Sullivan 4-Shelf Bookcase in Odessa Pine"/>
    <n v="217.76400000000001"/>
    <n v="6"/>
    <n v="0.7"/>
    <n v="-384.71640000000002"/>
    <x v="6"/>
    <x v="1"/>
  </r>
  <r>
    <s v="CA-2017-115070"/>
    <x v="662"/>
    <d v="2017-04-14T00:00:00"/>
    <x v="0"/>
    <s v="MG-18205"/>
    <s v="Mitch Gastineau"/>
    <x v="1"/>
    <s v="United States"/>
    <x v="51"/>
    <x v="1"/>
    <x v="0"/>
    <s v="FUR-FU-10003829"/>
    <s v="Furniture"/>
    <x v="3"/>
    <s v="Stackable Trays"/>
    <n v="12.32"/>
    <n v="5"/>
    <n v="0.2"/>
    <n v="1.8480000000000001"/>
    <x v="4"/>
    <x v="6"/>
  </r>
  <r>
    <s v="CA-2017-140186"/>
    <x v="560"/>
    <d v="2017-10-02T00:00:00"/>
    <x v="2"/>
    <s v="PG-18820"/>
    <s v="Patrick Gardner"/>
    <x v="0"/>
    <s v="United States"/>
    <x v="175"/>
    <x v="2"/>
    <x v="1"/>
    <s v="FUR-CH-10002961"/>
    <s v="Furniture"/>
    <x v="1"/>
    <s v="Leather Task Chair, Black"/>
    <n v="72.784000000000006"/>
    <n v="1"/>
    <n v="0.2"/>
    <n v="0"/>
    <x v="0"/>
    <x v="4"/>
  </r>
  <r>
    <s v="CA-2017-140186"/>
    <x v="560"/>
    <d v="2017-10-02T00:00:00"/>
    <x v="2"/>
    <s v="PG-18820"/>
    <s v="Patrick Gardner"/>
    <x v="0"/>
    <s v="United States"/>
    <x v="175"/>
    <x v="2"/>
    <x v="1"/>
    <s v="FUR-FU-10004848"/>
    <s v="Furniture"/>
    <x v="3"/>
    <s v="Howard Miller 13-3/4&quot; Diameter Brushed Chrome Round Wall Clock"/>
    <n v="51.75"/>
    <n v="1"/>
    <n v="0"/>
    <n v="15.525"/>
    <x v="0"/>
    <x v="4"/>
  </r>
  <r>
    <s v="CA-2014-124856"/>
    <x v="189"/>
    <d v="2014-10-03T00:00:00"/>
    <x v="0"/>
    <s v="LD-17005"/>
    <s v="Lisa DeCherney"/>
    <x v="0"/>
    <s v="United States"/>
    <x v="13"/>
    <x v="7"/>
    <x v="2"/>
    <s v="FUR-FU-10000521"/>
    <s v="Furniture"/>
    <x v="3"/>
    <s v="Seth Thomas 14&quot; Putty-Colored Wall Clock"/>
    <n v="117.36"/>
    <n v="4"/>
    <n v="0"/>
    <n v="36.381599999999999"/>
    <x v="4"/>
    <x v="4"/>
  </r>
  <r>
    <s v="CA-2014-166716"/>
    <x v="663"/>
    <d v="2014-08-25T00:00:00"/>
    <x v="0"/>
    <s v="CR-12730"/>
    <s v="Craig Reiter"/>
    <x v="0"/>
    <s v="United States"/>
    <x v="9"/>
    <x v="8"/>
    <x v="3"/>
    <s v="FUR-CH-10004495"/>
    <s v="Furniture"/>
    <x v="1"/>
    <s v="Global Leather and Oak Executive Chair, Black"/>
    <n v="421.37200000000001"/>
    <n v="2"/>
    <n v="0.3"/>
    <n v="-6.0195999999999996"/>
    <x v="2"/>
    <x v="10"/>
  </r>
  <r>
    <s v="CA-2017-113873"/>
    <x v="596"/>
    <d v="2017-11-19T00:00:00"/>
    <x v="1"/>
    <s v="KE-16420"/>
    <s v="Katrina Edelman"/>
    <x v="1"/>
    <s v="United States"/>
    <x v="144"/>
    <x v="5"/>
    <x v="3"/>
    <s v="FUR-BO-10003441"/>
    <s v="Furniture"/>
    <x v="0"/>
    <s v="Bush Westfield Collection Bookcases, Fully Assembled"/>
    <n v="205.9992"/>
    <n v="3"/>
    <n v="0.32"/>
    <n v="-27.264600000000002"/>
    <x v="6"/>
    <x v="0"/>
  </r>
  <r>
    <s v="CA-2016-125017"/>
    <x v="664"/>
    <d v="2016-02-11T00:00:00"/>
    <x v="1"/>
    <s v="KB-16240"/>
    <s v="Karen Bern"/>
    <x v="1"/>
    <s v="United States"/>
    <x v="196"/>
    <x v="9"/>
    <x v="0"/>
    <s v="FUR-FU-10000723"/>
    <s v="Furniture"/>
    <x v="3"/>
    <s v="Deflect-o EconoMat Studded, No Bevel Mat for Low Pile Carpeting"/>
    <n v="132.22399999999999"/>
    <n v="4"/>
    <n v="0.2"/>
    <n v="-18.180800000000001"/>
    <x v="2"/>
    <x v="11"/>
  </r>
  <r>
    <s v="US-2015-163279"/>
    <x v="665"/>
    <d v="2015-03-26T00:00:00"/>
    <x v="1"/>
    <s v="JD-16150"/>
    <s v="Justin Deggeller"/>
    <x v="1"/>
    <s v="United States"/>
    <x v="53"/>
    <x v="2"/>
    <x v="1"/>
    <s v="FUR-FU-10000747"/>
    <s v="Furniture"/>
    <x v="3"/>
    <s v="Tenex B1-RE Series Chair Mats for Low Pile Carpets"/>
    <n v="91.96"/>
    <n v="2"/>
    <n v="0"/>
    <n v="15.6332"/>
    <x v="4"/>
    <x v="9"/>
  </r>
  <r>
    <s v="CA-2017-117632"/>
    <x v="666"/>
    <d v="2017-05-18T00:00:00"/>
    <x v="1"/>
    <s v="CS-12175"/>
    <s v="Charles Sheldon"/>
    <x v="1"/>
    <s v="United States"/>
    <x v="28"/>
    <x v="2"/>
    <x v="1"/>
    <s v="FUR-TA-10001520"/>
    <s v="Furniture"/>
    <x v="2"/>
    <s v="Lesro Sheffield Collection Coffee Table, End Table, Center Table, Corner Table"/>
    <n v="285.48"/>
    <n v="5"/>
    <n v="0.2"/>
    <n v="-10.705500000000001"/>
    <x v="6"/>
    <x v="7"/>
  </r>
  <r>
    <s v="CA-2017-161067"/>
    <x v="667"/>
    <d v="2017-09-06T00:00:00"/>
    <x v="0"/>
    <s v="KB-16405"/>
    <s v="Katrina Bavinger"/>
    <x v="2"/>
    <s v="United States"/>
    <x v="13"/>
    <x v="7"/>
    <x v="2"/>
    <s v="FUR-CH-10004626"/>
    <s v="Furniture"/>
    <x v="1"/>
    <s v="Office Star Flex Back Scooter Chair with Aluminum Finish Frame"/>
    <n v="90.801000000000002"/>
    <n v="1"/>
    <n v="0.1"/>
    <n v="14.124599999999999"/>
    <x v="0"/>
    <x v="4"/>
  </r>
  <r>
    <s v="CA-2017-161067"/>
    <x v="667"/>
    <d v="2017-09-06T00:00:00"/>
    <x v="0"/>
    <s v="KB-16405"/>
    <s v="Katrina Bavinger"/>
    <x v="2"/>
    <s v="United States"/>
    <x v="13"/>
    <x v="7"/>
    <x v="2"/>
    <s v="FUR-CH-10004860"/>
    <s v="Furniture"/>
    <x v="1"/>
    <s v="Global Low Back Tilter Chair"/>
    <n v="181.76400000000001"/>
    <n v="2"/>
    <n v="0.1"/>
    <n v="-8.0784000000000002"/>
    <x v="0"/>
    <x v="4"/>
  </r>
  <r>
    <s v="CA-2016-122063"/>
    <x v="122"/>
    <d v="2016-12-07T00:00:00"/>
    <x v="1"/>
    <s v="MM-17920"/>
    <s v="Michael Moore"/>
    <x v="0"/>
    <s v="United States"/>
    <x v="52"/>
    <x v="6"/>
    <x v="3"/>
    <s v="FUR-TA-10004575"/>
    <s v="Furniture"/>
    <x v="2"/>
    <s v="Hon 5100 Series Wood Tables"/>
    <n v="581.96"/>
    <n v="2"/>
    <n v="0"/>
    <n v="104.75279999999999"/>
    <x v="4"/>
    <x v="5"/>
  </r>
  <r>
    <s v="CA-2016-122063"/>
    <x v="122"/>
    <d v="2016-12-07T00:00:00"/>
    <x v="1"/>
    <s v="MM-17920"/>
    <s v="Michael Moore"/>
    <x v="0"/>
    <s v="United States"/>
    <x v="52"/>
    <x v="6"/>
    <x v="3"/>
    <s v="FUR-CH-10004754"/>
    <s v="Furniture"/>
    <x v="1"/>
    <s v="Global Stack Chair with Arms, Black"/>
    <n v="29.98"/>
    <n v="1"/>
    <n v="0"/>
    <n v="8.0945999999999998"/>
    <x v="4"/>
    <x v="5"/>
  </r>
  <r>
    <s v="CA-2016-142895"/>
    <x v="668"/>
    <d v="2016-07-26T00:00:00"/>
    <x v="1"/>
    <s v="BP-11290"/>
    <s v="Beth Paige"/>
    <x v="0"/>
    <s v="United States"/>
    <x v="41"/>
    <x v="30"/>
    <x v="0"/>
    <s v="FUR-CH-10002961"/>
    <s v="Furniture"/>
    <x v="1"/>
    <s v="Leather Task Chair, Black"/>
    <n v="363.92"/>
    <n v="5"/>
    <n v="0.2"/>
    <n v="0"/>
    <x v="2"/>
    <x v="3"/>
  </r>
  <r>
    <s v="CA-2015-134992"/>
    <x v="159"/>
    <d v="2015-09-26T00:00:00"/>
    <x v="0"/>
    <s v="MG-17875"/>
    <s v="Michael Grace"/>
    <x v="2"/>
    <s v="United States"/>
    <x v="58"/>
    <x v="25"/>
    <x v="0"/>
    <s v="FUR-FU-10002554"/>
    <s v="Furniture"/>
    <x v="3"/>
    <s v="Westinghouse Floor Lamp with Metal Mesh Shade, Black"/>
    <n v="47.98"/>
    <n v="2"/>
    <n v="0"/>
    <n v="11.035399999999999"/>
    <x v="4"/>
    <x v="4"/>
  </r>
  <r>
    <s v="CA-2015-126725"/>
    <x v="669"/>
    <d v="2015-11-21T00:00:00"/>
    <x v="1"/>
    <s v="BS-11665"/>
    <s v="Brian Stugart"/>
    <x v="0"/>
    <s v="United States"/>
    <x v="53"/>
    <x v="2"/>
    <x v="1"/>
    <s v="FUR-FU-10002813"/>
    <s v="Furniture"/>
    <x v="3"/>
    <s v="DAX Contemporary Wood Frame with Silver Metal Mat, Desktop, 11 x 14 Size"/>
    <n v="80.959999999999994"/>
    <n v="4"/>
    <n v="0"/>
    <n v="29.145600000000002"/>
    <x v="4"/>
    <x v="0"/>
  </r>
  <r>
    <s v="CA-2015-126725"/>
    <x v="669"/>
    <d v="2015-11-21T00:00:00"/>
    <x v="1"/>
    <s v="BS-11665"/>
    <s v="Brian Stugart"/>
    <x v="0"/>
    <s v="United States"/>
    <x v="53"/>
    <x v="2"/>
    <x v="1"/>
    <s v="FUR-CH-10001708"/>
    <s v="Furniture"/>
    <x v="1"/>
    <s v="Office Star - Contemporary Swivel Chair with Padded Adjustable Arms and Flex Back"/>
    <n v="225.56800000000001"/>
    <n v="2"/>
    <n v="0.2"/>
    <n v="2.8195999999999999"/>
    <x v="4"/>
    <x v="0"/>
  </r>
  <r>
    <s v="CA-2015-126725"/>
    <x v="669"/>
    <d v="2015-11-21T00:00:00"/>
    <x v="1"/>
    <s v="BS-11665"/>
    <s v="Brian Stugart"/>
    <x v="0"/>
    <s v="United States"/>
    <x v="53"/>
    <x v="2"/>
    <x v="1"/>
    <s v="FUR-FU-10001591"/>
    <s v="Furniture"/>
    <x v="3"/>
    <s v="Advantus Panel Wall Certificate Holder - 8.5x11"/>
    <n v="36.6"/>
    <n v="3"/>
    <n v="0"/>
    <n v="15.372"/>
    <x v="4"/>
    <x v="0"/>
  </r>
  <r>
    <s v="CA-2015-121783"/>
    <x v="670"/>
    <d v="2015-11-14T00:00:00"/>
    <x v="1"/>
    <s v="PO-19180"/>
    <s v="Philisse Overcash"/>
    <x v="2"/>
    <s v="United States"/>
    <x v="18"/>
    <x v="11"/>
    <x v="3"/>
    <s v="FUR-FU-10004351"/>
    <s v="Furniture"/>
    <x v="3"/>
    <s v="Staple-based wall hangings"/>
    <n v="29.22"/>
    <n v="3"/>
    <n v="0"/>
    <n v="12.8568"/>
    <x v="4"/>
    <x v="0"/>
  </r>
  <r>
    <s v="CA-2015-112214"/>
    <x v="671"/>
    <d v="2015-08-11T00:00:00"/>
    <x v="1"/>
    <s v="AH-10690"/>
    <s v="Anna HŠberlin"/>
    <x v="1"/>
    <s v="United States"/>
    <x v="144"/>
    <x v="5"/>
    <x v="3"/>
    <s v="FUR-FU-10002364"/>
    <s v="Furniture"/>
    <x v="3"/>
    <s v="Eldon Expressions Wood Desk Accessories, Oak"/>
    <n v="14.76"/>
    <n v="5"/>
    <n v="0.6"/>
    <n v="-11.439"/>
    <x v="6"/>
    <x v="10"/>
  </r>
  <r>
    <s v="US-2017-153255"/>
    <x v="667"/>
    <d v="2017-09-07T00:00:00"/>
    <x v="0"/>
    <s v="JK-15730"/>
    <s v="Joe Kamberova"/>
    <x v="0"/>
    <s v="United States"/>
    <x v="41"/>
    <x v="2"/>
    <x v="1"/>
    <s v="FUR-BO-10004218"/>
    <s v="Furniture"/>
    <x v="0"/>
    <s v="Bush Heritage Pine Collection 5-Shelf Bookcase, Albany Pine Finish, *Special Order"/>
    <n v="239.666"/>
    <n v="2"/>
    <n v="0.15"/>
    <n v="14.098000000000001"/>
    <x v="4"/>
    <x v="4"/>
  </r>
  <r>
    <s v="CA-2015-108119"/>
    <x v="341"/>
    <d v="2015-11-08T00:00:00"/>
    <x v="1"/>
    <s v="MS-17530"/>
    <s v="MaryBeth Skach"/>
    <x v="0"/>
    <s v="United States"/>
    <x v="285"/>
    <x v="31"/>
    <x v="0"/>
    <s v="FUR-TA-10002530"/>
    <s v="Furniture"/>
    <x v="2"/>
    <s v="Iceberg OfficeWorks 42&quot; Round Tables"/>
    <n v="301.95999999999998"/>
    <n v="2"/>
    <n v="0"/>
    <n v="45.293999999999997"/>
    <x v="1"/>
    <x v="0"/>
  </r>
  <r>
    <s v="US-2014-117968"/>
    <x v="31"/>
    <d v="2014-08-07T00:00:00"/>
    <x v="0"/>
    <s v="RS-19420"/>
    <s v="Ricardo Sperren"/>
    <x v="1"/>
    <s v="United States"/>
    <x v="286"/>
    <x v="19"/>
    <x v="2"/>
    <s v="FUR-CH-10002335"/>
    <s v="Furniture"/>
    <x v="1"/>
    <s v="Hon GuestStacker Chair"/>
    <n v="1133.3499999999999"/>
    <n v="5"/>
    <n v="0"/>
    <n v="294.67099999999999"/>
    <x v="3"/>
    <x v="10"/>
  </r>
  <r>
    <s v="CA-2016-152247"/>
    <x v="267"/>
    <d v="2016-11-12T00:00:00"/>
    <x v="1"/>
    <s v="MA-17995"/>
    <s v="Michelle Arnett"/>
    <x v="2"/>
    <s v="United States"/>
    <x v="287"/>
    <x v="45"/>
    <x v="1"/>
    <s v="FUR-CH-10001215"/>
    <s v="Furniture"/>
    <x v="1"/>
    <s v="Global Troy Executive Leather Low-Back Tilter"/>
    <n v="1603.136"/>
    <n v="4"/>
    <n v="0.2"/>
    <n v="100.196"/>
    <x v="2"/>
    <x v="0"/>
  </r>
  <r>
    <s v="CA-2016-128223"/>
    <x v="184"/>
    <d v="2016-06-14T00:00:00"/>
    <x v="3"/>
    <s v="EB-13705"/>
    <s v="Ed Braxton"/>
    <x v="1"/>
    <s v="United States"/>
    <x v="261"/>
    <x v="2"/>
    <x v="1"/>
    <s v="FUR-TA-10001771"/>
    <s v="Furniture"/>
    <x v="2"/>
    <s v="Bush Cubix Conference Tables, Fully Assembled"/>
    <n v="1293.4880000000001"/>
    <n v="7"/>
    <n v="0.2"/>
    <n v="80.843000000000004"/>
    <x v="7"/>
    <x v="2"/>
  </r>
  <r>
    <s v="CA-2016-154235"/>
    <x v="211"/>
    <d v="2016-09-28T00:00:00"/>
    <x v="1"/>
    <s v="RD-19900"/>
    <s v="Ruben Dartt"/>
    <x v="0"/>
    <s v="United States"/>
    <x v="17"/>
    <x v="6"/>
    <x v="3"/>
    <s v="FUR-FU-10004006"/>
    <s v="Furniture"/>
    <x v="3"/>
    <s v="Deflect-o DuraMat Lighweight, Studded, Beveled Mat for Low Pile Carpeting"/>
    <n v="127.95"/>
    <n v="3"/>
    <n v="0"/>
    <n v="21.7515"/>
    <x v="4"/>
    <x v="4"/>
  </r>
  <r>
    <s v="CA-2016-133935"/>
    <x v="126"/>
    <d v="2016-09-22T00:00:00"/>
    <x v="1"/>
    <s v="JW-15220"/>
    <s v="Jane Waco"/>
    <x v="1"/>
    <s v="United States"/>
    <x v="53"/>
    <x v="2"/>
    <x v="1"/>
    <s v="FUR-CH-10001215"/>
    <s v="Furniture"/>
    <x v="1"/>
    <s v="Global Troy Executive Leather Low-Back Tilter"/>
    <n v="801.56799999999998"/>
    <n v="2"/>
    <n v="0.2"/>
    <n v="50.097999999999999"/>
    <x v="4"/>
    <x v="4"/>
  </r>
  <r>
    <s v="CA-2016-133935"/>
    <x v="126"/>
    <d v="2016-09-22T00:00:00"/>
    <x v="1"/>
    <s v="JW-15220"/>
    <s v="Jane Waco"/>
    <x v="1"/>
    <s v="United States"/>
    <x v="53"/>
    <x v="2"/>
    <x v="1"/>
    <s v="FUR-CH-10002880"/>
    <s v="Furniture"/>
    <x v="1"/>
    <s v="Global High-Back Leather Tilter, Burgundy"/>
    <n v="885.52800000000002"/>
    <n v="9"/>
    <n v="0.2"/>
    <n v="-99.621899999999997"/>
    <x v="4"/>
    <x v="4"/>
  </r>
  <r>
    <s v="CA-2016-136301"/>
    <x v="345"/>
    <d v="2016-03-15T00:00:00"/>
    <x v="0"/>
    <s v="EH-13765"/>
    <s v="Edward Hooks"/>
    <x v="1"/>
    <s v="United States"/>
    <x v="28"/>
    <x v="2"/>
    <x v="1"/>
    <s v="FUR-FU-10004712"/>
    <s v="Furniture"/>
    <x v="3"/>
    <s v="Westinghouse Mesh Shade Clip-On Gooseneck Lamp, Black"/>
    <n v="28.28"/>
    <n v="2"/>
    <n v="0"/>
    <n v="7.3528000000000002"/>
    <x v="3"/>
    <x v="9"/>
  </r>
  <r>
    <s v="CA-2016-167682"/>
    <x v="672"/>
    <d v="2016-04-09T00:00:00"/>
    <x v="1"/>
    <s v="ZD-21925"/>
    <s v="Zuschuss Donatelli"/>
    <x v="0"/>
    <s v="United States"/>
    <x v="52"/>
    <x v="6"/>
    <x v="3"/>
    <s v="FUR-FU-10003799"/>
    <s v="Furniture"/>
    <x v="3"/>
    <s v="Seth Thomas 13 1/2&quot; Wall Clock"/>
    <n v="71.12"/>
    <n v="4"/>
    <n v="0"/>
    <n v="22.0472"/>
    <x v="6"/>
    <x v="6"/>
  </r>
  <r>
    <s v="CA-2016-159639"/>
    <x v="673"/>
    <d v="2016-12-02T00:00:00"/>
    <x v="1"/>
    <s v="PC-18745"/>
    <s v="Pamela Coakley"/>
    <x v="1"/>
    <s v="United States"/>
    <x v="162"/>
    <x v="18"/>
    <x v="2"/>
    <s v="FUR-FU-10001889"/>
    <s v="Furniture"/>
    <x v="3"/>
    <s v="Ultra Door Pull Handle"/>
    <n v="31.56"/>
    <n v="3"/>
    <n v="0"/>
    <n v="10.4148"/>
    <x v="2"/>
    <x v="0"/>
  </r>
  <r>
    <s v="US-2016-113985"/>
    <x v="674"/>
    <d v="2016-12-07T00:00:00"/>
    <x v="1"/>
    <s v="KD-16495"/>
    <s v="Keith Dawkins"/>
    <x v="1"/>
    <s v="United States"/>
    <x v="124"/>
    <x v="2"/>
    <x v="1"/>
    <s v="FUR-FU-10003026"/>
    <s v="Furniture"/>
    <x v="3"/>
    <s v="Eldon Regeneration Recycled Desk Accessories, Black"/>
    <n v="14.52"/>
    <n v="3"/>
    <n v="0"/>
    <n v="5.6627999999999998"/>
    <x v="2"/>
    <x v="5"/>
  </r>
  <r>
    <s v="US-2015-126977"/>
    <x v="5"/>
    <d v="2015-09-23T00:00:00"/>
    <x v="1"/>
    <s v="PF-19120"/>
    <s v="Peter Fuller"/>
    <x v="0"/>
    <s v="United States"/>
    <x v="13"/>
    <x v="7"/>
    <x v="2"/>
    <s v="FUR-CH-10001973"/>
    <s v="Furniture"/>
    <x v="1"/>
    <s v="Office Star Flex Back Scooter Chair with White Frame"/>
    <n v="199.76400000000001"/>
    <n v="2"/>
    <n v="0.1"/>
    <n v="8.8783999999999992"/>
    <x v="6"/>
    <x v="4"/>
  </r>
  <r>
    <s v="US-2015-126977"/>
    <x v="5"/>
    <d v="2015-09-23T00:00:00"/>
    <x v="1"/>
    <s v="PF-19120"/>
    <s v="Peter Fuller"/>
    <x v="0"/>
    <s v="United States"/>
    <x v="13"/>
    <x v="7"/>
    <x v="2"/>
    <s v="FUR-BO-10004834"/>
    <s v="Furniture"/>
    <x v="0"/>
    <s v="Riverside Palais Royal Lawyers Bookcase, Royale Cherry Finish"/>
    <n v="4228.7039999999997"/>
    <n v="6"/>
    <n v="0.2"/>
    <n v="158.57640000000001"/>
    <x v="6"/>
    <x v="4"/>
  </r>
  <r>
    <s v="US-2015-126977"/>
    <x v="5"/>
    <d v="2015-09-23T00:00:00"/>
    <x v="1"/>
    <s v="PF-19120"/>
    <s v="Peter Fuller"/>
    <x v="0"/>
    <s v="United States"/>
    <x v="13"/>
    <x v="7"/>
    <x v="2"/>
    <s v="FUR-BO-10002213"/>
    <s v="Furniture"/>
    <x v="0"/>
    <s v="DMI Eclipse Executive Suite Bookcases"/>
    <n v="2003.92"/>
    <n v="5"/>
    <n v="0.2"/>
    <n v="-25.048999999999999"/>
    <x v="6"/>
    <x v="4"/>
  </r>
  <r>
    <s v="CA-2016-130288"/>
    <x v="675"/>
    <d v="2016-11-30T00:00:00"/>
    <x v="0"/>
    <s v="DK-13225"/>
    <s v="Dean Katz"/>
    <x v="1"/>
    <s v="United States"/>
    <x v="13"/>
    <x v="7"/>
    <x v="2"/>
    <s v="FUR-TA-10002958"/>
    <s v="Furniture"/>
    <x v="2"/>
    <s v="Bevis Oval Conference Table, Walnut"/>
    <n v="313.17599999999999"/>
    <n v="2"/>
    <n v="0.4"/>
    <n v="-120.0508"/>
    <x v="4"/>
    <x v="0"/>
  </r>
  <r>
    <s v="US-2014-118997"/>
    <x v="676"/>
    <d v="2014-04-12T00:00:00"/>
    <x v="1"/>
    <s v="RA-19885"/>
    <s v="Ruben Ausman"/>
    <x v="1"/>
    <s v="United States"/>
    <x v="42"/>
    <x v="33"/>
    <x v="0"/>
    <s v="FUR-TA-10001086"/>
    <s v="Furniture"/>
    <x v="2"/>
    <s v="SAFCO PlanMaster Boards, 60w x 37-1/2d, White Melamine"/>
    <n v="1215.92"/>
    <n v="8"/>
    <n v="0"/>
    <n v="316.13920000000002"/>
    <x v="4"/>
    <x v="6"/>
  </r>
  <r>
    <s v="CA-2014-114314"/>
    <x v="524"/>
    <d v="2014-10-15T00:00:00"/>
    <x v="1"/>
    <s v="DB-13555"/>
    <s v="Dorothy Badders"/>
    <x v="1"/>
    <s v="United States"/>
    <x v="160"/>
    <x v="31"/>
    <x v="0"/>
    <s v="FUR-FU-10002107"/>
    <s v="Furniture"/>
    <x v="3"/>
    <s v="Eldon Pizzaz Desk Accessories"/>
    <n v="8.92"/>
    <n v="4"/>
    <n v="0"/>
    <n v="3.9247999999999998"/>
    <x v="4"/>
    <x v="1"/>
  </r>
  <r>
    <s v="US-2017-169551"/>
    <x v="677"/>
    <d v="2017-07-09T00:00:00"/>
    <x v="2"/>
    <s v="RL-19615"/>
    <s v="Rob Lucas"/>
    <x v="0"/>
    <s v="United States"/>
    <x v="3"/>
    <x v="3"/>
    <x v="2"/>
    <s v="FUR-BO-10001519"/>
    <s v="Furniture"/>
    <x v="0"/>
    <s v="O'Sullivan 3-Shelf Heavy-Duty Bookcases"/>
    <n v="87.21"/>
    <n v="3"/>
    <n v="0.5"/>
    <n v="-45.349200000000003"/>
    <x v="3"/>
    <x v="3"/>
  </r>
  <r>
    <s v="CA-2016-103107"/>
    <x v="557"/>
    <d v="2016-07-04T00:00:00"/>
    <x v="3"/>
    <s v="RB-19465"/>
    <s v="Rick Bensley"/>
    <x v="2"/>
    <s v="United States"/>
    <x v="15"/>
    <x v="13"/>
    <x v="1"/>
    <s v="FUR-FU-10000221"/>
    <s v="Furniture"/>
    <x v="3"/>
    <s v="Master Caster Door Stop, Brown"/>
    <n v="25.4"/>
    <n v="5"/>
    <n v="0"/>
    <n v="8.6359999999999992"/>
    <x v="7"/>
    <x v="3"/>
  </r>
  <r>
    <s v="CA-2014-104178"/>
    <x v="678"/>
    <d v="2014-08-29T00:00:00"/>
    <x v="1"/>
    <s v="JM-15265"/>
    <s v="Janet Molinari"/>
    <x v="1"/>
    <s v="United States"/>
    <x v="2"/>
    <x v="2"/>
    <x v="1"/>
    <s v="FUR-FU-10000771"/>
    <s v="Furniture"/>
    <x v="3"/>
    <s v="Eldon 200 Class Desk Accessories, Smoke"/>
    <n v="6.28"/>
    <n v="1"/>
    <n v="0"/>
    <n v="2.6375999999999999"/>
    <x v="4"/>
    <x v="10"/>
  </r>
  <r>
    <s v="CA-2014-155796"/>
    <x v="163"/>
    <d v="2014-11-15T00:00:00"/>
    <x v="0"/>
    <s v="TS-21430"/>
    <s v="Tom Stivers"/>
    <x v="1"/>
    <s v="United States"/>
    <x v="288"/>
    <x v="3"/>
    <x v="2"/>
    <s v="FUR-FU-10000409"/>
    <s v="Furniture"/>
    <x v="3"/>
    <s v="GE 4 Foot Flourescent Tube, 40 Watt"/>
    <n v="23.968"/>
    <n v="2"/>
    <n v="0.2"/>
    <n v="7.7896000000000001"/>
    <x v="4"/>
    <x v="0"/>
  </r>
  <r>
    <s v="CA-2014-155796"/>
    <x v="163"/>
    <d v="2014-11-15T00:00:00"/>
    <x v="0"/>
    <s v="TS-21430"/>
    <s v="Tom Stivers"/>
    <x v="1"/>
    <s v="United States"/>
    <x v="288"/>
    <x v="3"/>
    <x v="2"/>
    <s v="FUR-BO-10002545"/>
    <s v="Furniture"/>
    <x v="0"/>
    <s v="Atlantic Metals Mobile 3-Shelf Bookcases, Custom Colors"/>
    <n v="521.96"/>
    <n v="4"/>
    <n v="0.5"/>
    <n v="-250.54079999999999"/>
    <x v="4"/>
    <x v="0"/>
  </r>
  <r>
    <s v="CA-2016-127138"/>
    <x v="679"/>
    <d v="2016-03-15T00:00:00"/>
    <x v="0"/>
    <s v="DK-13225"/>
    <s v="Dean Katz"/>
    <x v="1"/>
    <s v="United States"/>
    <x v="28"/>
    <x v="2"/>
    <x v="1"/>
    <s v="FUR-CH-10003746"/>
    <s v="Furniture"/>
    <x v="1"/>
    <s v="Hon 4070 Series Pagoda Round Back Stacking Chairs"/>
    <n v="770.35199999999998"/>
    <n v="3"/>
    <n v="0.2"/>
    <n v="77.035200000000003"/>
    <x v="0"/>
    <x v="9"/>
  </r>
  <r>
    <s v="CA-2017-150602"/>
    <x v="436"/>
    <d v="2017-02-14T00:00:00"/>
    <x v="0"/>
    <s v="ML-17395"/>
    <s v="Marina Lichtenstein"/>
    <x v="1"/>
    <s v="United States"/>
    <x v="2"/>
    <x v="2"/>
    <x v="1"/>
    <s v="FUR-FU-10003142"/>
    <s v="Furniture"/>
    <x v="3"/>
    <s v="Master Big Foot Doorstop, Beige"/>
    <n v="21.12"/>
    <n v="4"/>
    <n v="0"/>
    <n v="6.5472000000000001"/>
    <x v="2"/>
    <x v="11"/>
  </r>
  <r>
    <s v="CA-2014-141726"/>
    <x v="435"/>
    <d v="2014-07-22T00:00:00"/>
    <x v="2"/>
    <s v="CC-12145"/>
    <s v="Charles Crestani"/>
    <x v="0"/>
    <s v="United States"/>
    <x v="53"/>
    <x v="2"/>
    <x v="1"/>
    <s v="FUR-FU-10003577"/>
    <s v="Furniture"/>
    <x v="3"/>
    <s v="Nu-Dell Leatherette Frames"/>
    <n v="43.02"/>
    <n v="3"/>
    <n v="0"/>
    <n v="15.4872"/>
    <x v="3"/>
    <x v="3"/>
  </r>
  <r>
    <s v="CA-2017-115105"/>
    <x v="335"/>
    <d v="2017-02-11T00:00:00"/>
    <x v="1"/>
    <s v="BD-11770"/>
    <s v="Bryan Davis"/>
    <x v="0"/>
    <s v="United States"/>
    <x v="13"/>
    <x v="7"/>
    <x v="2"/>
    <s v="FUR-BO-10001811"/>
    <s v="Furniture"/>
    <x v="0"/>
    <s v="Atlantic Metals Mobile 5-Shelf Bookcases, Custom Colors"/>
    <n v="240.78399999999999"/>
    <n v="1"/>
    <n v="0.2"/>
    <n v="30.097999999999999"/>
    <x v="2"/>
    <x v="11"/>
  </r>
  <r>
    <s v="CA-2014-117765"/>
    <x v="266"/>
    <d v="2014-09-13T00:00:00"/>
    <x v="1"/>
    <s v="RB-19465"/>
    <s v="Rick Bensley"/>
    <x v="2"/>
    <s v="United States"/>
    <x v="169"/>
    <x v="37"/>
    <x v="3"/>
    <s v="FUR-TA-10001039"/>
    <s v="Furniture"/>
    <x v="2"/>
    <s v="KI Adjustable-Height Table"/>
    <n v="429.9"/>
    <n v="5"/>
    <n v="0"/>
    <n v="111.774"/>
    <x v="6"/>
    <x v="4"/>
  </r>
  <r>
    <s v="CA-2014-117765"/>
    <x v="266"/>
    <d v="2014-09-13T00:00:00"/>
    <x v="1"/>
    <s v="RB-19465"/>
    <s v="Rick Bensley"/>
    <x v="2"/>
    <s v="United States"/>
    <x v="169"/>
    <x v="37"/>
    <x v="3"/>
    <s v="FUR-CH-10004698"/>
    <s v="Furniture"/>
    <x v="1"/>
    <s v="Padded Folding Chairs, Black, 4/Carton"/>
    <n v="161.96"/>
    <n v="2"/>
    <n v="0"/>
    <n v="45.348799999999997"/>
    <x v="6"/>
    <x v="4"/>
  </r>
  <r>
    <s v="CA-2016-163776"/>
    <x v="680"/>
    <d v="2016-07-25T00:00:00"/>
    <x v="1"/>
    <s v="JS-16030"/>
    <s v="Joy Smith"/>
    <x v="0"/>
    <s v="United States"/>
    <x v="289"/>
    <x v="21"/>
    <x v="0"/>
    <s v="FUR-FU-10001185"/>
    <s v="Furniture"/>
    <x v="3"/>
    <s v="Advantus Employee of the Month Certificate Frame, 11 x 13-1/2"/>
    <n v="185.58"/>
    <n v="6"/>
    <n v="0"/>
    <n v="76.087800000000001"/>
    <x v="6"/>
    <x v="3"/>
  </r>
  <r>
    <s v="CA-2016-163776"/>
    <x v="680"/>
    <d v="2016-07-25T00:00:00"/>
    <x v="1"/>
    <s v="JS-16030"/>
    <s v="Joy Smith"/>
    <x v="0"/>
    <s v="United States"/>
    <x v="289"/>
    <x v="21"/>
    <x v="0"/>
    <s v="FUR-BO-10003546"/>
    <s v="Furniture"/>
    <x v="0"/>
    <s v="Hon 4-Shelf Metal Bookcases"/>
    <n v="504.9"/>
    <n v="5"/>
    <n v="0"/>
    <n v="126.22499999999999"/>
    <x v="6"/>
    <x v="3"/>
  </r>
  <r>
    <s v="US-2017-163300"/>
    <x v="102"/>
    <d v="2017-09-21T00:00:00"/>
    <x v="1"/>
    <s v="ES-14020"/>
    <s v="Erica Smith"/>
    <x v="0"/>
    <s v="United States"/>
    <x v="2"/>
    <x v="2"/>
    <x v="1"/>
    <s v="FUR-CH-10003396"/>
    <s v="Furniture"/>
    <x v="1"/>
    <s v="Global Deluxe Steno Chair"/>
    <n v="184.75200000000001"/>
    <n v="3"/>
    <n v="0.2"/>
    <n v="-20.784600000000001"/>
    <x v="6"/>
    <x v="4"/>
  </r>
  <r>
    <s v="CA-2016-162187"/>
    <x v="106"/>
    <d v="2016-12-11T00:00:00"/>
    <x v="3"/>
    <s v="NS-18640"/>
    <s v="Noel Staavos"/>
    <x v="1"/>
    <s v="United States"/>
    <x v="29"/>
    <x v="15"/>
    <x v="2"/>
    <s v="FUR-CH-10003298"/>
    <s v="Furniture"/>
    <x v="1"/>
    <s v="Office Star - Contemporary Task Swivel chair with Loop Arms, Charcoal"/>
    <n v="458.43"/>
    <n v="5"/>
    <n v="0.3"/>
    <n v="-137.529"/>
    <x v="7"/>
    <x v="5"/>
  </r>
  <r>
    <s v="CA-2016-162187"/>
    <x v="106"/>
    <d v="2016-12-11T00:00:00"/>
    <x v="3"/>
    <s v="NS-18640"/>
    <s v="Noel Staavos"/>
    <x v="1"/>
    <s v="United States"/>
    <x v="29"/>
    <x v="15"/>
    <x v="2"/>
    <s v="FUR-TA-10003008"/>
    <s v="Furniture"/>
    <x v="2"/>
    <s v="Lesro Round Back Collection Coffee Table, End Table"/>
    <n v="328.59"/>
    <n v="3"/>
    <n v="0.4"/>
    <n v="-147.8655"/>
    <x v="7"/>
    <x v="5"/>
  </r>
  <r>
    <s v="US-2014-112991"/>
    <x v="681"/>
    <d v="2014-12-14T00:00:00"/>
    <x v="1"/>
    <s v="SH-19975"/>
    <s v="Sally Hughsby"/>
    <x v="1"/>
    <s v="United States"/>
    <x v="290"/>
    <x v="42"/>
    <x v="1"/>
    <s v="FUR-CH-10001708"/>
    <s v="Furniture"/>
    <x v="1"/>
    <s v="Office Star - Contemporary Swivel Chair with Padded Adjustable Arms and Flex Back"/>
    <n v="338.35199999999998"/>
    <n v="3"/>
    <n v="0.2"/>
    <n v="4.2294"/>
    <x v="4"/>
    <x v="5"/>
  </r>
  <r>
    <s v="CA-2014-124079"/>
    <x v="536"/>
    <d v="2014-12-17T00:00:00"/>
    <x v="1"/>
    <s v="RF-19345"/>
    <s v="Randy Ferguson"/>
    <x v="1"/>
    <s v="United States"/>
    <x v="43"/>
    <x v="22"/>
    <x v="1"/>
    <s v="FUR-FU-10002553"/>
    <s v="Furniture"/>
    <x v="3"/>
    <s v="Electrix Incandescent Magnifying Lamp, Black"/>
    <n v="87.96"/>
    <n v="3"/>
    <n v="0.2"/>
    <n v="7.6965000000000003"/>
    <x v="4"/>
    <x v="5"/>
  </r>
  <r>
    <s v="CA-2017-107244"/>
    <x v="87"/>
    <d v="2017-09-11T00:00:00"/>
    <x v="1"/>
    <s v="AG-10390"/>
    <s v="Allen Goldenen"/>
    <x v="0"/>
    <s v="United States"/>
    <x v="2"/>
    <x v="2"/>
    <x v="1"/>
    <s v="FUR-FU-10002597"/>
    <s v="Furniture"/>
    <x v="3"/>
    <s v="C-Line Magnetic Cubicle Keepers, Clear Polypropylene"/>
    <n v="19.760000000000002"/>
    <n v="4"/>
    <n v="0"/>
    <n v="8.2992000000000008"/>
    <x v="4"/>
    <x v="4"/>
  </r>
  <r>
    <s v="CA-2015-100657"/>
    <x v="46"/>
    <d v="2015-11-07T00:00:00"/>
    <x v="1"/>
    <s v="SW-20245"/>
    <s v="Scot Wooten"/>
    <x v="0"/>
    <s v="United States"/>
    <x v="8"/>
    <x v="7"/>
    <x v="2"/>
    <s v="FUR-CH-10003535"/>
    <s v="Furniture"/>
    <x v="1"/>
    <s v="Global Armless Task Chair, Royal Blue"/>
    <n v="109.764"/>
    <n v="2"/>
    <n v="0.1"/>
    <n v="8.5372000000000003"/>
    <x v="2"/>
    <x v="0"/>
  </r>
  <r>
    <s v="CA-2017-129028"/>
    <x v="535"/>
    <d v="2017-04-03T00:00:00"/>
    <x v="2"/>
    <s v="GB-14530"/>
    <s v="George Bell"/>
    <x v="1"/>
    <s v="United States"/>
    <x v="73"/>
    <x v="10"/>
    <x v="0"/>
    <s v="FUR-FU-10004006"/>
    <s v="Furniture"/>
    <x v="3"/>
    <s v="Deflect-o DuraMat Lighweight, Studded, Beveled Mat for Low Pile Carpeting"/>
    <n v="127.95"/>
    <n v="3"/>
    <n v="0"/>
    <n v="21.7515"/>
    <x v="3"/>
    <x v="6"/>
  </r>
  <r>
    <s v="CA-2014-102652"/>
    <x v="226"/>
    <d v="2014-04-12T00:00:00"/>
    <x v="1"/>
    <s v="AY-10555"/>
    <s v="Andy Yotov"/>
    <x v="1"/>
    <s v="United States"/>
    <x v="2"/>
    <x v="2"/>
    <x v="1"/>
    <s v="FUR-FU-10000747"/>
    <s v="Furniture"/>
    <x v="3"/>
    <s v="Tenex B1-RE Series Chair Mats for Low Pile Carpets"/>
    <n v="91.96"/>
    <n v="2"/>
    <n v="0"/>
    <n v="15.6332"/>
    <x v="6"/>
    <x v="6"/>
  </r>
  <r>
    <s v="CA-2014-102652"/>
    <x v="226"/>
    <d v="2014-04-12T00:00:00"/>
    <x v="1"/>
    <s v="AY-10555"/>
    <s v="Andy Yotov"/>
    <x v="1"/>
    <s v="United States"/>
    <x v="2"/>
    <x v="2"/>
    <x v="1"/>
    <s v="FUR-FU-10001918"/>
    <s v="Furniture"/>
    <x v="3"/>
    <s v="C-Line Cubicle Keepers Polyproplyene Holder With Velcro Backings"/>
    <n v="33.11"/>
    <n v="7"/>
    <n v="0"/>
    <n v="12.9129"/>
    <x v="6"/>
    <x v="6"/>
  </r>
  <r>
    <s v="US-2017-152492"/>
    <x v="682"/>
    <d v="2017-07-06T00:00:00"/>
    <x v="3"/>
    <s v="AH-10585"/>
    <s v="Angele Hood"/>
    <x v="0"/>
    <s v="United States"/>
    <x v="89"/>
    <x v="1"/>
    <x v="0"/>
    <s v="FUR-CH-10000155"/>
    <s v="Furniture"/>
    <x v="1"/>
    <s v="Global Comet Stacking Armless Chair"/>
    <n v="239.24"/>
    <n v="1"/>
    <n v="0.2"/>
    <n v="23.923999999999999"/>
    <x v="7"/>
    <x v="3"/>
  </r>
  <r>
    <s v="CA-2016-101168"/>
    <x v="683"/>
    <d v="2017-01-01T00:00:00"/>
    <x v="1"/>
    <s v="SS-20140"/>
    <s v="Saphhira Shifley"/>
    <x v="1"/>
    <s v="United States"/>
    <x v="291"/>
    <x v="28"/>
    <x v="2"/>
    <s v="FUR-FU-10003142"/>
    <s v="Furniture"/>
    <x v="3"/>
    <s v="Master Big Foot Doorstop, Beige"/>
    <n v="21.12"/>
    <n v="4"/>
    <n v="0"/>
    <n v="6.5472000000000001"/>
    <x v="1"/>
    <x v="5"/>
  </r>
  <r>
    <s v="CA-2015-130253"/>
    <x v="646"/>
    <d v="2015-12-18T00:00:00"/>
    <x v="1"/>
    <s v="PP-18955"/>
    <s v="Paul Prost"/>
    <x v="2"/>
    <s v="United States"/>
    <x v="2"/>
    <x v="2"/>
    <x v="1"/>
    <s v="FUR-FU-10002963"/>
    <s v="Furniture"/>
    <x v="3"/>
    <s v="Master Caster Door Stop, Gray"/>
    <n v="15.24"/>
    <n v="3"/>
    <n v="0"/>
    <n v="5.1816000000000004"/>
    <x v="4"/>
    <x v="5"/>
  </r>
  <r>
    <s v="CA-2016-131205"/>
    <x v="631"/>
    <d v="2016-09-08T00:00:00"/>
    <x v="1"/>
    <s v="AA-10645"/>
    <s v="Anna Andreadi"/>
    <x v="0"/>
    <s v="United States"/>
    <x v="292"/>
    <x v="0"/>
    <x v="0"/>
    <s v="FUR-FU-10003347"/>
    <s v="Furniture"/>
    <x v="3"/>
    <s v="Coloredge Poster Frame"/>
    <n v="42.6"/>
    <n v="3"/>
    <n v="0"/>
    <n v="16.614000000000001"/>
    <x v="4"/>
    <x v="4"/>
  </r>
  <r>
    <s v="CA-2016-117912"/>
    <x v="684"/>
    <d v="2016-02-08T00:00:00"/>
    <x v="1"/>
    <s v="TB-21520"/>
    <s v="Tracy Blumstein"/>
    <x v="0"/>
    <s v="United States"/>
    <x v="293"/>
    <x v="22"/>
    <x v="1"/>
    <s v="FUR-FU-10002088"/>
    <s v="Furniture"/>
    <x v="3"/>
    <s v="Nu-Dell Float Frame 11 x 14 1/2"/>
    <n v="14.368"/>
    <n v="2"/>
    <n v="0.2"/>
    <n v="3.9512"/>
    <x v="4"/>
    <x v="11"/>
  </r>
  <r>
    <s v="CA-2017-145702"/>
    <x v="405"/>
    <d v="2017-05-24T00:00:00"/>
    <x v="0"/>
    <s v="AH-10075"/>
    <s v="Adam Hart"/>
    <x v="1"/>
    <s v="United States"/>
    <x v="270"/>
    <x v="9"/>
    <x v="0"/>
    <s v="FUR-CH-10001482"/>
    <s v="Furniture"/>
    <x v="1"/>
    <s v="Office Star - Mesh Screen back chair with Vinyl seat"/>
    <n v="314.35199999999998"/>
    <n v="3"/>
    <n v="0.2"/>
    <n v="-35.364600000000003"/>
    <x v="2"/>
    <x v="7"/>
  </r>
  <r>
    <s v="CA-2015-113215"/>
    <x v="558"/>
    <d v="2015-09-08T00:00:00"/>
    <x v="1"/>
    <s v="CP-12085"/>
    <s v="Cathy Prescott"/>
    <x v="1"/>
    <s v="United States"/>
    <x v="104"/>
    <x v="22"/>
    <x v="1"/>
    <s v="FUR-FU-10002937"/>
    <s v="Furniture"/>
    <x v="3"/>
    <s v="GE 48&quot; Fluorescent Tube, Cool White Energy Saver, 34 Watts, 30/Box"/>
    <n v="238.15199999999999"/>
    <n v="3"/>
    <n v="0.2"/>
    <n v="89.307000000000002"/>
    <x v="2"/>
    <x v="4"/>
  </r>
  <r>
    <s v="CA-2016-154662"/>
    <x v="641"/>
    <d v="2016-06-16T00:00:00"/>
    <x v="1"/>
    <s v="BF-11215"/>
    <s v="Benjamin Farhat"/>
    <x v="2"/>
    <s v="United States"/>
    <x v="12"/>
    <x v="11"/>
    <x v="3"/>
    <s v="FUR-TA-10001771"/>
    <s v="Furniture"/>
    <x v="2"/>
    <s v="Bush Cubix Conference Tables, Fully Assembled"/>
    <n v="692.94"/>
    <n v="3"/>
    <n v="0"/>
    <n v="173.23500000000001"/>
    <x v="1"/>
    <x v="2"/>
  </r>
  <r>
    <s v="CA-2016-124016"/>
    <x v="348"/>
    <d v="2016-09-26T00:00:00"/>
    <x v="0"/>
    <s v="JS-15940"/>
    <s v="Joni Sundaresam"/>
    <x v="2"/>
    <s v="United States"/>
    <x v="68"/>
    <x v="15"/>
    <x v="2"/>
    <s v="FUR-FU-10004963"/>
    <s v="Furniture"/>
    <x v="3"/>
    <s v="Eldon 400 Class Desk Accessories, Black Carbon"/>
    <n v="28"/>
    <n v="4"/>
    <n v="0.2"/>
    <n v="7.7"/>
    <x v="0"/>
    <x v="4"/>
  </r>
  <r>
    <s v="CA-2017-166695"/>
    <x v="685"/>
    <d v="2017-05-24T00:00:00"/>
    <x v="1"/>
    <s v="CC-12430"/>
    <s v="Chuck Clark"/>
    <x v="2"/>
    <s v="United States"/>
    <x v="174"/>
    <x v="2"/>
    <x v="1"/>
    <s v="FUR-CH-10000225"/>
    <s v="Furniture"/>
    <x v="1"/>
    <s v="Global Geo Office Task Chair, Gray"/>
    <n v="518.27200000000005"/>
    <n v="8"/>
    <n v="0.2"/>
    <n v="-97.176000000000002"/>
    <x v="4"/>
    <x v="7"/>
  </r>
  <r>
    <s v="CA-2017-166695"/>
    <x v="685"/>
    <d v="2017-05-24T00:00:00"/>
    <x v="1"/>
    <s v="CC-12430"/>
    <s v="Chuck Clark"/>
    <x v="2"/>
    <s v="United States"/>
    <x v="174"/>
    <x v="2"/>
    <x v="1"/>
    <s v="FUR-FU-10002191"/>
    <s v="Furniture"/>
    <x v="3"/>
    <s v="G.E. Halogen Desk Lamp Bulbs"/>
    <n v="6.98"/>
    <n v="1"/>
    <n v="0"/>
    <n v="3.3504"/>
    <x v="4"/>
    <x v="7"/>
  </r>
  <r>
    <s v="CA-2016-151561"/>
    <x v="686"/>
    <d v="2016-09-07T00:00:00"/>
    <x v="1"/>
    <s v="PG-18820"/>
    <s v="Patrick Gardner"/>
    <x v="0"/>
    <s v="United States"/>
    <x v="13"/>
    <x v="7"/>
    <x v="2"/>
    <s v="FUR-FU-10004864"/>
    <s v="Furniture"/>
    <x v="3"/>
    <s v="Howard Miller 14-1/2&quot; Diameter Chrome Round Wall Clock"/>
    <n v="191.82"/>
    <n v="3"/>
    <n v="0"/>
    <n v="61.382399999999997"/>
    <x v="6"/>
    <x v="4"/>
  </r>
  <r>
    <s v="US-2014-165589"/>
    <x v="687"/>
    <d v="2014-02-18T00:00:00"/>
    <x v="3"/>
    <s v="TB-21595"/>
    <s v="Troy Blackwell"/>
    <x v="0"/>
    <s v="United States"/>
    <x v="294"/>
    <x v="5"/>
    <x v="3"/>
    <s v="FUR-FU-10002396"/>
    <s v="Furniture"/>
    <x v="3"/>
    <s v="DAX Copper Panel Document Frame, 5 x 7 Size"/>
    <n v="25.16"/>
    <n v="5"/>
    <n v="0.6"/>
    <n v="-11.321999999999999"/>
    <x v="7"/>
    <x v="11"/>
  </r>
  <r>
    <s v="CA-2015-114048"/>
    <x v="646"/>
    <d v="2015-12-18T00:00:00"/>
    <x v="1"/>
    <s v="EH-13945"/>
    <s v="Eric Hoffmann"/>
    <x v="0"/>
    <s v="United States"/>
    <x v="46"/>
    <x v="2"/>
    <x v="1"/>
    <s v="FUR-FU-10004351"/>
    <s v="Furniture"/>
    <x v="3"/>
    <s v="Staple-based wall hangings"/>
    <n v="29.22"/>
    <n v="3"/>
    <n v="0"/>
    <n v="12.8568"/>
    <x v="4"/>
    <x v="5"/>
  </r>
  <r>
    <s v="CA-2017-100111"/>
    <x v="688"/>
    <d v="2017-09-26T00:00:00"/>
    <x v="1"/>
    <s v="SV-20365"/>
    <s v="Seth Vernon"/>
    <x v="0"/>
    <s v="United States"/>
    <x v="13"/>
    <x v="7"/>
    <x v="2"/>
    <s v="FUR-CH-10003846"/>
    <s v="Furniture"/>
    <x v="1"/>
    <s v="Hon Valutask Swivel Chairs"/>
    <n v="272.64600000000002"/>
    <n v="3"/>
    <n v="0.1"/>
    <n v="18.176400000000001"/>
    <x v="6"/>
    <x v="4"/>
  </r>
  <r>
    <s v="CA-2017-100111"/>
    <x v="688"/>
    <d v="2017-09-26T00:00:00"/>
    <x v="1"/>
    <s v="SV-20365"/>
    <s v="Seth Vernon"/>
    <x v="0"/>
    <s v="United States"/>
    <x v="13"/>
    <x v="7"/>
    <x v="2"/>
    <s v="FUR-CH-10003061"/>
    <s v="Furniture"/>
    <x v="1"/>
    <s v="Global Leather Task Chair, Black"/>
    <n v="80.991"/>
    <n v="1"/>
    <n v="0.1"/>
    <n v="8.0991"/>
    <x v="6"/>
    <x v="4"/>
  </r>
  <r>
    <s v="CA-2017-100111"/>
    <x v="688"/>
    <d v="2017-09-26T00:00:00"/>
    <x v="1"/>
    <s v="SV-20365"/>
    <s v="Seth Vernon"/>
    <x v="0"/>
    <s v="United States"/>
    <x v="13"/>
    <x v="7"/>
    <x v="2"/>
    <s v="FUR-CH-10004086"/>
    <s v="Furniture"/>
    <x v="1"/>
    <s v="Hon 4070 Series Pagoda Armless Upholstered Stacking Chairs"/>
    <n v="2888.127"/>
    <n v="11"/>
    <n v="0.1"/>
    <n v="609.71569999999997"/>
    <x v="6"/>
    <x v="4"/>
  </r>
  <r>
    <s v="CA-2017-100111"/>
    <x v="688"/>
    <d v="2017-09-26T00:00:00"/>
    <x v="1"/>
    <s v="SV-20365"/>
    <s v="Seth Vernon"/>
    <x v="0"/>
    <s v="United States"/>
    <x v="13"/>
    <x v="7"/>
    <x v="2"/>
    <s v="FUR-CH-10001215"/>
    <s v="Furniture"/>
    <x v="1"/>
    <s v="Global Troy Executive Leather Low-Back Tilter"/>
    <n v="2254.41"/>
    <n v="5"/>
    <n v="0.1"/>
    <n v="375.73500000000001"/>
    <x v="6"/>
    <x v="4"/>
  </r>
  <r>
    <s v="US-2017-132381"/>
    <x v="621"/>
    <d v="2017-08-24T00:00:00"/>
    <x v="2"/>
    <s v="Dp-13240"/>
    <s v="Dean percer"/>
    <x v="2"/>
    <s v="United States"/>
    <x v="3"/>
    <x v="3"/>
    <x v="2"/>
    <s v="FUR-TA-10002356"/>
    <s v="Furniture"/>
    <x v="2"/>
    <s v="Bevis Boat-Shaped Conference Table"/>
    <n v="314.53199999999998"/>
    <n v="2"/>
    <n v="0.4"/>
    <n v="-83.875200000000007"/>
    <x v="3"/>
    <x v="10"/>
  </r>
  <r>
    <s v="CA-2016-124590"/>
    <x v="689"/>
    <d v="2016-11-16T00:00:00"/>
    <x v="1"/>
    <s v="SP-20920"/>
    <s v="Susan Pistek"/>
    <x v="0"/>
    <s v="United States"/>
    <x v="255"/>
    <x v="15"/>
    <x v="2"/>
    <s v="FUR-CH-10004495"/>
    <s v="Furniture"/>
    <x v="1"/>
    <s v="Global Leather and Oak Executive Chair, Black"/>
    <n v="1474.8019999999999"/>
    <n v="7"/>
    <n v="0.3"/>
    <n v="-21.0686"/>
    <x v="4"/>
    <x v="0"/>
  </r>
  <r>
    <s v="CA-2016-124590"/>
    <x v="689"/>
    <d v="2016-11-16T00:00:00"/>
    <x v="1"/>
    <s v="SP-20920"/>
    <s v="Susan Pistek"/>
    <x v="0"/>
    <s v="United States"/>
    <x v="255"/>
    <x v="15"/>
    <x v="2"/>
    <s v="FUR-CH-10000454"/>
    <s v="Furniture"/>
    <x v="1"/>
    <s v="Hon Deluxe Fabric Upholstered Stacking Chairs, Rounded Back"/>
    <n v="1537.0740000000001"/>
    <n v="9"/>
    <n v="0.3"/>
    <n v="0"/>
    <x v="4"/>
    <x v="0"/>
  </r>
  <r>
    <s v="CA-2016-124590"/>
    <x v="689"/>
    <d v="2016-11-16T00:00:00"/>
    <x v="1"/>
    <s v="SP-20920"/>
    <s v="Susan Pistek"/>
    <x v="0"/>
    <s v="United States"/>
    <x v="255"/>
    <x v="15"/>
    <x v="2"/>
    <s v="FUR-CH-10003746"/>
    <s v="Furniture"/>
    <x v="1"/>
    <s v="Hon 4070 Series Pagoda Round Back Stacking Chairs"/>
    <n v="449.37200000000001"/>
    <n v="2"/>
    <n v="0.3"/>
    <n v="-12.8392"/>
    <x v="4"/>
    <x v="0"/>
  </r>
  <r>
    <s v="CA-2017-143378"/>
    <x v="690"/>
    <d v="2017-09-25T00:00:00"/>
    <x v="1"/>
    <s v="JR-16210"/>
    <s v="Justin Ritter"/>
    <x v="1"/>
    <s v="United States"/>
    <x v="76"/>
    <x v="36"/>
    <x v="1"/>
    <s v="FUR-FU-10004864"/>
    <s v="Furniture"/>
    <x v="3"/>
    <s v="Howard Miller 14-1/2&quot; Diameter Chrome Round Wall Clock"/>
    <n v="409.21600000000001"/>
    <n v="8"/>
    <n v="0.2"/>
    <n v="61.382399999999997"/>
    <x v="6"/>
    <x v="4"/>
  </r>
  <r>
    <s v="CA-2017-143378"/>
    <x v="690"/>
    <d v="2017-09-25T00:00:00"/>
    <x v="1"/>
    <s v="JR-16210"/>
    <s v="Justin Ritter"/>
    <x v="1"/>
    <s v="United States"/>
    <x v="76"/>
    <x v="36"/>
    <x v="1"/>
    <s v="FUR-BO-10001972"/>
    <s v="Furniture"/>
    <x v="0"/>
    <s v="O'Sullivan 4-Shelf Bookcase in Odessa Pine"/>
    <n v="72.587999999999994"/>
    <n v="2"/>
    <n v="0.7"/>
    <n v="-128.2388"/>
    <x v="6"/>
    <x v="4"/>
  </r>
  <r>
    <s v="CA-2016-124100"/>
    <x v="691"/>
    <d v="2016-04-06T00:00:00"/>
    <x v="1"/>
    <s v="EH-13990"/>
    <s v="Erica Hackney"/>
    <x v="0"/>
    <s v="United States"/>
    <x v="13"/>
    <x v="7"/>
    <x v="2"/>
    <s v="FUR-CH-10003817"/>
    <s v="Furniture"/>
    <x v="1"/>
    <s v="Global Value Steno Chair, Gray"/>
    <n v="327.99599999999998"/>
    <n v="6"/>
    <n v="0.1"/>
    <n v="54.665999999999997"/>
    <x v="6"/>
    <x v="9"/>
  </r>
  <r>
    <s v="CA-2014-163447"/>
    <x v="421"/>
    <d v="2014-12-31T00:00:00"/>
    <x v="1"/>
    <s v="TB-21190"/>
    <s v="Thomas Brumley"/>
    <x v="2"/>
    <s v="United States"/>
    <x v="13"/>
    <x v="7"/>
    <x v="2"/>
    <s v="FUR-CH-10004477"/>
    <s v="Furniture"/>
    <x v="1"/>
    <s v="Global Push Button Manager's Chair, Indigo"/>
    <n v="767.21400000000006"/>
    <n v="14"/>
    <n v="0.1"/>
    <n v="161.9674"/>
    <x v="4"/>
    <x v="5"/>
  </r>
  <r>
    <s v="CA-2016-148096"/>
    <x v="692"/>
    <d v="2016-08-19T00:00:00"/>
    <x v="2"/>
    <s v="AO-10810"/>
    <s v="Anthony O'Donnell"/>
    <x v="1"/>
    <s v="United States"/>
    <x v="2"/>
    <x v="2"/>
    <x v="1"/>
    <s v="FUR-TA-10004152"/>
    <s v="Furniture"/>
    <x v="2"/>
    <s v="Barricks 18&quot; x 48&quot; Non-Folding Utility Table with Bottom Storage Shelf"/>
    <n v="161.28"/>
    <n v="2"/>
    <n v="0.2"/>
    <n v="12.096"/>
    <x v="0"/>
    <x v="10"/>
  </r>
  <r>
    <s v="CA-2014-131247"/>
    <x v="693"/>
    <d v="2014-04-04T00:00:00"/>
    <x v="1"/>
    <s v="GA-14725"/>
    <s v="Guy Armstrong"/>
    <x v="0"/>
    <s v="United States"/>
    <x v="28"/>
    <x v="2"/>
    <x v="1"/>
    <s v="FUR-BO-10001337"/>
    <s v="Furniture"/>
    <x v="0"/>
    <s v="O'Sullivan Living Dimensions 2-Shelf Bookcases"/>
    <n v="205.666"/>
    <n v="2"/>
    <n v="0.15"/>
    <n v="-12.098000000000001"/>
    <x v="2"/>
    <x v="9"/>
  </r>
  <r>
    <s v="CA-2017-101322"/>
    <x v="158"/>
    <d v="2017-12-31T00:00:00"/>
    <x v="2"/>
    <s v="JG-15310"/>
    <s v="Jason Gross"/>
    <x v="1"/>
    <s v="United States"/>
    <x v="62"/>
    <x v="2"/>
    <x v="1"/>
    <s v="FUR-CH-10003968"/>
    <s v="Furniture"/>
    <x v="1"/>
    <s v="Novimex Turbo Task Chair"/>
    <n v="340.70400000000001"/>
    <n v="6"/>
    <n v="0.2"/>
    <n v="-34.070399999999999"/>
    <x v="0"/>
    <x v="5"/>
  </r>
  <r>
    <s v="US-2016-106600"/>
    <x v="57"/>
    <d v="2016-04-11T00:00:00"/>
    <x v="2"/>
    <s v="RM-19375"/>
    <s v="Raymond Messe"/>
    <x v="0"/>
    <s v="United States"/>
    <x v="29"/>
    <x v="24"/>
    <x v="0"/>
    <s v="FUR-BO-10001608"/>
    <s v="Furniture"/>
    <x v="0"/>
    <s v="Hon Metal Bookcases, Black"/>
    <n v="354.9"/>
    <n v="5"/>
    <n v="0"/>
    <n v="88.724999999999994"/>
    <x v="0"/>
    <x v="6"/>
  </r>
  <r>
    <s v="CA-2014-111871"/>
    <x v="385"/>
    <d v="2014-03-21T00:00:00"/>
    <x v="0"/>
    <s v="EK-13795"/>
    <s v="Eileen Kiefer"/>
    <x v="2"/>
    <s v="United States"/>
    <x v="28"/>
    <x v="2"/>
    <x v="1"/>
    <s v="FUR-BO-10004218"/>
    <s v="Furniture"/>
    <x v="0"/>
    <s v="Bush Heritage Pine Collection 5-Shelf Bookcase, Albany Pine Finish, *Special Order"/>
    <n v="1198.33"/>
    <n v="10"/>
    <n v="0.15"/>
    <n v="70.489999999999995"/>
    <x v="0"/>
    <x v="9"/>
  </r>
  <r>
    <s v="CA-2017-151484"/>
    <x v="333"/>
    <d v="2017-04-23T00:00:00"/>
    <x v="2"/>
    <s v="CV-12805"/>
    <s v="Cynthia Voltz"/>
    <x v="1"/>
    <s v="United States"/>
    <x v="3"/>
    <x v="3"/>
    <x v="2"/>
    <s v="FUR-FU-10001876"/>
    <s v="Furniture"/>
    <x v="3"/>
    <s v="Computer Room Manger, 14&quot;"/>
    <n v="51.968000000000004"/>
    <n v="2"/>
    <n v="0.2"/>
    <n v="10.393599999999999"/>
    <x v="0"/>
    <x v="6"/>
  </r>
  <r>
    <s v="CA-2017-151484"/>
    <x v="333"/>
    <d v="2017-04-23T00:00:00"/>
    <x v="2"/>
    <s v="CV-12805"/>
    <s v="Cynthia Voltz"/>
    <x v="1"/>
    <s v="United States"/>
    <x v="3"/>
    <x v="3"/>
    <x v="2"/>
    <s v="FUR-FU-10004671"/>
    <s v="Furniture"/>
    <x v="3"/>
    <s v="Executive Impressions 12&quot; Wall Clock"/>
    <n v="42.408000000000001"/>
    <n v="3"/>
    <n v="0.2"/>
    <n v="9.5418000000000003"/>
    <x v="0"/>
    <x v="6"/>
  </r>
  <r>
    <s v="CA-2014-103989"/>
    <x v="694"/>
    <d v="2014-03-21T00:00:00"/>
    <x v="2"/>
    <s v="MC-17605"/>
    <s v="Matt Connell"/>
    <x v="1"/>
    <s v="United States"/>
    <x v="49"/>
    <x v="1"/>
    <x v="0"/>
    <s v="FUR-FU-10003981"/>
    <s v="Furniture"/>
    <x v="3"/>
    <s v="Eldon Wave Desk Accessories"/>
    <n v="4.992"/>
    <n v="3"/>
    <n v="0.2"/>
    <n v="1.3728"/>
    <x v="3"/>
    <x v="9"/>
  </r>
  <r>
    <s v="CA-2014-103989"/>
    <x v="694"/>
    <d v="2014-03-21T00:00:00"/>
    <x v="2"/>
    <s v="MC-17605"/>
    <s v="Matt Connell"/>
    <x v="1"/>
    <s v="United States"/>
    <x v="49"/>
    <x v="1"/>
    <x v="0"/>
    <s v="FUR-FU-10002508"/>
    <s v="Furniture"/>
    <x v="3"/>
    <s v="Document Clip Frames"/>
    <n v="20.015999999999998"/>
    <n v="3"/>
    <n v="0.2"/>
    <n v="5.5044000000000004"/>
    <x v="3"/>
    <x v="9"/>
  </r>
  <r>
    <s v="CA-2015-158421"/>
    <x v="231"/>
    <d v="2015-09-26T00:00:00"/>
    <x v="1"/>
    <s v="GB-14575"/>
    <s v="Giulietta Baptist"/>
    <x v="0"/>
    <s v="United States"/>
    <x v="11"/>
    <x v="10"/>
    <x v="0"/>
    <s v="FUR-CH-10000309"/>
    <s v="Furniture"/>
    <x v="1"/>
    <s v="Global Comet Stacking Arm Chair"/>
    <n v="1690.04"/>
    <n v="4"/>
    <n v="0"/>
    <n v="422.51"/>
    <x v="2"/>
    <x v="4"/>
  </r>
  <r>
    <s v="CA-2016-143609"/>
    <x v="106"/>
    <d v="2016-12-13T00:00:00"/>
    <x v="2"/>
    <s v="DB-13270"/>
    <s v="Deborah Brumfield"/>
    <x v="2"/>
    <s v="United States"/>
    <x v="295"/>
    <x v="36"/>
    <x v="1"/>
    <s v="FUR-CH-10004218"/>
    <s v="Furniture"/>
    <x v="1"/>
    <s v="Global Fabric Manager's Chair, Dark Gray"/>
    <n v="403.92"/>
    <n v="5"/>
    <n v="0.2"/>
    <n v="25.245000000000001"/>
    <x v="3"/>
    <x v="5"/>
  </r>
  <r>
    <s v="CA-2016-157259"/>
    <x v="695"/>
    <d v="2016-12-28T00:00:00"/>
    <x v="1"/>
    <s v="JM-15535"/>
    <s v="Jessica Myrick"/>
    <x v="0"/>
    <s v="United States"/>
    <x v="13"/>
    <x v="7"/>
    <x v="2"/>
    <s v="FUR-FU-10003192"/>
    <s v="Furniture"/>
    <x v="3"/>
    <s v="Luxo Adjustable Task Clamp Lamp"/>
    <n v="799.56"/>
    <n v="9"/>
    <n v="0"/>
    <n v="207.88560000000001"/>
    <x v="4"/>
    <x v="5"/>
  </r>
  <r>
    <s v="CA-2016-118332"/>
    <x v="696"/>
    <d v="2016-12-23T00:00:00"/>
    <x v="1"/>
    <s v="PK-19075"/>
    <s v="Pete Kriz"/>
    <x v="0"/>
    <s v="United States"/>
    <x v="278"/>
    <x v="2"/>
    <x v="1"/>
    <s v="FUR-CH-10001708"/>
    <s v="Furniture"/>
    <x v="1"/>
    <s v="Office Star - Contemporary Swivel Chair with Padded Adjustable Arms and Flex Back"/>
    <n v="563.91999999999996"/>
    <n v="5"/>
    <n v="0.2"/>
    <n v="7.0490000000000004"/>
    <x v="1"/>
    <x v="5"/>
  </r>
  <r>
    <s v="CA-2017-145660"/>
    <x v="451"/>
    <d v="2017-12-03T00:00:00"/>
    <x v="2"/>
    <s v="MG-17650"/>
    <s v="Matthew Grinstein"/>
    <x v="2"/>
    <s v="United States"/>
    <x v="149"/>
    <x v="15"/>
    <x v="2"/>
    <s v="FUR-FU-10002885"/>
    <s v="Furniture"/>
    <x v="3"/>
    <s v="Magna Visual Magnetic Picture Hangers"/>
    <n v="7.7119999999999997"/>
    <n v="2"/>
    <n v="0.2"/>
    <n v="1.7352000000000001"/>
    <x v="3"/>
    <x v="5"/>
  </r>
  <r>
    <s v="CA-2016-133697"/>
    <x v="697"/>
    <d v="2016-10-24T00:00:00"/>
    <x v="0"/>
    <s v="CM-12445"/>
    <s v="Chuck Magee"/>
    <x v="0"/>
    <s v="United States"/>
    <x v="6"/>
    <x v="5"/>
    <x v="3"/>
    <s v="FUR-CH-10002372"/>
    <s v="Furniture"/>
    <x v="1"/>
    <s v="Office Star - Ergonomically Designed Knee Chair"/>
    <n v="56.686"/>
    <n v="1"/>
    <n v="0.3"/>
    <n v="-14.5764"/>
    <x v="4"/>
    <x v="1"/>
  </r>
  <r>
    <s v="CA-2017-119809"/>
    <x v="100"/>
    <d v="2017-08-25T00:00:00"/>
    <x v="1"/>
    <s v="YS-21880"/>
    <s v="Yana Sorensen"/>
    <x v="1"/>
    <s v="United States"/>
    <x v="15"/>
    <x v="13"/>
    <x v="1"/>
    <s v="FUR-FU-10001475"/>
    <s v="Furniture"/>
    <x v="3"/>
    <s v="Contract Clock, 14&quot;, Brown"/>
    <n v="65.94"/>
    <n v="3"/>
    <n v="0"/>
    <n v="22.419599999999999"/>
    <x v="1"/>
    <x v="10"/>
  </r>
  <r>
    <s v="CA-2015-161711"/>
    <x v="44"/>
    <d v="2015-12-03T00:00:00"/>
    <x v="1"/>
    <s v="MC-17425"/>
    <s v="Mark Cousins"/>
    <x v="1"/>
    <s v="United States"/>
    <x v="13"/>
    <x v="7"/>
    <x v="2"/>
    <s v="FUR-FU-10000087"/>
    <s v="Furniture"/>
    <x v="3"/>
    <s v="Executive Impressions 14&quot; Two-Color Numerals Wall Clock"/>
    <n v="68.16"/>
    <n v="3"/>
    <n v="0"/>
    <n v="27.945599999999999"/>
    <x v="2"/>
    <x v="0"/>
  </r>
  <r>
    <s v="CA-2017-140627"/>
    <x v="340"/>
    <d v="2017-12-27T00:00:00"/>
    <x v="1"/>
    <s v="DK-12985"/>
    <s v="Darren Koutras"/>
    <x v="0"/>
    <s v="United States"/>
    <x v="296"/>
    <x v="9"/>
    <x v="0"/>
    <s v="FUR-FU-10000087"/>
    <s v="Furniture"/>
    <x v="3"/>
    <s v="Executive Impressions 14&quot; Two-Color Numerals Wall Clock"/>
    <n v="72.703999999999994"/>
    <n v="4"/>
    <n v="0.2"/>
    <n v="19.084800000000001"/>
    <x v="4"/>
    <x v="5"/>
  </r>
  <r>
    <s v="CA-2015-133445"/>
    <x v="698"/>
    <d v="2015-10-09T00:00:00"/>
    <x v="1"/>
    <s v="JF-15490"/>
    <s v="Jeremy Farry"/>
    <x v="0"/>
    <s v="United States"/>
    <x v="295"/>
    <x v="36"/>
    <x v="1"/>
    <s v="FUR-BO-10003660"/>
    <s v="Furniture"/>
    <x v="0"/>
    <s v="Bush Cubix Collection Bookcases, Fully Assembled"/>
    <n v="66.293999999999997"/>
    <n v="1"/>
    <n v="0.7"/>
    <n v="-103.86060000000001"/>
    <x v="4"/>
    <x v="1"/>
  </r>
  <r>
    <s v="CA-2015-133445"/>
    <x v="698"/>
    <d v="2015-10-09T00:00:00"/>
    <x v="1"/>
    <s v="JF-15490"/>
    <s v="Jeremy Farry"/>
    <x v="0"/>
    <s v="United States"/>
    <x v="295"/>
    <x v="36"/>
    <x v="1"/>
    <s v="FUR-CH-10000422"/>
    <s v="Furniture"/>
    <x v="1"/>
    <s v="Global Highback Leather Tilter in Burgundy"/>
    <n v="291.16800000000001"/>
    <n v="4"/>
    <n v="0.2"/>
    <n v="-14.558400000000001"/>
    <x v="4"/>
    <x v="1"/>
  </r>
  <r>
    <s v="US-2017-142188"/>
    <x v="91"/>
    <d v="2017-09-11T00:00:00"/>
    <x v="3"/>
    <s v="JF-15415"/>
    <s v="Jennifer Ferguson"/>
    <x v="0"/>
    <s v="United States"/>
    <x v="15"/>
    <x v="13"/>
    <x v="1"/>
    <s v="FUR-CH-10003199"/>
    <s v="Furniture"/>
    <x v="1"/>
    <s v="Office Star - Contemporary Task Swivel Chair"/>
    <n v="177.56800000000001"/>
    <n v="2"/>
    <n v="0.2"/>
    <n v="8.8783999999999992"/>
    <x v="7"/>
    <x v="4"/>
  </r>
  <r>
    <s v="CA-2015-134075"/>
    <x v="132"/>
    <d v="2015-12-16T00:00:00"/>
    <x v="1"/>
    <s v="HA-14905"/>
    <s v="Helen Abelman"/>
    <x v="0"/>
    <s v="United States"/>
    <x v="124"/>
    <x v="2"/>
    <x v="1"/>
    <s v="FUR-FU-10004597"/>
    <s v="Furniture"/>
    <x v="3"/>
    <s v="Eldon Cleatmat Chair Mats for Medium Pile Carpets"/>
    <n v="166.5"/>
    <n v="3"/>
    <n v="0"/>
    <n v="21.645"/>
    <x v="4"/>
    <x v="5"/>
  </r>
  <r>
    <s v="CA-2017-141572"/>
    <x v="15"/>
    <d v="2017-05-31T00:00:00"/>
    <x v="0"/>
    <s v="LO-17170"/>
    <s v="Lori Olson"/>
    <x v="1"/>
    <s v="United States"/>
    <x v="41"/>
    <x v="28"/>
    <x v="2"/>
    <s v="FUR-FU-10001185"/>
    <s v="Furniture"/>
    <x v="3"/>
    <s v="Advantus Employee of the Month Certificate Frame, 11 x 13-1/2"/>
    <n v="247.44"/>
    <n v="8"/>
    <n v="0"/>
    <n v="101.4504"/>
    <x v="0"/>
    <x v="7"/>
  </r>
  <r>
    <s v="CA-2015-112305"/>
    <x v="141"/>
    <d v="2015-11-25T00:00:00"/>
    <x v="1"/>
    <s v="KB-16405"/>
    <s v="Katrina Bavinger"/>
    <x v="2"/>
    <s v="United States"/>
    <x v="15"/>
    <x v="13"/>
    <x v="1"/>
    <s v="FUR-FU-10002364"/>
    <s v="Furniture"/>
    <x v="3"/>
    <s v="Eldon Expressions Wood Desk Accessories, Oak"/>
    <n v="22.14"/>
    <n v="3"/>
    <n v="0"/>
    <n v="6.4206000000000003"/>
    <x v="2"/>
    <x v="0"/>
  </r>
  <r>
    <s v="CA-2017-121580"/>
    <x v="464"/>
    <d v="2017-06-04T00:00:00"/>
    <x v="1"/>
    <s v="ML-17410"/>
    <s v="Maris LaWare"/>
    <x v="0"/>
    <s v="United States"/>
    <x v="29"/>
    <x v="6"/>
    <x v="3"/>
    <s v="FUR-FU-10003981"/>
    <s v="Furniture"/>
    <x v="3"/>
    <s v="Eldon Wave Desk Accessories"/>
    <n v="6.24"/>
    <n v="3"/>
    <n v="0"/>
    <n v="2.6208"/>
    <x v="6"/>
    <x v="7"/>
  </r>
  <r>
    <s v="CA-2015-151624"/>
    <x v="699"/>
    <d v="2015-09-14T00:00:00"/>
    <x v="1"/>
    <s v="VW-21775"/>
    <s v="Victoria Wilson"/>
    <x v="1"/>
    <s v="United States"/>
    <x v="132"/>
    <x v="33"/>
    <x v="0"/>
    <s v="FUR-FU-10001731"/>
    <s v="Furniture"/>
    <x v="3"/>
    <s v="Acrylic Self-Standing Desk Frames"/>
    <n v="21.36"/>
    <n v="8"/>
    <n v="0"/>
    <n v="8.1167999999999996"/>
    <x v="6"/>
    <x v="4"/>
  </r>
  <r>
    <s v="CA-2017-102379"/>
    <x v="308"/>
    <d v="2017-12-06T00:00:00"/>
    <x v="1"/>
    <s v="BB-11545"/>
    <s v="Brenda Bowman"/>
    <x v="1"/>
    <s v="United States"/>
    <x v="121"/>
    <x v="2"/>
    <x v="1"/>
    <s v="FUR-CH-10004983"/>
    <s v="Furniture"/>
    <x v="1"/>
    <s v="Office Star - Mid Back Dual function Ergonomic High Back Chair with 2-Way Adjustable Arms"/>
    <n v="1159.056"/>
    <n v="9"/>
    <n v="0.2"/>
    <n v="43.464599999999997"/>
    <x v="4"/>
    <x v="5"/>
  </r>
  <r>
    <s v="US-2016-139087"/>
    <x v="700"/>
    <d v="2016-07-22T00:00:00"/>
    <x v="0"/>
    <s v="DK-13375"/>
    <s v="Dennis Kane"/>
    <x v="0"/>
    <s v="United States"/>
    <x v="15"/>
    <x v="13"/>
    <x v="1"/>
    <s v="FUR-FU-10001847"/>
    <s v="Furniture"/>
    <x v="3"/>
    <s v="Eldon Image Series Black Desk Accessories"/>
    <n v="12.42"/>
    <n v="3"/>
    <n v="0"/>
    <n v="4.4711999999999996"/>
    <x v="2"/>
    <x v="3"/>
  </r>
  <r>
    <s v="US-2016-139087"/>
    <x v="700"/>
    <d v="2016-07-22T00:00:00"/>
    <x v="0"/>
    <s v="DK-13375"/>
    <s v="Dennis Kane"/>
    <x v="0"/>
    <s v="United States"/>
    <x v="15"/>
    <x v="13"/>
    <x v="1"/>
    <s v="FUR-FU-10004164"/>
    <s v="Furniture"/>
    <x v="3"/>
    <s v="Eldon 300 Class Desk Accessories, Black"/>
    <n v="24.75"/>
    <n v="5"/>
    <n v="0"/>
    <n v="10.89"/>
    <x v="2"/>
    <x v="3"/>
  </r>
  <r>
    <s v="CA-2015-116484"/>
    <x v="141"/>
    <d v="2015-11-26T00:00:00"/>
    <x v="1"/>
    <s v="JK-15205"/>
    <s v="Jamie Kunitz"/>
    <x v="0"/>
    <s v="United States"/>
    <x v="149"/>
    <x v="15"/>
    <x v="2"/>
    <s v="FUR-FU-10002874"/>
    <s v="Furniture"/>
    <x v="3"/>
    <s v="Ultra Commercial Grade Dual Valve Door Closer"/>
    <n v="63.823999999999998"/>
    <n v="2"/>
    <n v="0.2"/>
    <n v="9.5736000000000008"/>
    <x v="6"/>
    <x v="0"/>
  </r>
  <r>
    <s v="CA-2016-100944"/>
    <x v="211"/>
    <d v="2016-09-28T00:00:00"/>
    <x v="1"/>
    <s v="EH-13765"/>
    <s v="Edward Hooks"/>
    <x v="1"/>
    <s v="United States"/>
    <x v="2"/>
    <x v="2"/>
    <x v="1"/>
    <s v="FUR-CH-10000988"/>
    <s v="Furniture"/>
    <x v="1"/>
    <s v="Hon Olson Stacker Stools"/>
    <n v="563.24"/>
    <n v="5"/>
    <n v="0.2"/>
    <n v="56.323999999999998"/>
    <x v="4"/>
    <x v="4"/>
  </r>
  <r>
    <s v="CA-2016-125080"/>
    <x v="59"/>
    <d v="2016-10-26T00:00:00"/>
    <x v="1"/>
    <s v="VW-21775"/>
    <s v="Victoria Wilson"/>
    <x v="1"/>
    <s v="United States"/>
    <x v="174"/>
    <x v="15"/>
    <x v="2"/>
    <s v="FUR-TA-10003238"/>
    <s v="Furniture"/>
    <x v="2"/>
    <s v="Chromcraft Bull-Nose Wood 48&quot; x 96&quot; Rectangular Conference Tables"/>
    <n v="661.17600000000004"/>
    <n v="2"/>
    <n v="0.4"/>
    <n v="-231.41159999999999"/>
    <x v="2"/>
    <x v="1"/>
  </r>
  <r>
    <s v="CA-2014-100090"/>
    <x v="591"/>
    <d v="2014-07-12T00:00:00"/>
    <x v="1"/>
    <s v="EB-13705"/>
    <s v="Ed Braxton"/>
    <x v="1"/>
    <s v="United States"/>
    <x v="28"/>
    <x v="2"/>
    <x v="1"/>
    <s v="FUR-TA-10003715"/>
    <s v="Furniture"/>
    <x v="2"/>
    <s v="Hon 2111 Invitation Series Corner Table"/>
    <n v="502.488"/>
    <n v="3"/>
    <n v="0.2"/>
    <n v="-87.935400000000001"/>
    <x v="4"/>
    <x v="3"/>
  </r>
  <r>
    <s v="US-2015-139675"/>
    <x v="310"/>
    <d v="2015-03-18T00:00:00"/>
    <x v="0"/>
    <s v="NF-18595"/>
    <s v="Nicole Fjeld"/>
    <x v="2"/>
    <s v="United States"/>
    <x v="297"/>
    <x v="2"/>
    <x v="1"/>
    <s v="FUR-CH-10004063"/>
    <s v="Furniture"/>
    <x v="1"/>
    <s v="Global Deluxe High-Back Manager's Chair"/>
    <n v="915.13599999999997"/>
    <n v="4"/>
    <n v="0.2"/>
    <n v="102.9528"/>
    <x v="2"/>
    <x v="9"/>
  </r>
  <r>
    <s v="US-2015-139675"/>
    <x v="310"/>
    <d v="2015-03-18T00:00:00"/>
    <x v="0"/>
    <s v="NF-18595"/>
    <s v="Nicole Fjeld"/>
    <x v="2"/>
    <s v="United States"/>
    <x v="297"/>
    <x v="2"/>
    <x v="1"/>
    <s v="FUR-FU-10001979"/>
    <s v="Furniture"/>
    <x v="3"/>
    <s v="Dana Halogen Swing-Arm Architect Lamp"/>
    <n v="327.76"/>
    <n v="8"/>
    <n v="0"/>
    <n v="91.772800000000004"/>
    <x v="2"/>
    <x v="9"/>
  </r>
  <r>
    <s v="CA-2017-143756"/>
    <x v="308"/>
    <d v="2017-12-05T00:00:00"/>
    <x v="2"/>
    <s v="ME-17725"/>
    <s v="Max Engle"/>
    <x v="0"/>
    <s v="United States"/>
    <x v="279"/>
    <x v="25"/>
    <x v="0"/>
    <s v="FUR-CH-10001854"/>
    <s v="Furniture"/>
    <x v="1"/>
    <s v="Office Star - Professional Matrix Back Chair with 2-to-1 Synchro Tilt and Mesh Fabric Seat"/>
    <n v="701.96"/>
    <n v="2"/>
    <n v="0"/>
    <n v="168.47040000000001"/>
    <x v="0"/>
    <x v="5"/>
  </r>
  <r>
    <s v="CA-2017-107314"/>
    <x v="147"/>
    <d v="2017-12-03T00:00:00"/>
    <x v="2"/>
    <s v="MZ-17335"/>
    <s v="Maria Zettner"/>
    <x v="2"/>
    <s v="United States"/>
    <x v="28"/>
    <x v="2"/>
    <x v="1"/>
    <s v="FUR-FU-10003489"/>
    <s v="Furniture"/>
    <x v="3"/>
    <s v="Contemporary Borderless Frame"/>
    <n v="25.83"/>
    <n v="3"/>
    <n v="0"/>
    <n v="9.5571000000000002"/>
    <x v="0"/>
    <x v="0"/>
  </r>
  <r>
    <s v="CA-2016-163328"/>
    <x v="114"/>
    <d v="2016-11-06T00:00:00"/>
    <x v="0"/>
    <s v="TP-21565"/>
    <s v="Tracy Poddar"/>
    <x v="1"/>
    <s v="United States"/>
    <x v="298"/>
    <x v="36"/>
    <x v="1"/>
    <s v="FUR-CH-10003298"/>
    <s v="Furniture"/>
    <x v="1"/>
    <s v="Office Star - Contemporary Task Swivel chair with Loop Arms, Charcoal"/>
    <n v="104.78400000000001"/>
    <n v="1"/>
    <n v="0.2"/>
    <n v="-14.4078"/>
    <x v="3"/>
    <x v="0"/>
  </r>
  <r>
    <s v="CA-2016-163328"/>
    <x v="114"/>
    <d v="2016-11-06T00:00:00"/>
    <x v="0"/>
    <s v="TP-21565"/>
    <s v="Tracy Poddar"/>
    <x v="1"/>
    <s v="United States"/>
    <x v="298"/>
    <x v="36"/>
    <x v="1"/>
    <s v="FUR-CH-10000229"/>
    <s v="Furniture"/>
    <x v="1"/>
    <s v="Global Enterprise Series Seating High-Back Swivel/Tilt Chairs"/>
    <n v="650.35199999999998"/>
    <n v="3"/>
    <n v="0.2"/>
    <n v="-97.552800000000005"/>
    <x v="3"/>
    <x v="0"/>
  </r>
  <r>
    <s v="CA-2014-112837"/>
    <x v="701"/>
    <d v="2014-09-16T00:00:00"/>
    <x v="1"/>
    <s v="LW-17125"/>
    <s v="Liz Willingham"/>
    <x v="0"/>
    <s v="United States"/>
    <x v="299"/>
    <x v="2"/>
    <x v="1"/>
    <s v="FUR-FU-10004006"/>
    <s v="Furniture"/>
    <x v="3"/>
    <s v="Deflect-o DuraMat Lighweight, Studded, Beveled Mat for Low Pile Carpeting"/>
    <n v="127.95"/>
    <n v="3"/>
    <n v="0"/>
    <n v="21.7515"/>
    <x v="2"/>
    <x v="4"/>
  </r>
  <r>
    <s v="CA-2014-167927"/>
    <x v="187"/>
    <d v="2014-01-26T00:00:00"/>
    <x v="1"/>
    <s v="XP-21865"/>
    <s v="Xylona Preis"/>
    <x v="0"/>
    <s v="United States"/>
    <x v="300"/>
    <x v="17"/>
    <x v="3"/>
    <s v="FUR-FU-10002918"/>
    <s v="Furniture"/>
    <x v="3"/>
    <s v="Eldon ClusterMat Chair Mat with Cordless Antistatic Protection"/>
    <n v="272.94"/>
    <n v="3"/>
    <n v="0"/>
    <n v="30.023399999999999"/>
    <x v="6"/>
    <x v="8"/>
  </r>
  <r>
    <s v="CA-2014-167927"/>
    <x v="187"/>
    <d v="2014-01-26T00:00:00"/>
    <x v="1"/>
    <s v="XP-21865"/>
    <s v="Xylona Preis"/>
    <x v="0"/>
    <s v="United States"/>
    <x v="300"/>
    <x v="17"/>
    <x v="3"/>
    <s v="FUR-FU-10002268"/>
    <s v="Furniture"/>
    <x v="3"/>
    <s v="Ultra Door Push Plate"/>
    <n v="14.73"/>
    <n v="3"/>
    <n v="0"/>
    <n v="4.8609"/>
    <x v="6"/>
    <x v="8"/>
  </r>
  <r>
    <s v="CA-2016-165995"/>
    <x v="55"/>
    <d v="2016-09-06T00:00:00"/>
    <x v="1"/>
    <s v="BG-11740"/>
    <s v="Bruce Geld"/>
    <x v="0"/>
    <s v="United States"/>
    <x v="2"/>
    <x v="2"/>
    <x v="1"/>
    <s v="FUR-FU-10000672"/>
    <s v="Furniture"/>
    <x v="3"/>
    <s v="Executive Impressions 10&quot; Spectator Wall Clock"/>
    <n v="47.04"/>
    <n v="4"/>
    <n v="0"/>
    <n v="15.993600000000001"/>
    <x v="1"/>
    <x v="10"/>
  </r>
  <r>
    <s v="CA-2017-143112"/>
    <x v="702"/>
    <d v="2017-10-09T00:00:00"/>
    <x v="1"/>
    <s v="TS-21370"/>
    <s v="Todd Sumrall"/>
    <x v="1"/>
    <s v="United States"/>
    <x v="13"/>
    <x v="7"/>
    <x v="2"/>
    <s v="FUR-CH-10002880"/>
    <s v="Furniture"/>
    <x v="1"/>
    <s v="Global High-Back Leather Tilter, Burgundy"/>
    <n v="221.38200000000001"/>
    <n v="2"/>
    <n v="0.1"/>
    <n v="2.4598"/>
    <x v="4"/>
    <x v="1"/>
  </r>
  <r>
    <s v="CA-2017-161557"/>
    <x v="667"/>
    <d v="2017-09-08T00:00:00"/>
    <x v="1"/>
    <s v="AG-10900"/>
    <s v="Arthur Gainer"/>
    <x v="0"/>
    <s v="United States"/>
    <x v="144"/>
    <x v="5"/>
    <x v="3"/>
    <s v="FUR-FU-10004622"/>
    <s v="Furniture"/>
    <x v="3"/>
    <s v="Eldon Advantage Foldable Chair Mats for Low Pile Carpets"/>
    <n v="108.4"/>
    <n v="5"/>
    <n v="0.6"/>
    <n v="-105.69"/>
    <x v="2"/>
    <x v="4"/>
  </r>
  <r>
    <s v="CA-2016-103919"/>
    <x v="162"/>
    <d v="2016-10-07T00:00:00"/>
    <x v="1"/>
    <s v="TP-21565"/>
    <s v="Tracy Poddar"/>
    <x v="1"/>
    <s v="United States"/>
    <x v="141"/>
    <x v="5"/>
    <x v="3"/>
    <s v="FUR-FU-10001756"/>
    <s v="Furniture"/>
    <x v="3"/>
    <s v="Eldon Expressions Desk Accessory, Wood Photo Frame, Mahogany"/>
    <n v="38.08"/>
    <n v="5"/>
    <n v="0.6"/>
    <n v="-29.512"/>
    <x v="4"/>
    <x v="1"/>
  </r>
  <r>
    <s v="CA-2016-113425"/>
    <x v="431"/>
    <d v="2016-11-21T00:00:00"/>
    <x v="3"/>
    <s v="JK-16120"/>
    <s v="Julie Kriz"/>
    <x v="2"/>
    <s v="United States"/>
    <x v="13"/>
    <x v="7"/>
    <x v="2"/>
    <s v="FUR-BO-10002598"/>
    <s v="Furniture"/>
    <x v="0"/>
    <s v="Hon Metal Bookcases, Putty"/>
    <n v="113.568"/>
    <n v="2"/>
    <n v="0.2"/>
    <n v="12.776400000000001"/>
    <x v="7"/>
    <x v="0"/>
  </r>
  <r>
    <s v="CA-2017-143035"/>
    <x v="433"/>
    <d v="2017-10-05T00:00:00"/>
    <x v="0"/>
    <s v="CC-12430"/>
    <s v="Chuck Clark"/>
    <x v="2"/>
    <s v="United States"/>
    <x v="13"/>
    <x v="7"/>
    <x v="2"/>
    <s v="FUR-FU-10001934"/>
    <s v="Furniture"/>
    <x v="3"/>
    <s v="Magnifier Swing Arm Lamp"/>
    <n v="83.92"/>
    <n v="4"/>
    <n v="0"/>
    <n v="21.819199999999999"/>
    <x v="3"/>
    <x v="1"/>
  </r>
  <r>
    <s v="CA-2014-107811"/>
    <x v="149"/>
    <d v="2014-05-03T00:00:00"/>
    <x v="1"/>
    <s v="LA-16780"/>
    <s v="Laura Armstrong"/>
    <x v="1"/>
    <s v="United States"/>
    <x v="10"/>
    <x v="9"/>
    <x v="0"/>
    <s v="FUR-CH-10001394"/>
    <s v="Furniture"/>
    <x v="1"/>
    <s v="Global Leather Executive Chair"/>
    <n v="561.58399999999995"/>
    <n v="2"/>
    <n v="0.2"/>
    <n v="70.197999999999993"/>
    <x v="4"/>
    <x v="6"/>
  </r>
  <r>
    <s v="US-2016-116442"/>
    <x v="120"/>
    <d v="2016-12-22T00:00:00"/>
    <x v="1"/>
    <s v="BP-11230"/>
    <s v="Benjamin Patterson"/>
    <x v="0"/>
    <s v="United States"/>
    <x v="2"/>
    <x v="2"/>
    <x v="1"/>
    <s v="FUR-FU-10002364"/>
    <s v="Furniture"/>
    <x v="3"/>
    <s v="Eldon Expressions Wood Desk Accessories, Oak"/>
    <n v="14.76"/>
    <n v="2"/>
    <n v="0"/>
    <n v="4.2804000000000002"/>
    <x v="1"/>
    <x v="5"/>
  </r>
  <r>
    <s v="CA-2016-127236"/>
    <x v="477"/>
    <d v="2016-04-02T00:00:00"/>
    <x v="1"/>
    <s v="TB-21595"/>
    <s v="Troy Blackwell"/>
    <x v="0"/>
    <s v="United States"/>
    <x v="76"/>
    <x v="15"/>
    <x v="2"/>
    <s v="FUR-BO-10004015"/>
    <s v="Furniture"/>
    <x v="0"/>
    <s v="Bush Andora Bookcase, Maple/Graphite Gray Finish"/>
    <n v="299.97500000000002"/>
    <n v="5"/>
    <n v="0.5"/>
    <n v="-167.98599999999999"/>
    <x v="4"/>
    <x v="9"/>
  </r>
  <r>
    <s v="CA-2016-129126"/>
    <x v="469"/>
    <d v="2016-12-19T00:00:00"/>
    <x v="1"/>
    <s v="PK-19075"/>
    <s v="Pete Kriz"/>
    <x v="0"/>
    <s v="United States"/>
    <x v="13"/>
    <x v="7"/>
    <x v="2"/>
    <s v="FUR-FU-10002937"/>
    <s v="Furniture"/>
    <x v="3"/>
    <s v="GE 48&quot; Fluorescent Tube, Cool White Energy Saver, 34 Watts, 30/Box"/>
    <n v="396.92"/>
    <n v="4"/>
    <n v="0"/>
    <n v="198.46"/>
    <x v="2"/>
    <x v="5"/>
  </r>
  <r>
    <s v="CA-2017-125472"/>
    <x v="703"/>
    <d v="2017-05-31T00:00:00"/>
    <x v="2"/>
    <s v="BD-11725"/>
    <s v="Bruce Degenhardt"/>
    <x v="0"/>
    <s v="United States"/>
    <x v="120"/>
    <x v="35"/>
    <x v="0"/>
    <s v="FUR-BO-10000330"/>
    <s v="Furniture"/>
    <x v="0"/>
    <s v="Sauder Camden County Barrister Bookcase, Planked Cherry Finish"/>
    <n v="241.96"/>
    <n v="2"/>
    <n v="0"/>
    <n v="33.874400000000001"/>
    <x v="5"/>
    <x v="7"/>
  </r>
  <r>
    <s v="CA-2017-125472"/>
    <x v="703"/>
    <d v="2017-05-31T00:00:00"/>
    <x v="2"/>
    <s v="BD-11725"/>
    <s v="Bruce Degenhardt"/>
    <x v="0"/>
    <s v="United States"/>
    <x v="120"/>
    <x v="35"/>
    <x v="0"/>
    <s v="FUR-FU-10001731"/>
    <s v="Furniture"/>
    <x v="3"/>
    <s v="Acrylic Self-Standing Desk Frames"/>
    <n v="8.01"/>
    <n v="3"/>
    <n v="0"/>
    <n v="3.0438000000000001"/>
    <x v="5"/>
    <x v="7"/>
  </r>
  <r>
    <s v="CA-2017-154074"/>
    <x v="704"/>
    <d v="2017-09-02T00:00:00"/>
    <x v="0"/>
    <s v="BW-11110"/>
    <s v="Bart Watters"/>
    <x v="1"/>
    <s v="United States"/>
    <x v="129"/>
    <x v="13"/>
    <x v="1"/>
    <s v="FUR-CH-10002331"/>
    <s v="Furniture"/>
    <x v="1"/>
    <s v="Hon 4700 Series Mobuis Mid-Back Task Chairs with Adjustable Arms"/>
    <n v="569.56799999999998"/>
    <n v="2"/>
    <n v="0.2"/>
    <n v="7.1196000000000002"/>
    <x v="3"/>
    <x v="10"/>
  </r>
  <r>
    <s v="CA-2017-161774"/>
    <x v="138"/>
    <d v="2017-05-15T00:00:00"/>
    <x v="2"/>
    <s v="GT-14710"/>
    <s v="Greg Tran"/>
    <x v="0"/>
    <s v="United States"/>
    <x v="6"/>
    <x v="5"/>
    <x v="3"/>
    <s v="FUR-CH-10003981"/>
    <s v="Furniture"/>
    <x v="1"/>
    <s v="Global Commerce Series Low-Back Swivel/Tilt Chairs"/>
    <n v="899.43"/>
    <n v="5"/>
    <n v="0.3"/>
    <n v="-12.849"/>
    <x v="5"/>
    <x v="7"/>
  </r>
  <r>
    <s v="CA-2016-140130"/>
    <x v="359"/>
    <d v="2016-11-05T00:00:00"/>
    <x v="1"/>
    <s v="HW-14935"/>
    <s v="Helen Wasserman"/>
    <x v="1"/>
    <s v="United States"/>
    <x v="169"/>
    <x v="37"/>
    <x v="3"/>
    <s v="FUR-CH-10002084"/>
    <s v="Furniture"/>
    <x v="1"/>
    <s v="Hon Mobius Operator's Chair"/>
    <n v="368.97"/>
    <n v="3"/>
    <n v="0"/>
    <n v="81.173400000000001"/>
    <x v="2"/>
    <x v="1"/>
  </r>
  <r>
    <s v="CA-2015-149650"/>
    <x v="634"/>
    <d v="2015-10-27T00:00:00"/>
    <x v="2"/>
    <s v="RD-19660"/>
    <s v="Robert Dilbeck"/>
    <x v="2"/>
    <s v="United States"/>
    <x v="121"/>
    <x v="2"/>
    <x v="1"/>
    <s v="FUR-CH-10003956"/>
    <s v="Furniture"/>
    <x v="1"/>
    <s v="Novimex High-Tech Fabric Mesh Task Chair"/>
    <n v="454.27199999999999"/>
    <n v="8"/>
    <n v="0.2"/>
    <n v="-73.819199999999995"/>
    <x v="0"/>
    <x v="1"/>
  </r>
  <r>
    <s v="CA-2014-165764"/>
    <x v="705"/>
    <d v="2014-11-07T00:00:00"/>
    <x v="1"/>
    <s v="SH-20395"/>
    <s v="Shahid Hopkins"/>
    <x v="0"/>
    <s v="United States"/>
    <x v="51"/>
    <x v="30"/>
    <x v="0"/>
    <s v="FUR-TA-10001768"/>
    <s v="Furniture"/>
    <x v="2"/>
    <s v="Hon Racetrack Conference Tables"/>
    <n v="945.03599999999994"/>
    <n v="6"/>
    <n v="0.4"/>
    <n v="-299.26139999999998"/>
    <x v="4"/>
    <x v="0"/>
  </r>
  <r>
    <s v="CA-2014-165764"/>
    <x v="705"/>
    <d v="2014-11-07T00:00:00"/>
    <x v="1"/>
    <s v="SH-20395"/>
    <s v="Shahid Hopkins"/>
    <x v="0"/>
    <s v="United States"/>
    <x v="51"/>
    <x v="30"/>
    <x v="0"/>
    <s v="FUR-FU-10001468"/>
    <s v="Furniture"/>
    <x v="3"/>
    <s v="Tenex Antistatic Computer Chair Mats"/>
    <n v="410.35199999999998"/>
    <n v="3"/>
    <n v="0.2"/>
    <n v="-51.293999999999997"/>
    <x v="4"/>
    <x v="0"/>
  </r>
  <r>
    <s v="US-2017-116897"/>
    <x v="706"/>
    <d v="2017-05-29T00:00:00"/>
    <x v="2"/>
    <s v="JG-15160"/>
    <s v="James Galang"/>
    <x v="0"/>
    <s v="United States"/>
    <x v="280"/>
    <x v="42"/>
    <x v="1"/>
    <s v="FUR-FU-10004963"/>
    <s v="Furniture"/>
    <x v="3"/>
    <s v="Eldon 400 Class Desk Accessories, Black Carbon"/>
    <n v="35"/>
    <n v="4"/>
    <n v="0"/>
    <n v="14.7"/>
    <x v="3"/>
    <x v="7"/>
  </r>
  <r>
    <s v="US-2017-113992"/>
    <x v="417"/>
    <d v="2017-12-19T00:00:00"/>
    <x v="1"/>
    <s v="LC-16885"/>
    <s v="Lena Creighton"/>
    <x v="0"/>
    <s v="United States"/>
    <x v="215"/>
    <x v="5"/>
    <x v="3"/>
    <s v="FUR-TA-10000577"/>
    <s v="Furniture"/>
    <x v="2"/>
    <s v="Bretford CR4500 Series Slim Rectangular Table"/>
    <n v="974.98800000000006"/>
    <n v="4"/>
    <n v="0.3"/>
    <n v="-97.498800000000003"/>
    <x v="2"/>
    <x v="5"/>
  </r>
  <r>
    <s v="CA-2014-166891"/>
    <x v="707"/>
    <d v="2014-10-06T00:00:00"/>
    <x v="2"/>
    <s v="CC-12220"/>
    <s v="Chris Cortes"/>
    <x v="0"/>
    <s v="United States"/>
    <x v="13"/>
    <x v="7"/>
    <x v="2"/>
    <s v="FUR-CH-10003298"/>
    <s v="Furniture"/>
    <x v="1"/>
    <s v="Office Star - Contemporary Task Swivel chair with Loop Arms, Charcoal"/>
    <n v="589.41"/>
    <n v="5"/>
    <n v="0.1"/>
    <n v="-6.5490000000000004"/>
    <x v="3"/>
    <x v="1"/>
  </r>
  <r>
    <s v="CA-2016-101161"/>
    <x v="25"/>
    <d v="2016-10-20T00:00:00"/>
    <x v="1"/>
    <s v="BW-11110"/>
    <s v="Bart Watters"/>
    <x v="1"/>
    <s v="United States"/>
    <x v="13"/>
    <x v="7"/>
    <x v="2"/>
    <s v="FUR-FU-10003535"/>
    <s v="Furniture"/>
    <x v="3"/>
    <s v="Howard Miller Distant Time Traveler Alarm Clock"/>
    <n v="82.26"/>
    <n v="3"/>
    <n v="0"/>
    <n v="33.726599999999998"/>
    <x v="1"/>
    <x v="1"/>
  </r>
  <r>
    <s v="US-2017-119816"/>
    <x v="708"/>
    <d v="2017-03-06T00:00:00"/>
    <x v="0"/>
    <s v="TT-21460"/>
    <s v="Tonja Turnell"/>
    <x v="2"/>
    <s v="United States"/>
    <x v="6"/>
    <x v="5"/>
    <x v="3"/>
    <s v="FUR-FU-10004848"/>
    <s v="Furniture"/>
    <x v="3"/>
    <s v="Howard Miller 13-3/4&quot; Diameter Brushed Chrome Round Wall Clock"/>
    <n v="103.5"/>
    <n v="5"/>
    <n v="0.6"/>
    <n v="-77.625"/>
    <x v="3"/>
    <x v="9"/>
  </r>
  <r>
    <s v="CA-2017-161102"/>
    <x v="709"/>
    <d v="2017-08-03T00:00:00"/>
    <x v="2"/>
    <s v="EC-14050"/>
    <s v="Erin Creighton"/>
    <x v="0"/>
    <s v="United States"/>
    <x v="28"/>
    <x v="2"/>
    <x v="1"/>
    <s v="FUR-FU-10003142"/>
    <s v="Furniture"/>
    <x v="3"/>
    <s v="Master Big Foot Doorstop, Beige"/>
    <n v="36.96"/>
    <n v="7"/>
    <n v="0"/>
    <n v="11.457599999999999"/>
    <x v="0"/>
    <x v="3"/>
  </r>
  <r>
    <s v="US-2017-133361"/>
    <x v="138"/>
    <d v="2017-05-17T00:00:00"/>
    <x v="2"/>
    <s v="AJ-10780"/>
    <s v="Anthony Jacobs"/>
    <x v="1"/>
    <s v="United States"/>
    <x v="237"/>
    <x v="32"/>
    <x v="2"/>
    <s v="FUR-CH-10003298"/>
    <s v="Furniture"/>
    <x v="1"/>
    <s v="Office Star - Contemporary Task Swivel chair with Loop Arms, Charcoal"/>
    <n v="261.95999999999998"/>
    <n v="2"/>
    <n v="0"/>
    <n v="23.5764"/>
    <x v="0"/>
    <x v="7"/>
  </r>
  <r>
    <s v="US-2016-155404"/>
    <x v="710"/>
    <d v="2016-09-28T00:00:00"/>
    <x v="1"/>
    <s v="AS-10630"/>
    <s v="Ann Steele"/>
    <x v="2"/>
    <s v="United States"/>
    <x v="74"/>
    <x v="0"/>
    <x v="0"/>
    <s v="FUR-FU-10004586"/>
    <s v="Furniture"/>
    <x v="3"/>
    <s v="G.E. Longer-Life Indoor Recessed Floodlight Bulbs"/>
    <n v="13.28"/>
    <n v="2"/>
    <n v="0"/>
    <n v="6.3743999999999996"/>
    <x v="6"/>
    <x v="4"/>
  </r>
  <r>
    <s v="CA-2016-163804"/>
    <x v="674"/>
    <d v="2016-12-08T00:00:00"/>
    <x v="1"/>
    <s v="DB-13270"/>
    <s v="Deborah Brumfield"/>
    <x v="2"/>
    <s v="United States"/>
    <x v="134"/>
    <x v="38"/>
    <x v="2"/>
    <s v="FUR-FU-10004864"/>
    <s v="Furniture"/>
    <x v="3"/>
    <s v="Eldon 500 Class Desk Accessories"/>
    <n v="72.42"/>
    <n v="6"/>
    <n v="0"/>
    <n v="23.898599999999998"/>
    <x v="6"/>
    <x v="5"/>
  </r>
  <r>
    <s v="CA-2014-149524"/>
    <x v="711"/>
    <d v="2014-01-15T00:00:00"/>
    <x v="2"/>
    <s v="BS-11590"/>
    <s v="Brendan Sweed"/>
    <x v="1"/>
    <s v="United States"/>
    <x v="3"/>
    <x v="3"/>
    <x v="2"/>
    <s v="FUR-BO-10003433"/>
    <s v="Furniture"/>
    <x v="0"/>
    <s v="Sauder Cornerstone Collection Library"/>
    <n v="61.96"/>
    <n v="4"/>
    <n v="0.5"/>
    <n v="-53.285600000000002"/>
    <x v="5"/>
    <x v="8"/>
  </r>
  <r>
    <s v="CA-2017-140872"/>
    <x v="35"/>
    <d v="2017-06-10T00:00:00"/>
    <x v="1"/>
    <s v="NR-18550"/>
    <s v="Nick Radford"/>
    <x v="0"/>
    <s v="United States"/>
    <x v="36"/>
    <x v="1"/>
    <x v="0"/>
    <s v="FUR-BO-10002824"/>
    <s v="Furniture"/>
    <x v="0"/>
    <s v="Bush Mission Pointe Library"/>
    <n v="241.56800000000001"/>
    <n v="2"/>
    <n v="0.2"/>
    <n v="0"/>
    <x v="1"/>
    <x v="2"/>
  </r>
  <r>
    <s v="CA-2017-113908"/>
    <x v="35"/>
    <d v="2017-06-09T00:00:00"/>
    <x v="1"/>
    <s v="KN-16390"/>
    <s v="Katherine Nockton"/>
    <x v="1"/>
    <s v="United States"/>
    <x v="13"/>
    <x v="7"/>
    <x v="2"/>
    <s v="FUR-TA-10001932"/>
    <s v="Furniture"/>
    <x v="2"/>
    <s v="Chromcraft 48&quot; x 96&quot; Racetrack Double Pedestal Table"/>
    <n v="384.76799999999997"/>
    <n v="2"/>
    <n v="0.4"/>
    <n v="-115.43040000000001"/>
    <x v="6"/>
    <x v="2"/>
  </r>
  <r>
    <s v="CA-2014-149594"/>
    <x v="712"/>
    <d v="2014-09-19T00:00:00"/>
    <x v="1"/>
    <s v="MF-18250"/>
    <s v="Monica Federle"/>
    <x v="1"/>
    <s v="United States"/>
    <x v="3"/>
    <x v="3"/>
    <x v="2"/>
    <s v="FUR-FU-10000222"/>
    <s v="Furniture"/>
    <x v="3"/>
    <s v="Seth Thomas 16&quot; Steel Case Clock"/>
    <n v="103.93600000000001"/>
    <n v="4"/>
    <n v="0.2"/>
    <n v="16.889600000000002"/>
    <x v="4"/>
    <x v="4"/>
  </r>
  <r>
    <s v="CA-2016-113845"/>
    <x v="47"/>
    <d v="2016-11-25T00:00:00"/>
    <x v="1"/>
    <s v="FA-14230"/>
    <s v="Frank Atkinson"/>
    <x v="1"/>
    <s v="United States"/>
    <x v="301"/>
    <x v="1"/>
    <x v="0"/>
    <s v="FUR-BO-10004695"/>
    <s v="Furniture"/>
    <x v="0"/>
    <s v="O'Sullivan 2-Door Barrister Bookcase in Odessa Pine"/>
    <n v="289.56799999999998"/>
    <n v="2"/>
    <n v="0.2"/>
    <n v="10.8588"/>
    <x v="2"/>
    <x v="0"/>
  </r>
  <r>
    <s v="CA-2015-103135"/>
    <x v="713"/>
    <d v="2015-07-28T00:00:00"/>
    <x v="1"/>
    <s v="SS-20515"/>
    <s v="Shirley Schmidt"/>
    <x v="2"/>
    <s v="United States"/>
    <x v="74"/>
    <x v="0"/>
    <x v="0"/>
    <s v="FUR-FU-10001487"/>
    <s v="Furniture"/>
    <x v="3"/>
    <s v="Eldon Expressions Wood and Plastic Desk Accessories, Cherry Wood"/>
    <n v="20.94"/>
    <n v="3"/>
    <n v="0"/>
    <n v="6.0726000000000004"/>
    <x v="4"/>
    <x v="3"/>
  </r>
  <r>
    <s v="US-2016-128909"/>
    <x v="714"/>
    <d v="2016-10-11T00:00:00"/>
    <x v="0"/>
    <s v="SP-20545"/>
    <s v="Sibella Parks"/>
    <x v="1"/>
    <s v="United States"/>
    <x v="3"/>
    <x v="3"/>
    <x v="2"/>
    <s v="FUR-FU-10004071"/>
    <s v="Furniture"/>
    <x v="3"/>
    <s v="Luxo Professional Magnifying Clamp-On Fluorescent Lamps"/>
    <n v="332.83199999999999"/>
    <n v="4"/>
    <n v="0.2"/>
    <n v="-24.962399999999999"/>
    <x v="3"/>
    <x v="1"/>
  </r>
  <r>
    <s v="US-2017-116652"/>
    <x v="102"/>
    <d v="2017-09-19T00:00:00"/>
    <x v="1"/>
    <s v="RD-19480"/>
    <s v="Rick Duston"/>
    <x v="0"/>
    <s v="United States"/>
    <x v="28"/>
    <x v="2"/>
    <x v="1"/>
    <s v="FUR-CH-10002961"/>
    <s v="Furniture"/>
    <x v="1"/>
    <s v="Leather Task Chair, Black"/>
    <n v="218.352"/>
    <n v="3"/>
    <n v="0.2"/>
    <n v="0"/>
    <x v="4"/>
    <x v="4"/>
  </r>
  <r>
    <s v="US-2017-116652"/>
    <x v="102"/>
    <d v="2017-09-19T00:00:00"/>
    <x v="1"/>
    <s v="RD-19480"/>
    <s v="Rick Duston"/>
    <x v="0"/>
    <s v="United States"/>
    <x v="28"/>
    <x v="2"/>
    <x v="1"/>
    <s v="FUR-FU-10001488"/>
    <s v="Furniture"/>
    <x v="3"/>
    <s v="Tenex 46&quot; x 60&quot; Computer Anti-Static Chairmat, Rectangular Shaped"/>
    <n v="529.9"/>
    <n v="5"/>
    <n v="0"/>
    <n v="105.98"/>
    <x v="4"/>
    <x v="4"/>
  </r>
  <r>
    <s v="CA-2017-138289"/>
    <x v="623"/>
    <d v="2017-01-18T00:00:00"/>
    <x v="0"/>
    <s v="AR-10540"/>
    <s v="Andy Reiter"/>
    <x v="0"/>
    <s v="United States"/>
    <x v="38"/>
    <x v="17"/>
    <x v="3"/>
    <s v="FUR-CH-10004626"/>
    <s v="Furniture"/>
    <x v="1"/>
    <s v="Office Star Flex Back Scooter Chair with Aluminum Finish Frame"/>
    <n v="302.67"/>
    <n v="3"/>
    <n v="0"/>
    <n v="72.640799999999999"/>
    <x v="3"/>
    <x v="8"/>
  </r>
  <r>
    <s v="CA-2014-128209"/>
    <x v="317"/>
    <d v="2014-11-22T00:00:00"/>
    <x v="1"/>
    <s v="GT-14710"/>
    <s v="Greg Tran"/>
    <x v="0"/>
    <s v="United States"/>
    <x v="252"/>
    <x v="7"/>
    <x v="2"/>
    <s v="FUR-BO-10002213"/>
    <s v="Furniture"/>
    <x v="0"/>
    <s v="DMI Eclipse Executive Suite Bookcases"/>
    <n v="4007.84"/>
    <n v="10"/>
    <n v="0.2"/>
    <n v="-50.097999999999999"/>
    <x v="2"/>
    <x v="0"/>
  </r>
  <r>
    <s v="CA-2014-169684"/>
    <x v="715"/>
    <d v="2014-10-23T00:00:00"/>
    <x v="2"/>
    <s v="FH-14365"/>
    <s v="Fred Hopkins"/>
    <x v="1"/>
    <s v="United States"/>
    <x v="270"/>
    <x v="9"/>
    <x v="0"/>
    <s v="FUR-TA-10003008"/>
    <s v="Furniture"/>
    <x v="2"/>
    <s v="Lesro Round Back Collection Coffee Table, End Table"/>
    <n v="328.59"/>
    <n v="3"/>
    <n v="0.4"/>
    <n v="-147.8655"/>
    <x v="0"/>
    <x v="1"/>
  </r>
  <r>
    <s v="CA-2015-109862"/>
    <x v="551"/>
    <d v="2015-10-30T00:00:00"/>
    <x v="1"/>
    <s v="HK-14890"/>
    <s v="Heather Kirkland"/>
    <x v="1"/>
    <s v="United States"/>
    <x v="19"/>
    <x v="14"/>
    <x v="2"/>
    <s v="FUR-CH-10002439"/>
    <s v="Furniture"/>
    <x v="1"/>
    <s v="Iceberg Nesting Folding Chair, 19w x 6d x 43h"/>
    <n v="291.10000000000002"/>
    <n v="5"/>
    <n v="0"/>
    <n v="75.686000000000007"/>
    <x v="2"/>
    <x v="1"/>
  </r>
  <r>
    <s v="US-2017-107888"/>
    <x v="716"/>
    <d v="2017-11-19T00:00:00"/>
    <x v="2"/>
    <s v="CC-12220"/>
    <s v="Chris Cortes"/>
    <x v="0"/>
    <s v="United States"/>
    <x v="15"/>
    <x v="13"/>
    <x v="1"/>
    <s v="FUR-FU-10003394"/>
    <s v="Furniture"/>
    <x v="3"/>
    <s v="Tenex &quot;The Solids&quot; Textured Chair Mats"/>
    <n v="139.91999999999999"/>
    <n v="2"/>
    <n v="0"/>
    <n v="23.7864"/>
    <x v="0"/>
    <x v="0"/>
  </r>
  <r>
    <s v="CA-2014-113880"/>
    <x v="29"/>
    <d v="2014-03-05T00:00:00"/>
    <x v="1"/>
    <s v="VF-21715"/>
    <s v="Vicky Freymann"/>
    <x v="2"/>
    <s v="United States"/>
    <x v="302"/>
    <x v="8"/>
    <x v="3"/>
    <s v="FUR-CH-10000863"/>
    <s v="Furniture"/>
    <x v="1"/>
    <s v="Novimex Swivel Fabric Task Chair"/>
    <n v="634.11599999999999"/>
    <n v="6"/>
    <n v="0.3"/>
    <n v="-172.1172"/>
    <x v="4"/>
    <x v="9"/>
  </r>
  <r>
    <s v="US-2015-164966"/>
    <x v="45"/>
    <d v="2015-08-01T00:00:00"/>
    <x v="2"/>
    <s v="GH-14410"/>
    <s v="Gary Hansen"/>
    <x v="2"/>
    <s v="United States"/>
    <x v="27"/>
    <x v="11"/>
    <x v="3"/>
    <s v="FUR-CH-10002304"/>
    <s v="Furniture"/>
    <x v="1"/>
    <s v="Global Stack Chair without Arms, Black"/>
    <n v="155.88"/>
    <n v="6"/>
    <n v="0"/>
    <n v="38.97"/>
    <x v="3"/>
    <x v="3"/>
  </r>
  <r>
    <s v="CA-2015-126739"/>
    <x v="341"/>
    <d v="2015-11-03T00:00:00"/>
    <x v="0"/>
    <s v="JH-16180"/>
    <s v="Justin Hirsh"/>
    <x v="0"/>
    <s v="United States"/>
    <x v="13"/>
    <x v="7"/>
    <x v="2"/>
    <s v="FUR-CH-10000422"/>
    <s v="Furniture"/>
    <x v="1"/>
    <s v="Global Highback Leather Tilter in Burgundy"/>
    <n v="327.56400000000002"/>
    <n v="4"/>
    <n v="0.1"/>
    <n v="21.837599999999998"/>
    <x v="3"/>
    <x v="0"/>
  </r>
  <r>
    <s v="CA-2015-166947"/>
    <x v="717"/>
    <d v="2015-06-10T00:00:00"/>
    <x v="1"/>
    <s v="EB-13750"/>
    <s v="Edward Becker"/>
    <x v="1"/>
    <s v="United States"/>
    <x v="252"/>
    <x v="7"/>
    <x v="2"/>
    <s v="FUR-CH-10004997"/>
    <s v="Furniture"/>
    <x v="1"/>
    <s v="Hon Every-Day Series Multi-Task Chairs"/>
    <n v="1522.6379999999999"/>
    <n v="9"/>
    <n v="0.1"/>
    <n v="169.18199999999999"/>
    <x v="2"/>
    <x v="2"/>
  </r>
  <r>
    <s v="CA-2014-166086"/>
    <x v="718"/>
    <d v="2014-05-12T00:00:00"/>
    <x v="1"/>
    <s v="CT-11995"/>
    <s v="Carol Triggs"/>
    <x v="0"/>
    <s v="United States"/>
    <x v="37"/>
    <x v="20"/>
    <x v="2"/>
    <s v="FUR-TA-10003469"/>
    <s v="Furniture"/>
    <x v="2"/>
    <s v="Balt Split Level Computer Training Table"/>
    <n v="194.25"/>
    <n v="2"/>
    <n v="0.3"/>
    <n v="-38.85"/>
    <x v="2"/>
    <x v="7"/>
  </r>
  <r>
    <s v="CA-2014-166086"/>
    <x v="718"/>
    <d v="2014-05-12T00:00:00"/>
    <x v="1"/>
    <s v="CT-11995"/>
    <s v="Carol Triggs"/>
    <x v="0"/>
    <s v="United States"/>
    <x v="37"/>
    <x v="20"/>
    <x v="2"/>
    <s v="FUR-CH-10004675"/>
    <s v="Furniture"/>
    <x v="1"/>
    <s v="Lifetime Advantage Folding Chairs, 4/Carton"/>
    <n v="872.32"/>
    <n v="4"/>
    <n v="0"/>
    <n v="244.24959999999999"/>
    <x v="2"/>
    <x v="7"/>
  </r>
  <r>
    <s v="CA-2014-100678"/>
    <x v="719"/>
    <d v="2014-04-22T00:00:00"/>
    <x v="1"/>
    <s v="KM-16720"/>
    <s v="Kunst Miller"/>
    <x v="0"/>
    <s v="United States"/>
    <x v="6"/>
    <x v="5"/>
    <x v="3"/>
    <s v="FUR-CH-10002602"/>
    <s v="Furniture"/>
    <x v="1"/>
    <s v="DMI Arturo Collection Mission-style Design Wood Chair"/>
    <n v="317.05799999999999"/>
    <n v="3"/>
    <n v="0.3"/>
    <n v="-18.117599999999999"/>
    <x v="4"/>
    <x v="6"/>
  </r>
  <r>
    <s v="CA-2017-123085"/>
    <x v="470"/>
    <d v="2017-03-08T00:00:00"/>
    <x v="1"/>
    <s v="EJ-13720"/>
    <s v="Ed Jacobs"/>
    <x v="0"/>
    <s v="United States"/>
    <x v="2"/>
    <x v="2"/>
    <x v="1"/>
    <s v="FUR-CH-10003968"/>
    <s v="Furniture"/>
    <x v="1"/>
    <s v="Novimex Turbo Task Chair"/>
    <n v="170.352"/>
    <n v="3"/>
    <n v="0.2"/>
    <n v="-17.0352"/>
    <x v="2"/>
    <x v="9"/>
  </r>
  <r>
    <s v="CA-2016-169887"/>
    <x v="148"/>
    <d v="2016-10-22T00:00:00"/>
    <x v="3"/>
    <s v="MS-17530"/>
    <s v="MaryBeth Skach"/>
    <x v="0"/>
    <s v="United States"/>
    <x v="15"/>
    <x v="13"/>
    <x v="1"/>
    <s v="FUR-FU-10003095"/>
    <s v="Furniture"/>
    <x v="3"/>
    <s v="Linden 12&quot; Wall Clock With Oak Frame"/>
    <n v="101.94"/>
    <n v="3"/>
    <n v="0"/>
    <n v="30.582000000000001"/>
    <x v="7"/>
    <x v="1"/>
  </r>
  <r>
    <s v="CA-2017-104731"/>
    <x v="720"/>
    <d v="2017-07-27T00:00:00"/>
    <x v="1"/>
    <s v="AM-10705"/>
    <s v="Anne McFarland"/>
    <x v="0"/>
    <s v="United States"/>
    <x v="279"/>
    <x v="25"/>
    <x v="0"/>
    <s v="FUR-FU-10003274"/>
    <s v="Furniture"/>
    <x v="3"/>
    <s v="Regeneration Desk Collection"/>
    <n v="8.8000000000000007"/>
    <n v="5"/>
    <n v="0"/>
    <n v="3.8719999999999999"/>
    <x v="6"/>
    <x v="3"/>
  </r>
  <r>
    <s v="CA-2017-104731"/>
    <x v="720"/>
    <d v="2017-07-27T00:00:00"/>
    <x v="1"/>
    <s v="AM-10705"/>
    <s v="Anne McFarland"/>
    <x v="0"/>
    <s v="United States"/>
    <x v="279"/>
    <x v="25"/>
    <x v="0"/>
    <s v="FUR-BO-10003441"/>
    <s v="Furniture"/>
    <x v="0"/>
    <s v="Bush Westfield Collection Bookcases, Fully Assembled"/>
    <n v="302.94"/>
    <n v="3"/>
    <n v="0"/>
    <n v="69.676199999999994"/>
    <x v="6"/>
    <x v="3"/>
  </r>
  <r>
    <s v="CA-2014-154095"/>
    <x v="116"/>
    <d v="2014-12-07T00:00:00"/>
    <x v="1"/>
    <s v="ON-18715"/>
    <s v="Odella Nelson"/>
    <x v="1"/>
    <s v="United States"/>
    <x v="218"/>
    <x v="32"/>
    <x v="2"/>
    <s v="FUR-FU-10003849"/>
    <s v="Furniture"/>
    <x v="3"/>
    <s v="DAX Metal Frame, Desktop, Stepped-Edge"/>
    <n v="60.72"/>
    <n v="3"/>
    <n v="0"/>
    <n v="23.680800000000001"/>
    <x v="2"/>
    <x v="5"/>
  </r>
  <r>
    <s v="CA-2014-154095"/>
    <x v="116"/>
    <d v="2014-12-07T00:00:00"/>
    <x v="1"/>
    <s v="ON-18715"/>
    <s v="Odella Nelson"/>
    <x v="1"/>
    <s v="United States"/>
    <x v="218"/>
    <x v="32"/>
    <x v="2"/>
    <s v="FUR-CH-10004754"/>
    <s v="Furniture"/>
    <x v="1"/>
    <s v="Global Stack Chair with Arms, Black"/>
    <n v="239.84"/>
    <n v="8"/>
    <n v="0"/>
    <n v="64.756799999999998"/>
    <x v="2"/>
    <x v="5"/>
  </r>
  <r>
    <s v="CA-2016-148852"/>
    <x v="205"/>
    <d v="2016-05-31T00:00:00"/>
    <x v="1"/>
    <s v="SV-20785"/>
    <s v="Stewart Visinsky"/>
    <x v="0"/>
    <s v="United States"/>
    <x v="72"/>
    <x v="2"/>
    <x v="1"/>
    <s v="FUR-CH-10004860"/>
    <s v="Furniture"/>
    <x v="1"/>
    <s v="Global Low Back Tilter Chair"/>
    <n v="484.70400000000001"/>
    <n v="6"/>
    <n v="0.2"/>
    <n v="-84.8232"/>
    <x v="2"/>
    <x v="7"/>
  </r>
  <r>
    <s v="CA-2015-107678"/>
    <x v="721"/>
    <d v="2015-04-28T00:00:00"/>
    <x v="1"/>
    <s v="JK-16090"/>
    <s v="Juliana Krohn"/>
    <x v="0"/>
    <s v="United States"/>
    <x v="74"/>
    <x v="0"/>
    <x v="0"/>
    <s v="FUR-CH-10001891"/>
    <s v="Furniture"/>
    <x v="1"/>
    <s v="Global Deluxe Office Fabric Chairs"/>
    <n v="191.96"/>
    <n v="2"/>
    <n v="0"/>
    <n v="51.8292"/>
    <x v="1"/>
    <x v="6"/>
  </r>
  <r>
    <s v="CA-2015-107678"/>
    <x v="721"/>
    <d v="2015-04-28T00:00:00"/>
    <x v="1"/>
    <s v="JK-16090"/>
    <s v="Juliana Krohn"/>
    <x v="0"/>
    <s v="United States"/>
    <x v="74"/>
    <x v="0"/>
    <x v="0"/>
    <s v="FUR-FU-10003394"/>
    <s v="Furniture"/>
    <x v="3"/>
    <s v="Tenex &quot;The Solids&quot; Textured Chair Mats"/>
    <n v="209.88"/>
    <n v="3"/>
    <n v="0"/>
    <n v="35.679600000000001"/>
    <x v="1"/>
    <x v="6"/>
  </r>
  <r>
    <s v="CA-2016-123512"/>
    <x v="9"/>
    <d v="2016-06-19T00:00:00"/>
    <x v="2"/>
    <s v="MV-18190"/>
    <s v="Mike Vittorini"/>
    <x v="0"/>
    <s v="United States"/>
    <x v="2"/>
    <x v="2"/>
    <x v="1"/>
    <s v="FUR-BO-10004218"/>
    <s v="Furniture"/>
    <x v="0"/>
    <s v="Bush Heritage Pine Collection 5-Shelf Bookcase, Albany Pine Finish, *Special Order"/>
    <n v="239.666"/>
    <n v="2"/>
    <n v="0.15"/>
    <n v="14.098000000000001"/>
    <x v="3"/>
    <x v="2"/>
  </r>
  <r>
    <s v="US-2017-167402"/>
    <x v="722"/>
    <d v="2017-01-18T00:00:00"/>
    <x v="0"/>
    <s v="CP-12085"/>
    <s v="Cathy Prescott"/>
    <x v="1"/>
    <s v="United States"/>
    <x v="76"/>
    <x v="23"/>
    <x v="3"/>
    <s v="FUR-BO-10001608"/>
    <s v="Furniture"/>
    <x v="0"/>
    <s v="Hon Metal Bookcases, Black"/>
    <n v="212.94"/>
    <n v="3"/>
    <n v="0"/>
    <n v="53.234999999999999"/>
    <x v="2"/>
    <x v="8"/>
  </r>
  <r>
    <s v="CA-2014-130449"/>
    <x v="723"/>
    <d v="2014-09-09T00:00:00"/>
    <x v="2"/>
    <s v="VP-21760"/>
    <s v="Victoria Pisteka"/>
    <x v="1"/>
    <s v="United States"/>
    <x v="28"/>
    <x v="2"/>
    <x v="1"/>
    <s v="FUR-FU-10001487"/>
    <s v="Furniture"/>
    <x v="3"/>
    <s v="Eldon Expressions Wood and Plastic Desk Accessories, Cherry Wood"/>
    <n v="41.88"/>
    <n v="6"/>
    <n v="0"/>
    <n v="12.145200000000001"/>
    <x v="0"/>
    <x v="4"/>
  </r>
  <r>
    <s v="CA-2015-141250"/>
    <x v="724"/>
    <d v="2015-01-23T00:00:00"/>
    <x v="1"/>
    <s v="PM-18940"/>
    <s v="Paul MacIntyre"/>
    <x v="0"/>
    <s v="United States"/>
    <x v="303"/>
    <x v="5"/>
    <x v="3"/>
    <s v="FUR-TA-10002855"/>
    <s v="Furniture"/>
    <x v="2"/>
    <s v="Bevis Round Conference Table Top &amp; Single Column Base"/>
    <n v="102.438"/>
    <n v="1"/>
    <n v="0.3"/>
    <n v="-13.1706"/>
    <x v="4"/>
    <x v="8"/>
  </r>
  <r>
    <s v="CA-2015-141250"/>
    <x v="724"/>
    <d v="2015-01-23T00:00:00"/>
    <x v="1"/>
    <s v="PM-18940"/>
    <s v="Paul MacIntyre"/>
    <x v="0"/>
    <s v="United States"/>
    <x v="303"/>
    <x v="5"/>
    <x v="3"/>
    <s v="FUR-CH-10004875"/>
    <s v="Furniture"/>
    <x v="1"/>
    <s v="Harbour Creations 67200 Series Stacking Chairs"/>
    <n v="199.304"/>
    <n v="4"/>
    <n v="0.3"/>
    <n v="-8.5416000000000007"/>
    <x v="4"/>
    <x v="8"/>
  </r>
  <r>
    <s v="CA-2016-105081"/>
    <x v="683"/>
    <d v="2016-12-30T00:00:00"/>
    <x v="1"/>
    <s v="JE-15715"/>
    <s v="Joe Elijah"/>
    <x v="0"/>
    <s v="United States"/>
    <x v="15"/>
    <x v="13"/>
    <x v="1"/>
    <s v="FUR-CH-10000847"/>
    <s v="Furniture"/>
    <x v="1"/>
    <s v="Global Executive Mid-Back Manager's Chair"/>
    <n v="698.35199999999998"/>
    <n v="3"/>
    <n v="0.2"/>
    <n v="52.376399999999997"/>
    <x v="2"/>
    <x v="5"/>
  </r>
  <r>
    <s v="CA-2016-105081"/>
    <x v="683"/>
    <d v="2016-12-30T00:00:00"/>
    <x v="1"/>
    <s v="JE-15715"/>
    <s v="Joe Elijah"/>
    <x v="0"/>
    <s v="United States"/>
    <x v="15"/>
    <x v="13"/>
    <x v="1"/>
    <s v="FUR-TA-10001307"/>
    <s v="Furniture"/>
    <x v="2"/>
    <s v="SAFCO PlanMaster Heigh-Adjustable Drafting Table Base, 43w x 30d x 30-37h, Black"/>
    <n v="1747.25"/>
    <n v="5"/>
    <n v="0"/>
    <n v="629.01"/>
    <x v="2"/>
    <x v="5"/>
  </r>
  <r>
    <s v="CA-2014-108609"/>
    <x v="314"/>
    <d v="2014-11-02T00:00:00"/>
    <x v="0"/>
    <s v="AJ-10780"/>
    <s v="Anthony Jacobs"/>
    <x v="1"/>
    <s v="United States"/>
    <x v="75"/>
    <x v="15"/>
    <x v="2"/>
    <s v="FUR-TA-10003954"/>
    <s v="Furniture"/>
    <x v="2"/>
    <s v="Hon 94000 Series Round Tables"/>
    <n v="1421.664"/>
    <n v="8"/>
    <n v="0.4"/>
    <n v="-734.52639999999997"/>
    <x v="3"/>
    <x v="1"/>
  </r>
  <r>
    <s v="US-2016-127334"/>
    <x v="120"/>
    <d v="2016-12-21T00:00:00"/>
    <x v="1"/>
    <s v="MP-18175"/>
    <s v="Mike Pelletier"/>
    <x v="2"/>
    <s v="United States"/>
    <x v="76"/>
    <x v="36"/>
    <x v="1"/>
    <s v="FUR-TA-10003473"/>
    <s v="Furniture"/>
    <x v="2"/>
    <s v="Bretford Rectangular Conference Table Tops"/>
    <n v="564.19500000000005"/>
    <n v="3"/>
    <n v="0.5"/>
    <n v="-304.6653"/>
    <x v="6"/>
    <x v="5"/>
  </r>
  <r>
    <s v="US-2017-124779"/>
    <x v="272"/>
    <d v="2017-09-11T00:00:00"/>
    <x v="2"/>
    <s v="BF-11020"/>
    <s v="Barry Franzšsisch"/>
    <x v="1"/>
    <s v="United States"/>
    <x v="58"/>
    <x v="5"/>
    <x v="3"/>
    <s v="FUR-FU-10001095"/>
    <s v="Furniture"/>
    <x v="3"/>
    <s v="DAX Black Cherry Wood-Tone Poster Frame"/>
    <n v="21.184000000000001"/>
    <n v="2"/>
    <n v="0.6"/>
    <n v="-11.651199999999999"/>
    <x v="0"/>
    <x v="4"/>
  </r>
  <r>
    <s v="US-2017-124779"/>
    <x v="272"/>
    <d v="2017-09-11T00:00:00"/>
    <x v="2"/>
    <s v="BF-11020"/>
    <s v="Barry Franzšsisch"/>
    <x v="1"/>
    <s v="United States"/>
    <x v="58"/>
    <x v="5"/>
    <x v="3"/>
    <s v="FUR-CH-10003535"/>
    <s v="Furniture"/>
    <x v="1"/>
    <s v="Global Armless Task Chair, Royal Blue"/>
    <n v="213.43"/>
    <n v="5"/>
    <n v="0.3"/>
    <n v="-39.637"/>
    <x v="0"/>
    <x v="4"/>
  </r>
  <r>
    <s v="CA-2017-135937"/>
    <x v="134"/>
    <d v="2017-02-27T00:00:00"/>
    <x v="1"/>
    <s v="KM-16375"/>
    <s v="Katherine Murray"/>
    <x v="2"/>
    <s v="United States"/>
    <x v="171"/>
    <x v="22"/>
    <x v="1"/>
    <s v="FUR-FU-10002253"/>
    <s v="Furniture"/>
    <x v="3"/>
    <s v="Howard Miller 13&quot; Diameter Pewter Finish Round Wall Clock"/>
    <n v="68.703999999999994"/>
    <n v="2"/>
    <n v="0.2"/>
    <n v="16.3172"/>
    <x v="1"/>
    <x v="11"/>
  </r>
  <r>
    <s v="CA-2017-135937"/>
    <x v="134"/>
    <d v="2017-02-27T00:00:00"/>
    <x v="1"/>
    <s v="KM-16375"/>
    <s v="Katherine Murray"/>
    <x v="2"/>
    <s v="United States"/>
    <x v="171"/>
    <x v="22"/>
    <x v="1"/>
    <s v="FUR-TA-10001039"/>
    <s v="Furniture"/>
    <x v="2"/>
    <s v="KI Adjustable-Height Table"/>
    <n v="386.91"/>
    <n v="9"/>
    <n v="0.5"/>
    <n v="-185.71680000000001"/>
    <x v="1"/>
    <x v="11"/>
  </r>
  <r>
    <s v="CA-2017-162173"/>
    <x v="725"/>
    <d v="2017-11-01T00:00:00"/>
    <x v="1"/>
    <s v="OT-18730"/>
    <s v="Olvera Toch"/>
    <x v="0"/>
    <s v="United States"/>
    <x v="304"/>
    <x v="25"/>
    <x v="0"/>
    <s v="FUR-TA-10001520"/>
    <s v="Furniture"/>
    <x v="2"/>
    <s v="Lesro Sheffield Collection Coffee Table, End Table, Center Table, Corner Table"/>
    <n v="356.85"/>
    <n v="5"/>
    <n v="0"/>
    <n v="60.664499999999997"/>
    <x v="6"/>
    <x v="1"/>
  </r>
  <r>
    <s v="CA-2017-122175"/>
    <x v="666"/>
    <d v="2017-05-14T00:00:00"/>
    <x v="0"/>
    <s v="CA-12775"/>
    <s v="Cynthia Arntzen"/>
    <x v="0"/>
    <s v="United States"/>
    <x v="109"/>
    <x v="18"/>
    <x v="2"/>
    <s v="FUR-FU-10000719"/>
    <s v="Furniture"/>
    <x v="3"/>
    <s v="DAX Cubicle Frames, 8-1/2 x 11"/>
    <n v="42.85"/>
    <n v="5"/>
    <n v="0"/>
    <n v="15.426"/>
    <x v="3"/>
    <x v="7"/>
  </r>
  <r>
    <s v="CA-2015-135510"/>
    <x v="278"/>
    <d v="2015-09-12T00:00:00"/>
    <x v="1"/>
    <s v="TW-21025"/>
    <s v="Tamara Willingham"/>
    <x v="2"/>
    <s v="United States"/>
    <x v="305"/>
    <x v="25"/>
    <x v="0"/>
    <s v="FUR-FU-10000820"/>
    <s v="Furniture"/>
    <x v="3"/>
    <s v="Tensor Brushed Steel Torchiere Floor Lamp"/>
    <n v="67.959999999999994"/>
    <n v="4"/>
    <n v="0"/>
    <n v="12.232799999999999"/>
    <x v="1"/>
    <x v="4"/>
  </r>
  <r>
    <s v="CA-2014-150329"/>
    <x v="567"/>
    <d v="2014-10-14T00:00:00"/>
    <x v="1"/>
    <s v="SD-20485"/>
    <s v="Shirley Daniels"/>
    <x v="2"/>
    <s v="United States"/>
    <x v="43"/>
    <x v="22"/>
    <x v="1"/>
    <s v="FUR-FU-10003724"/>
    <s v="Furniture"/>
    <x v="3"/>
    <s v="Westinghouse Clip-On Gooseneck Lamps"/>
    <n v="46.872"/>
    <n v="7"/>
    <n v="0.2"/>
    <n v="3.5154000000000001"/>
    <x v="4"/>
    <x v="1"/>
  </r>
  <r>
    <s v="CA-2014-109134"/>
    <x v="726"/>
    <d v="2014-11-10T00:00:00"/>
    <x v="1"/>
    <s v="DE-13255"/>
    <s v="Deanra Eno"/>
    <x v="2"/>
    <s v="United States"/>
    <x v="2"/>
    <x v="2"/>
    <x v="1"/>
    <s v="FUR-FU-10000320"/>
    <s v="Furniture"/>
    <x v="3"/>
    <s v="OIC Stacking Trays"/>
    <n v="20.04"/>
    <n v="6"/>
    <n v="0"/>
    <n v="8.8176000000000005"/>
    <x v="2"/>
    <x v="0"/>
  </r>
  <r>
    <s v="US-2015-129637"/>
    <x v="584"/>
    <d v="2015-12-22T00:00:00"/>
    <x v="1"/>
    <s v="MC-18100"/>
    <s v="Mick Crebagga"/>
    <x v="0"/>
    <s v="United States"/>
    <x v="17"/>
    <x v="8"/>
    <x v="3"/>
    <s v="FUR-FU-10000965"/>
    <s v="Furniture"/>
    <x v="3"/>
    <s v="Howard Miller 11-1/2&quot; Diameter Ridgewood Wall Clock"/>
    <n v="41.552"/>
    <n v="2"/>
    <n v="0.6"/>
    <n v="-19.737200000000001"/>
    <x v="2"/>
    <x v="5"/>
  </r>
  <r>
    <s v="CA-2017-145429"/>
    <x v="720"/>
    <d v="2017-07-25T00:00:00"/>
    <x v="1"/>
    <s v="SW-20455"/>
    <s v="Shaun Weien"/>
    <x v="0"/>
    <s v="United States"/>
    <x v="53"/>
    <x v="2"/>
    <x v="1"/>
    <s v="FUR-CH-10000988"/>
    <s v="Furniture"/>
    <x v="1"/>
    <s v="Hon Olson Stacker Stools"/>
    <n v="225.29599999999999"/>
    <n v="2"/>
    <n v="0.2"/>
    <n v="22.529599999999999"/>
    <x v="4"/>
    <x v="3"/>
  </r>
  <r>
    <s v="CA-2015-153535"/>
    <x v="727"/>
    <d v="2015-05-24T00:00:00"/>
    <x v="1"/>
    <s v="SG-20470"/>
    <s v="Sheri Gordon"/>
    <x v="0"/>
    <s v="United States"/>
    <x v="306"/>
    <x v="30"/>
    <x v="0"/>
    <s v="FUR-FU-10001986"/>
    <s v="Furniture"/>
    <x v="3"/>
    <s v="Dana Fluorescent Magnifying Lamp, White, 36&quot;"/>
    <n v="163.136"/>
    <n v="4"/>
    <n v="0.2"/>
    <n v="20.391999999999999"/>
    <x v="4"/>
    <x v="7"/>
  </r>
  <r>
    <s v="CA-2015-123141"/>
    <x v="502"/>
    <d v="2015-11-19T00:00:00"/>
    <x v="1"/>
    <s v="GZ-14470"/>
    <s v="Gary Zandusky"/>
    <x v="0"/>
    <s v="United States"/>
    <x v="307"/>
    <x v="41"/>
    <x v="1"/>
    <s v="FUR-CH-10004287"/>
    <s v="Furniture"/>
    <x v="1"/>
    <s v="SAFCO Arco Folding Chair"/>
    <n v="883.84"/>
    <n v="4"/>
    <n v="0.2"/>
    <n v="99.432000000000002"/>
    <x v="2"/>
    <x v="0"/>
  </r>
  <r>
    <s v="CA-2015-123141"/>
    <x v="502"/>
    <d v="2015-11-19T00:00:00"/>
    <x v="1"/>
    <s v="GZ-14470"/>
    <s v="Gary Zandusky"/>
    <x v="0"/>
    <s v="United States"/>
    <x v="307"/>
    <x v="41"/>
    <x v="1"/>
    <s v="FUR-CH-10001891"/>
    <s v="Furniture"/>
    <x v="1"/>
    <s v="Global Deluxe Office Fabric Chairs"/>
    <n v="230.352"/>
    <n v="3"/>
    <n v="0.2"/>
    <n v="20.155799999999999"/>
    <x v="2"/>
    <x v="0"/>
  </r>
  <r>
    <s v="CA-2017-107629"/>
    <x v="417"/>
    <d v="2017-12-14T00:00:00"/>
    <x v="3"/>
    <s v="DB-13060"/>
    <s v="Dave Brooks"/>
    <x v="0"/>
    <s v="United States"/>
    <x v="187"/>
    <x v="8"/>
    <x v="3"/>
    <s v="FUR-FU-10002298"/>
    <s v="Furniture"/>
    <x v="3"/>
    <s v="Rubbermaid ClusterMat Chairmats, Mat Size- 66&quot; x 60&quot;, Lip 20&quot; x 11&quot; -90 Degree Angle"/>
    <n v="266.35199999999998"/>
    <n v="6"/>
    <n v="0.6"/>
    <n v="-292.98719999999997"/>
    <x v="7"/>
    <x v="5"/>
  </r>
  <r>
    <s v="CA-2017-107629"/>
    <x v="417"/>
    <d v="2017-12-14T00:00:00"/>
    <x v="3"/>
    <s v="DB-13060"/>
    <s v="Dave Brooks"/>
    <x v="0"/>
    <s v="United States"/>
    <x v="187"/>
    <x v="8"/>
    <x v="3"/>
    <s v="FUR-FU-10004091"/>
    <s v="Furniture"/>
    <x v="3"/>
    <s v="Howard Miller 13&quot; Diameter Goldtone Round Wall Clock"/>
    <n v="56.328000000000003"/>
    <n v="3"/>
    <n v="0.6"/>
    <n v="-26.755800000000001"/>
    <x v="7"/>
    <x v="5"/>
  </r>
  <r>
    <s v="CA-2016-134789"/>
    <x v="57"/>
    <d v="2016-04-15T00:00:00"/>
    <x v="1"/>
    <s v="CK-12325"/>
    <s v="Christine Kargatis"/>
    <x v="2"/>
    <s v="United States"/>
    <x v="308"/>
    <x v="31"/>
    <x v="0"/>
    <s v="FUR-FU-10003268"/>
    <s v="Furniture"/>
    <x v="3"/>
    <s v="Eldon Radial Chair Mat for Low to Medium Pile Carpets"/>
    <n v="159.91999999999999"/>
    <n v="4"/>
    <n v="0"/>
    <n v="31.984000000000002"/>
    <x v="1"/>
    <x v="6"/>
  </r>
  <r>
    <s v="CA-2016-165827"/>
    <x v="114"/>
    <d v="2016-11-09T00:00:00"/>
    <x v="1"/>
    <s v="MF-17665"/>
    <s v="Maureen Fritzler"/>
    <x v="1"/>
    <s v="United States"/>
    <x v="89"/>
    <x v="1"/>
    <x v="0"/>
    <s v="FUR-FU-10001889"/>
    <s v="Furniture"/>
    <x v="3"/>
    <s v="Ultra Door Pull Handle"/>
    <n v="50.496000000000002"/>
    <n v="6"/>
    <n v="0.2"/>
    <n v="8.2056000000000004"/>
    <x v="2"/>
    <x v="0"/>
  </r>
  <r>
    <s v="CA-2015-156734"/>
    <x v="311"/>
    <d v="2015-06-20T00:00:00"/>
    <x v="2"/>
    <s v="BV-11245"/>
    <s v="Benjamin Venier"/>
    <x v="1"/>
    <s v="United States"/>
    <x v="107"/>
    <x v="9"/>
    <x v="0"/>
    <s v="FUR-CH-10002965"/>
    <s v="Furniture"/>
    <x v="1"/>
    <s v="Global Leather Highback Executive Chair with Pneumatic Height Adjustment, Black"/>
    <n v="643.13599999999997"/>
    <n v="4"/>
    <n v="0.2"/>
    <n v="56.2744"/>
    <x v="3"/>
    <x v="2"/>
  </r>
  <r>
    <s v="CA-2014-144029"/>
    <x v="261"/>
    <d v="2014-05-31T00:00:00"/>
    <x v="1"/>
    <s v="MM-18055"/>
    <s v="Michelle Moray"/>
    <x v="0"/>
    <s v="United States"/>
    <x v="9"/>
    <x v="8"/>
    <x v="3"/>
    <s v="FUR-CH-10003981"/>
    <s v="Furniture"/>
    <x v="1"/>
    <s v="Global Commerce Series Low-Back Swivel/Tilt Chairs"/>
    <n v="359.77199999999999"/>
    <n v="2"/>
    <n v="0.3"/>
    <n v="-5.1395999999999997"/>
    <x v="2"/>
    <x v="7"/>
  </r>
  <r>
    <s v="US-2017-101784"/>
    <x v="682"/>
    <d v="2017-07-11T00:00:00"/>
    <x v="1"/>
    <s v="PO-18850"/>
    <s v="Patrick O'Brill"/>
    <x v="0"/>
    <s v="United States"/>
    <x v="2"/>
    <x v="2"/>
    <x v="1"/>
    <s v="FUR-CH-10001146"/>
    <s v="Furniture"/>
    <x v="1"/>
    <s v="Global Task Chair, Black"/>
    <n v="122.136"/>
    <n v="3"/>
    <n v="0.2"/>
    <n v="-13.7403"/>
    <x v="2"/>
    <x v="3"/>
  </r>
  <r>
    <s v="CA-2016-154767"/>
    <x v="728"/>
    <d v="2016-06-30T00:00:00"/>
    <x v="0"/>
    <s v="BP-11155"/>
    <s v="Becky Pak"/>
    <x v="0"/>
    <s v="United States"/>
    <x v="309"/>
    <x v="18"/>
    <x v="2"/>
    <s v="FUR-CH-10003535"/>
    <s v="Furniture"/>
    <x v="1"/>
    <s v="Global Armless Task Chair, Royal Blue"/>
    <n v="121.96"/>
    <n v="2"/>
    <n v="0"/>
    <n v="20.7332"/>
    <x v="3"/>
    <x v="2"/>
  </r>
  <r>
    <s v="CA-2017-124205"/>
    <x v="102"/>
    <d v="2017-09-19T00:00:00"/>
    <x v="1"/>
    <s v="TC-21145"/>
    <s v="Theresa Coyne"/>
    <x v="1"/>
    <s v="United States"/>
    <x v="174"/>
    <x v="18"/>
    <x v="2"/>
    <s v="FUR-FU-10002445"/>
    <s v="Furniture"/>
    <x v="3"/>
    <s v="DAX Two-Tone Rosewood/Black Document Frame, Desktop, 5 x 7"/>
    <n v="47.4"/>
    <n v="5"/>
    <n v="0"/>
    <n v="18.96"/>
    <x v="4"/>
    <x v="4"/>
  </r>
  <r>
    <s v="CA-2017-124205"/>
    <x v="102"/>
    <d v="2017-09-19T00:00:00"/>
    <x v="1"/>
    <s v="TC-21145"/>
    <s v="Theresa Coyne"/>
    <x v="1"/>
    <s v="United States"/>
    <x v="174"/>
    <x v="18"/>
    <x v="2"/>
    <s v="FUR-CH-10003606"/>
    <s v="Furniture"/>
    <x v="1"/>
    <s v="SAFCO Folding Chair Trolley"/>
    <n v="512.96"/>
    <n v="4"/>
    <n v="0"/>
    <n v="143.62880000000001"/>
    <x v="4"/>
    <x v="4"/>
  </r>
  <r>
    <s v="CA-2016-162943"/>
    <x v="729"/>
    <d v="2016-07-26T00:00:00"/>
    <x v="0"/>
    <s v="DB-12970"/>
    <s v="Darren Budd"/>
    <x v="1"/>
    <s v="United States"/>
    <x v="13"/>
    <x v="7"/>
    <x v="2"/>
    <s v="FUR-CH-10001708"/>
    <s v="Furniture"/>
    <x v="1"/>
    <s v="Office Star - Contemporary Swivel Chair with Padded Adjustable Arms and Flex Back"/>
    <n v="253.76400000000001"/>
    <n v="2"/>
    <n v="0.1"/>
    <n v="31.015599999999999"/>
    <x v="3"/>
    <x v="3"/>
  </r>
  <r>
    <s v="CA-2017-100615"/>
    <x v="333"/>
    <d v="2017-04-24T00:00:00"/>
    <x v="1"/>
    <s v="SJ-20215"/>
    <s v="Sarah Jordon"/>
    <x v="0"/>
    <s v="United States"/>
    <x v="9"/>
    <x v="8"/>
    <x v="3"/>
    <s v="FUR-CH-10002602"/>
    <s v="Furniture"/>
    <x v="1"/>
    <s v="DMI Arturo Collection Mission-style Design Wood Chair"/>
    <n v="317.05799999999999"/>
    <n v="3"/>
    <n v="0.3"/>
    <n v="-18.117599999999999"/>
    <x v="4"/>
    <x v="6"/>
  </r>
  <r>
    <s v="CA-2017-100615"/>
    <x v="333"/>
    <d v="2017-04-24T00:00:00"/>
    <x v="1"/>
    <s v="SJ-20215"/>
    <s v="Sarah Jordon"/>
    <x v="0"/>
    <s v="United States"/>
    <x v="9"/>
    <x v="8"/>
    <x v="3"/>
    <s v="FUR-FU-10002456"/>
    <s v="Furniture"/>
    <x v="3"/>
    <s v="Master Caster Door Stop, Large Neon Orange"/>
    <n v="14.56"/>
    <n v="5"/>
    <n v="0.6"/>
    <n v="-6.1879999999999997"/>
    <x v="4"/>
    <x v="6"/>
  </r>
  <r>
    <s v="US-2016-147711"/>
    <x v="222"/>
    <d v="2016-09-08T00:00:00"/>
    <x v="0"/>
    <s v="HF-14995"/>
    <s v="Herbert Flentye"/>
    <x v="0"/>
    <s v="United States"/>
    <x v="237"/>
    <x v="32"/>
    <x v="2"/>
    <s v="FUR-BO-10003159"/>
    <s v="Furniture"/>
    <x v="0"/>
    <s v="Sauder Camden County Collection Libraries, Planked Cherry Finish"/>
    <n v="344.94"/>
    <n v="3"/>
    <n v="0"/>
    <n v="31.044599999999999"/>
    <x v="2"/>
    <x v="4"/>
  </r>
  <r>
    <s v="US-2016-147711"/>
    <x v="222"/>
    <d v="2016-09-08T00:00:00"/>
    <x v="0"/>
    <s v="HF-14995"/>
    <s v="Herbert Flentye"/>
    <x v="0"/>
    <s v="United States"/>
    <x v="237"/>
    <x v="32"/>
    <x v="2"/>
    <s v="FUR-FU-10002364"/>
    <s v="Furniture"/>
    <x v="3"/>
    <s v="Eldon Expressions Wood Desk Accessories, Oak"/>
    <n v="14.76"/>
    <n v="2"/>
    <n v="0"/>
    <n v="4.2804000000000002"/>
    <x v="2"/>
    <x v="4"/>
  </r>
  <r>
    <s v="CA-2017-121293"/>
    <x v="730"/>
    <d v="2017-07-28T00:00:00"/>
    <x v="0"/>
    <s v="JC-15775"/>
    <s v="John Castell"/>
    <x v="0"/>
    <s v="United States"/>
    <x v="3"/>
    <x v="3"/>
    <x v="2"/>
    <s v="FUR-FU-10000732"/>
    <s v="Furniture"/>
    <x v="3"/>
    <s v="Eldon 200 Class Desk Accessories"/>
    <n v="20.096"/>
    <n v="4"/>
    <n v="0.2"/>
    <n v="3.0144000000000002"/>
    <x v="0"/>
    <x v="3"/>
  </r>
  <r>
    <s v="CA-2017-121293"/>
    <x v="730"/>
    <d v="2017-07-28T00:00:00"/>
    <x v="0"/>
    <s v="JC-15775"/>
    <s v="John Castell"/>
    <x v="0"/>
    <s v="United States"/>
    <x v="3"/>
    <x v="3"/>
    <x v="2"/>
    <s v="FUR-TA-10001771"/>
    <s v="Furniture"/>
    <x v="2"/>
    <s v="Bush Cubix Conference Tables, Fully Assembled"/>
    <n v="138.58799999999999"/>
    <n v="1"/>
    <n v="0.4"/>
    <n v="-34.646999999999998"/>
    <x v="0"/>
    <x v="3"/>
  </r>
  <r>
    <s v="CA-2015-118843"/>
    <x v="615"/>
    <d v="2015-09-20T00:00:00"/>
    <x v="1"/>
    <s v="JH-15910"/>
    <s v="Jonathan Howell"/>
    <x v="0"/>
    <s v="United States"/>
    <x v="182"/>
    <x v="24"/>
    <x v="0"/>
    <s v="FUR-FU-10003975"/>
    <s v="Furniture"/>
    <x v="3"/>
    <s v="Eldon Advantage Chair Mats for Low to Medium Pile Carpets"/>
    <n v="129.93"/>
    <n v="3"/>
    <n v="0"/>
    <n v="12.993"/>
    <x v="1"/>
    <x v="4"/>
  </r>
  <r>
    <s v="CA-2016-162348"/>
    <x v="480"/>
    <d v="2016-11-15T00:00:00"/>
    <x v="1"/>
    <s v="BF-11170"/>
    <s v="Ben Ferrer"/>
    <x v="2"/>
    <s v="United States"/>
    <x v="155"/>
    <x v="2"/>
    <x v="1"/>
    <s v="FUR-FU-10003731"/>
    <s v="Furniture"/>
    <x v="3"/>
    <s v="Eldon Expressions Wood and Plastic Desk Accessories, Oak"/>
    <n v="9.98"/>
    <n v="1"/>
    <n v="0"/>
    <n v="2.7944"/>
    <x v="2"/>
    <x v="0"/>
  </r>
  <r>
    <s v="CA-2015-145394"/>
    <x v="397"/>
    <d v="2015-11-20T00:00:00"/>
    <x v="1"/>
    <s v="MC-17605"/>
    <s v="Matt Connell"/>
    <x v="1"/>
    <s v="United States"/>
    <x v="9"/>
    <x v="8"/>
    <x v="3"/>
    <s v="FUR-FU-10001215"/>
    <s v="Furniture"/>
    <x v="3"/>
    <s v="Howard Miller 11-1/2&quot; Diameter Brentwood Wall Clock"/>
    <n v="34.503999999999998"/>
    <n v="2"/>
    <n v="0.6"/>
    <n v="-15.5268"/>
    <x v="4"/>
    <x v="0"/>
  </r>
  <r>
    <s v="CA-2015-168809"/>
    <x v="382"/>
    <d v="2015-08-25T00:00:00"/>
    <x v="3"/>
    <s v="MC-18100"/>
    <s v="Mick Crebagga"/>
    <x v="0"/>
    <s v="United States"/>
    <x v="6"/>
    <x v="5"/>
    <x v="3"/>
    <s v="FUR-FU-10001473"/>
    <s v="Furniture"/>
    <x v="3"/>
    <s v="Eldon Executive Woodline II Desk Accessories, Mahogany"/>
    <n v="20.103999999999999"/>
    <n v="2"/>
    <n v="0.6"/>
    <n v="-16.585799999999999"/>
    <x v="7"/>
    <x v="10"/>
  </r>
  <r>
    <s v="CA-2015-168809"/>
    <x v="382"/>
    <d v="2015-08-25T00:00:00"/>
    <x v="3"/>
    <s v="MC-18100"/>
    <s v="Mick Crebagga"/>
    <x v="0"/>
    <s v="United States"/>
    <x v="6"/>
    <x v="5"/>
    <x v="3"/>
    <s v="FUR-FU-10002240"/>
    <s v="Furniture"/>
    <x v="3"/>
    <s v="Nu-Dell EZ-Mount Plastic Wall Frames"/>
    <n v="7.88"/>
    <n v="5"/>
    <n v="0.6"/>
    <n v="-3.94"/>
    <x v="7"/>
    <x v="10"/>
  </r>
  <r>
    <s v="CA-2016-109827"/>
    <x v="683"/>
    <d v="2017-01-01T00:00:00"/>
    <x v="1"/>
    <s v="LW-16825"/>
    <s v="Laurel Workman"/>
    <x v="1"/>
    <s v="United States"/>
    <x v="43"/>
    <x v="22"/>
    <x v="1"/>
    <s v="FUR-TA-10002607"/>
    <s v="Furniture"/>
    <x v="2"/>
    <s v="KI Conference Tables"/>
    <n v="35.445"/>
    <n v="1"/>
    <n v="0.5"/>
    <n v="-24.102599999999999"/>
    <x v="1"/>
    <x v="5"/>
  </r>
  <r>
    <s v="CA-2016-109827"/>
    <x v="683"/>
    <d v="2017-01-01T00:00:00"/>
    <x v="1"/>
    <s v="LW-16825"/>
    <s v="Laurel Workman"/>
    <x v="1"/>
    <s v="United States"/>
    <x v="43"/>
    <x v="22"/>
    <x v="1"/>
    <s v="FUR-CH-10004754"/>
    <s v="Furniture"/>
    <x v="1"/>
    <s v="Global Stack Chair with Arms, Black"/>
    <n v="47.968000000000004"/>
    <n v="2"/>
    <n v="0.2"/>
    <n v="4.1971999999999996"/>
    <x v="1"/>
    <x v="5"/>
  </r>
  <r>
    <s v="CA-2015-128125"/>
    <x v="731"/>
    <d v="2015-04-05T00:00:00"/>
    <x v="1"/>
    <s v="EB-13705"/>
    <s v="Ed Braxton"/>
    <x v="1"/>
    <s v="United States"/>
    <x v="6"/>
    <x v="5"/>
    <x v="3"/>
    <s v="FUR-FU-10001085"/>
    <s v="Furniture"/>
    <x v="3"/>
    <s v="3M Polarizing Light Filter Sleeves"/>
    <n v="22.38"/>
    <n v="3"/>
    <n v="0.6"/>
    <n v="-7.8330000000000002"/>
    <x v="2"/>
    <x v="9"/>
  </r>
  <r>
    <s v="CA-2017-156237"/>
    <x v="732"/>
    <d v="2017-09-15T00:00:00"/>
    <x v="2"/>
    <s v="PS-18760"/>
    <s v="Pamela Stobb"/>
    <x v="0"/>
    <s v="United States"/>
    <x v="3"/>
    <x v="3"/>
    <x v="2"/>
    <s v="FUR-CH-10002372"/>
    <s v="Furniture"/>
    <x v="1"/>
    <s v="Office Star - Ergonomically Designed Knee Chair"/>
    <n v="113.372"/>
    <n v="2"/>
    <n v="0.3"/>
    <n v="-29.152799999999999"/>
    <x v="5"/>
    <x v="4"/>
  </r>
  <r>
    <s v="CA-2017-156237"/>
    <x v="732"/>
    <d v="2017-09-15T00:00:00"/>
    <x v="2"/>
    <s v="PS-18760"/>
    <s v="Pamela Stobb"/>
    <x v="0"/>
    <s v="United States"/>
    <x v="3"/>
    <x v="3"/>
    <x v="2"/>
    <s v="FUR-FU-10001057"/>
    <s v="Furniture"/>
    <x v="3"/>
    <s v="Tensor Track Tree Floor Lamp"/>
    <n v="127.93600000000001"/>
    <n v="8"/>
    <n v="0.2"/>
    <n v="4.7976000000000001"/>
    <x v="5"/>
    <x v="4"/>
  </r>
  <r>
    <s v="CA-2014-144414"/>
    <x v="733"/>
    <d v="2014-06-21T00:00:00"/>
    <x v="1"/>
    <s v="GH-14425"/>
    <s v="Gary Hwang"/>
    <x v="0"/>
    <s v="United States"/>
    <x v="15"/>
    <x v="13"/>
    <x v="1"/>
    <s v="FUR-FU-10003981"/>
    <s v="Furniture"/>
    <x v="3"/>
    <s v="Eldon Wave Desk Accessories"/>
    <n v="6.24"/>
    <n v="3"/>
    <n v="0"/>
    <n v="2.6208"/>
    <x v="4"/>
    <x v="2"/>
  </r>
  <r>
    <s v="CA-2017-163860"/>
    <x v="158"/>
    <d v="2018-01-01T00:00:00"/>
    <x v="1"/>
    <s v="LO-17170"/>
    <s v="Lori Olson"/>
    <x v="1"/>
    <s v="United States"/>
    <x v="117"/>
    <x v="8"/>
    <x v="3"/>
    <s v="FUR-FU-10004586"/>
    <s v="Furniture"/>
    <x v="3"/>
    <s v="G.E. Longer-Life Indoor Recessed Floodlight Bulbs"/>
    <n v="7.968"/>
    <n v="3"/>
    <n v="0.6"/>
    <n v="-2.3904000000000001"/>
    <x v="4"/>
    <x v="5"/>
  </r>
  <r>
    <s v="CA-2017-163860"/>
    <x v="158"/>
    <d v="2018-01-01T00:00:00"/>
    <x v="1"/>
    <s v="LO-17170"/>
    <s v="Lori Olson"/>
    <x v="1"/>
    <s v="United States"/>
    <x v="117"/>
    <x v="8"/>
    <x v="3"/>
    <s v="FUR-CH-10004698"/>
    <s v="Furniture"/>
    <x v="1"/>
    <s v="Padded Folding Chairs, Black, 4/Carton"/>
    <n v="113.372"/>
    <n v="2"/>
    <n v="0.3"/>
    <n v="-3.2391999999999999"/>
    <x v="4"/>
    <x v="5"/>
  </r>
  <r>
    <s v="CA-2017-163860"/>
    <x v="158"/>
    <d v="2018-01-01T00:00:00"/>
    <x v="1"/>
    <s v="LO-17170"/>
    <s v="Lori Olson"/>
    <x v="1"/>
    <s v="United States"/>
    <x v="117"/>
    <x v="8"/>
    <x v="3"/>
    <s v="FUR-FU-10001935"/>
    <s v="Furniture"/>
    <x v="3"/>
    <s v="3M Hangers With Command Adhesive"/>
    <n v="2.96"/>
    <n v="2"/>
    <n v="0.6"/>
    <n v="-1.4059999999999999"/>
    <x v="4"/>
    <x v="5"/>
  </r>
  <r>
    <s v="CA-2015-154291"/>
    <x v="396"/>
    <d v="2015-07-29T00:00:00"/>
    <x v="1"/>
    <s v="YS-21880"/>
    <s v="Yana Sorensen"/>
    <x v="1"/>
    <s v="United States"/>
    <x v="132"/>
    <x v="33"/>
    <x v="0"/>
    <s v="FUR-TA-10002041"/>
    <s v="Furniture"/>
    <x v="2"/>
    <s v="Bevis Round Conference Table Top, X-Base"/>
    <n v="358.58"/>
    <n v="2"/>
    <n v="0"/>
    <n v="39.443800000000003"/>
    <x v="4"/>
    <x v="3"/>
  </r>
  <r>
    <s v="CA-2016-153101"/>
    <x v="63"/>
    <d v="2016-09-08T00:00:00"/>
    <x v="3"/>
    <s v="PJ-19015"/>
    <s v="Pauline Johnson"/>
    <x v="0"/>
    <s v="United States"/>
    <x v="72"/>
    <x v="2"/>
    <x v="1"/>
    <s v="FUR-TA-10003008"/>
    <s v="Furniture"/>
    <x v="2"/>
    <s v="Lesro Round Back Collection Coffee Table, End Table"/>
    <n v="146.04"/>
    <n v="1"/>
    <n v="0.2"/>
    <n v="-12.778499999999999"/>
    <x v="7"/>
    <x v="4"/>
  </r>
  <r>
    <s v="CA-2017-142643"/>
    <x v="487"/>
    <d v="2017-10-20T00:00:00"/>
    <x v="1"/>
    <s v="DL-13495"/>
    <s v="Dionis Lloyd"/>
    <x v="1"/>
    <s v="United States"/>
    <x v="310"/>
    <x v="2"/>
    <x v="1"/>
    <s v="FUR-FU-10000087"/>
    <s v="Furniture"/>
    <x v="3"/>
    <s v="Executive Impressions 14&quot; Two-Color Numerals Wall Clock"/>
    <n v="22.72"/>
    <n v="1"/>
    <n v="0"/>
    <n v="9.3152000000000008"/>
    <x v="2"/>
    <x v="1"/>
  </r>
  <r>
    <s v="CA-2016-123946"/>
    <x v="51"/>
    <d v="2016-09-17T00:00:00"/>
    <x v="1"/>
    <s v="AJ-10795"/>
    <s v="Anthony Johnson"/>
    <x v="1"/>
    <s v="United States"/>
    <x v="76"/>
    <x v="25"/>
    <x v="0"/>
    <s v="FUR-CH-10002073"/>
    <s v="Furniture"/>
    <x v="1"/>
    <s v="Hon Olson Stacker Chairs"/>
    <n v="1059.1199999999999"/>
    <n v="4"/>
    <n v="0"/>
    <n v="307.14479999999998"/>
    <x v="2"/>
    <x v="4"/>
  </r>
  <r>
    <s v="CA-2014-147543"/>
    <x v="734"/>
    <d v="2014-07-12T00:00:00"/>
    <x v="1"/>
    <s v="BC-11125"/>
    <s v="Becky Castell"/>
    <x v="2"/>
    <s v="United States"/>
    <x v="311"/>
    <x v="2"/>
    <x v="1"/>
    <s v="FUR-CH-10000155"/>
    <s v="Furniture"/>
    <x v="1"/>
    <s v="Global Comet Stacking Armless Chair"/>
    <n v="478.48"/>
    <n v="2"/>
    <n v="0.2"/>
    <n v="47.847999999999999"/>
    <x v="6"/>
    <x v="3"/>
  </r>
  <r>
    <s v="CA-2014-101462"/>
    <x v="607"/>
    <d v="2014-04-25T00:00:00"/>
    <x v="1"/>
    <s v="BP-11230"/>
    <s v="Benjamin Patterson"/>
    <x v="0"/>
    <s v="United States"/>
    <x v="2"/>
    <x v="2"/>
    <x v="1"/>
    <s v="FUR-FU-10000409"/>
    <s v="Furniture"/>
    <x v="3"/>
    <s v="GE 4 Foot Flourescent Tube, 40 Watt"/>
    <n v="59.92"/>
    <n v="4"/>
    <n v="0"/>
    <n v="27.563199999999998"/>
    <x v="2"/>
    <x v="6"/>
  </r>
  <r>
    <s v="US-2016-100461"/>
    <x v="735"/>
    <d v="2016-01-12T00:00:00"/>
    <x v="1"/>
    <s v="JO-15145"/>
    <s v="Jack O'Briant"/>
    <x v="1"/>
    <s v="United States"/>
    <x v="20"/>
    <x v="16"/>
    <x v="3"/>
    <s v="FUR-BO-10002545"/>
    <s v="Furniture"/>
    <x v="0"/>
    <s v="Atlantic Metals Mobile 3-Shelf Bookcases, Custom Colors"/>
    <n v="1565.88"/>
    <n v="6"/>
    <n v="0"/>
    <n v="407.12880000000001"/>
    <x v="4"/>
    <x v="8"/>
  </r>
  <r>
    <s v="CA-2017-128965"/>
    <x v="452"/>
    <d v="2017-04-22T00:00:00"/>
    <x v="1"/>
    <s v="PS-18760"/>
    <s v="Pamela Stobb"/>
    <x v="0"/>
    <s v="United States"/>
    <x v="2"/>
    <x v="2"/>
    <x v="1"/>
    <s v="FUR-CH-10003774"/>
    <s v="Furniture"/>
    <x v="1"/>
    <s v="Global Wood Trimmed Manager's Task Chair, Khaki"/>
    <n v="218.352"/>
    <n v="3"/>
    <n v="0.2"/>
    <n v="-19.105799999999999"/>
    <x v="2"/>
    <x v="6"/>
  </r>
  <r>
    <s v="US-2016-126452"/>
    <x v="650"/>
    <d v="2016-08-28T00:00:00"/>
    <x v="1"/>
    <s v="SC-20230"/>
    <s v="Scot Coram"/>
    <x v="1"/>
    <s v="United States"/>
    <x v="2"/>
    <x v="2"/>
    <x v="1"/>
    <s v="FUR-TA-10003569"/>
    <s v="Furniture"/>
    <x v="2"/>
    <s v="Bretford CR8500 Series Meeting Room Furniture"/>
    <n v="2887.056"/>
    <n v="9"/>
    <n v="0.2"/>
    <n v="180.441"/>
    <x v="1"/>
    <x v="10"/>
  </r>
  <r>
    <s v="US-2016-121013"/>
    <x v="26"/>
    <d v="2016-09-10T00:00:00"/>
    <x v="1"/>
    <s v="MM-17920"/>
    <s v="Michael Moore"/>
    <x v="0"/>
    <s v="United States"/>
    <x v="180"/>
    <x v="25"/>
    <x v="0"/>
    <s v="FUR-TA-10003238"/>
    <s v="Furniture"/>
    <x v="2"/>
    <s v="Chromcraft Bull-Nose Wood 48&quot; x 96&quot; Rectangular Conference Tables"/>
    <n v="1652.94"/>
    <n v="3"/>
    <n v="0"/>
    <n v="314.05860000000001"/>
    <x v="2"/>
    <x v="4"/>
  </r>
  <r>
    <s v="US-2015-123918"/>
    <x v="233"/>
    <d v="2015-10-15T00:00:00"/>
    <x v="3"/>
    <s v="CG-12520"/>
    <s v="Claire Gute"/>
    <x v="0"/>
    <s v="United States"/>
    <x v="144"/>
    <x v="5"/>
    <x v="3"/>
    <s v="FUR-FU-10004952"/>
    <s v="Furniture"/>
    <x v="3"/>
    <s v="C-Line Cubicle Keepers Polyproplyene Holder w/Velcro Back, 8-1/2x11, 25/Bx"/>
    <n v="131.376"/>
    <n v="6"/>
    <n v="0.6"/>
    <n v="-95.247600000000006"/>
    <x v="7"/>
    <x v="1"/>
  </r>
  <r>
    <s v="CA-2015-137113"/>
    <x v="239"/>
    <d v="2015-12-05T00:00:00"/>
    <x v="0"/>
    <s v="TW-21025"/>
    <s v="Tamara Willingham"/>
    <x v="2"/>
    <s v="United States"/>
    <x v="15"/>
    <x v="13"/>
    <x v="1"/>
    <s v="FUR-CH-10001215"/>
    <s v="Furniture"/>
    <x v="1"/>
    <s v="Global Troy Executive Leather Low-Back Tilter"/>
    <n v="2003.92"/>
    <n v="5"/>
    <n v="0.2"/>
    <n v="125.245"/>
    <x v="4"/>
    <x v="5"/>
  </r>
  <r>
    <s v="CA-2015-137113"/>
    <x v="239"/>
    <d v="2015-12-05T00:00:00"/>
    <x v="0"/>
    <s v="TW-21025"/>
    <s v="Tamara Willingham"/>
    <x v="2"/>
    <s v="United States"/>
    <x v="15"/>
    <x v="13"/>
    <x v="1"/>
    <s v="FUR-TA-10001705"/>
    <s v="Furniture"/>
    <x v="2"/>
    <s v="Bush Advantage Collection Round Conference Table"/>
    <n v="1913.4"/>
    <n v="9"/>
    <n v="0"/>
    <n v="401.81400000000002"/>
    <x v="4"/>
    <x v="5"/>
  </r>
  <r>
    <s v="CA-2015-120677"/>
    <x v="151"/>
    <d v="2015-06-04T00:00:00"/>
    <x v="1"/>
    <s v="BD-11320"/>
    <s v="Bill Donatelli"/>
    <x v="0"/>
    <s v="United States"/>
    <x v="12"/>
    <x v="11"/>
    <x v="3"/>
    <s v="FUR-CH-10002320"/>
    <s v="Furniture"/>
    <x v="1"/>
    <s v="Hon Pagoda Stacking Chairs"/>
    <n v="2567.84"/>
    <n v="8"/>
    <n v="0"/>
    <n v="770.35199999999998"/>
    <x v="4"/>
    <x v="7"/>
  </r>
  <r>
    <s v="CA-2017-164756"/>
    <x v="510"/>
    <d v="2017-09-22T00:00:00"/>
    <x v="1"/>
    <s v="SS-20140"/>
    <s v="Saphhira Shifley"/>
    <x v="1"/>
    <s v="United States"/>
    <x v="29"/>
    <x v="24"/>
    <x v="0"/>
    <s v="FUR-FU-10002963"/>
    <s v="Furniture"/>
    <x v="3"/>
    <s v="Master Caster Door Stop, Gray"/>
    <n v="20.32"/>
    <n v="4"/>
    <n v="0"/>
    <n v="6.9088000000000003"/>
    <x v="4"/>
    <x v="4"/>
  </r>
  <r>
    <s v="US-2015-165512"/>
    <x v="736"/>
    <d v="2015-05-26T00:00:00"/>
    <x v="0"/>
    <s v="VS-21820"/>
    <s v="Vivek Sundaresam"/>
    <x v="0"/>
    <s v="United States"/>
    <x v="312"/>
    <x v="8"/>
    <x v="3"/>
    <s v="FUR-CH-10002880"/>
    <s v="Furniture"/>
    <x v="1"/>
    <s v="Global High-Back Leather Tilter, Burgundy"/>
    <n v="602.65099999999995"/>
    <n v="7"/>
    <n v="0.3"/>
    <n v="-163.57669999999999"/>
    <x v="3"/>
    <x v="7"/>
  </r>
  <r>
    <s v="US-2017-135503"/>
    <x v="247"/>
    <d v="2017-12-15T00:00:00"/>
    <x v="1"/>
    <s v="JE-16165"/>
    <s v="Justin Ellison"/>
    <x v="1"/>
    <s v="United States"/>
    <x v="313"/>
    <x v="10"/>
    <x v="0"/>
    <s v="FUR-FU-10002364"/>
    <s v="Furniture"/>
    <x v="3"/>
    <s v="Eldon Expressions Wood Desk Accessories, Oak"/>
    <n v="14.76"/>
    <n v="2"/>
    <n v="0"/>
    <n v="4.2804000000000002"/>
    <x v="2"/>
    <x v="5"/>
  </r>
  <r>
    <s v="US-2017-115301"/>
    <x v="605"/>
    <d v="2017-08-02T00:00:00"/>
    <x v="1"/>
    <s v="VG-21790"/>
    <s v="Vivek Gonzalez"/>
    <x v="0"/>
    <s v="United States"/>
    <x v="15"/>
    <x v="13"/>
    <x v="1"/>
    <s v="FUR-BO-10004709"/>
    <s v="Furniture"/>
    <x v="0"/>
    <s v="Bush Westfield Collection Bookcases, Medium Cherry Finish"/>
    <n v="115.96"/>
    <n v="2"/>
    <n v="0"/>
    <n v="25.511199999999999"/>
    <x v="4"/>
    <x v="3"/>
  </r>
  <r>
    <s v="CA-2014-124247"/>
    <x v="439"/>
    <d v="2014-12-21T00:00:00"/>
    <x v="1"/>
    <s v="SH-20635"/>
    <s v="Stefanie Holloman"/>
    <x v="1"/>
    <s v="United States"/>
    <x v="155"/>
    <x v="2"/>
    <x v="1"/>
    <s v="FUR-CH-10001854"/>
    <s v="Furniture"/>
    <x v="1"/>
    <s v="Office Star - Professional Matrix Back Chair with 2-to-1 Synchro Tilt and Mesh Fabric Seat"/>
    <n v="1403.92"/>
    <n v="5"/>
    <n v="0.2"/>
    <n v="70.195999999999998"/>
    <x v="2"/>
    <x v="5"/>
  </r>
  <r>
    <s v="CA-2015-137925"/>
    <x v="737"/>
    <d v="2015-12-04T00:00:00"/>
    <x v="1"/>
    <s v="JL-15235"/>
    <s v="Janet Lee"/>
    <x v="0"/>
    <s v="United States"/>
    <x v="13"/>
    <x v="7"/>
    <x v="2"/>
    <s v="FUR-BO-10001608"/>
    <s v="Furniture"/>
    <x v="0"/>
    <s v="Hon Metal Bookcases, Black"/>
    <n v="681.40800000000002"/>
    <n v="12"/>
    <n v="0.2"/>
    <n v="42.588000000000001"/>
    <x v="4"/>
    <x v="0"/>
  </r>
  <r>
    <s v="CA-2014-164182"/>
    <x v="738"/>
    <d v="2014-07-18T00:00:00"/>
    <x v="1"/>
    <s v="ST-20530"/>
    <s v="Shui Tom"/>
    <x v="0"/>
    <s v="United States"/>
    <x v="3"/>
    <x v="3"/>
    <x v="2"/>
    <s v="FUR-FU-10001057"/>
    <s v="Furniture"/>
    <x v="3"/>
    <s v="Tensor Track Tree Floor Lamp"/>
    <n v="31.984000000000002"/>
    <n v="2"/>
    <n v="0.2"/>
    <n v="1.1994"/>
    <x v="4"/>
    <x v="3"/>
  </r>
  <r>
    <s v="CA-2016-129847"/>
    <x v="227"/>
    <d v="2016-09-04T00:00:00"/>
    <x v="2"/>
    <s v="TA-21385"/>
    <s v="Tom Ashbrook"/>
    <x v="2"/>
    <s v="United States"/>
    <x v="9"/>
    <x v="8"/>
    <x v="3"/>
    <s v="FUR-FU-10000277"/>
    <s v="Furniture"/>
    <x v="3"/>
    <s v="Deflect-o DuraMat Antistatic Studded Beveled Mat for Medium Pile Carpeting"/>
    <n v="84.272000000000006"/>
    <n v="2"/>
    <n v="0.6"/>
    <n v="-75.844800000000006"/>
    <x v="3"/>
    <x v="4"/>
  </r>
  <r>
    <s v="CA-2016-106243"/>
    <x v="739"/>
    <d v="2016-10-04T00:00:00"/>
    <x v="1"/>
    <s v="GM-14680"/>
    <s v="Greg Matthias"/>
    <x v="0"/>
    <s v="United States"/>
    <x v="13"/>
    <x v="7"/>
    <x v="2"/>
    <s v="FUR-BO-10003034"/>
    <s v="Furniture"/>
    <x v="0"/>
    <s v="O'Sullivan Elevations Bookcase, Cherry Finish"/>
    <n v="523.91999999999996"/>
    <n v="5"/>
    <n v="0.2"/>
    <n v="-26.196000000000002"/>
    <x v="4"/>
    <x v="4"/>
  </r>
  <r>
    <s v="CA-2015-130365"/>
    <x v="740"/>
    <d v="2015-04-29T00:00:00"/>
    <x v="1"/>
    <s v="ZC-21910"/>
    <s v="Zuschuss Carroll"/>
    <x v="0"/>
    <s v="United States"/>
    <x v="14"/>
    <x v="8"/>
    <x v="3"/>
    <s v="FUR-CH-10003535"/>
    <s v="Furniture"/>
    <x v="1"/>
    <s v="Global Armless Task Chair, Royal Blue"/>
    <n v="128.05799999999999"/>
    <n v="3"/>
    <n v="0.3"/>
    <n v="-23.7822"/>
    <x v="4"/>
    <x v="6"/>
  </r>
  <r>
    <s v="CA-2017-143021"/>
    <x v="49"/>
    <d v="2017-11-19T00:00:00"/>
    <x v="3"/>
    <s v="AP-10720"/>
    <s v="Anne Pryor"/>
    <x v="2"/>
    <s v="United States"/>
    <x v="13"/>
    <x v="7"/>
    <x v="2"/>
    <s v="FUR-TA-10001676"/>
    <s v="Furniture"/>
    <x v="2"/>
    <s v="Hon 61000 Series Interactive Training Tables"/>
    <n v="79.974000000000004"/>
    <n v="3"/>
    <n v="0.4"/>
    <n v="-29.323799999999999"/>
    <x v="7"/>
    <x v="0"/>
  </r>
  <r>
    <s v="CA-2016-157588"/>
    <x v="197"/>
    <d v="2016-07-19T00:00:00"/>
    <x v="1"/>
    <s v="AR-10570"/>
    <s v="Anemone Ratner"/>
    <x v="0"/>
    <s v="United States"/>
    <x v="29"/>
    <x v="24"/>
    <x v="0"/>
    <s v="FUR-FU-10004848"/>
    <s v="Furniture"/>
    <x v="3"/>
    <s v="Howard Miller 13-3/4&quot; Diameter Brushed Chrome Round Wall Clock"/>
    <n v="51.75"/>
    <n v="1"/>
    <n v="0"/>
    <n v="15.525"/>
    <x v="2"/>
    <x v="3"/>
  </r>
  <r>
    <s v="CA-2016-163937"/>
    <x v="579"/>
    <d v="2016-01-13T00:00:00"/>
    <x v="0"/>
    <s v="JB-16000"/>
    <s v="Joy Bell-"/>
    <x v="0"/>
    <s v="United States"/>
    <x v="314"/>
    <x v="13"/>
    <x v="1"/>
    <s v="FUR-FU-10000010"/>
    <s v="Furniture"/>
    <x v="3"/>
    <s v="DAX Value U-Channel Document Frames, Easel Back"/>
    <n v="24.85"/>
    <n v="5"/>
    <n v="0"/>
    <n v="7.7035"/>
    <x v="0"/>
    <x v="8"/>
  </r>
  <r>
    <s v="CA-2015-112144"/>
    <x v="741"/>
    <d v="2015-07-02T00:00:00"/>
    <x v="1"/>
    <s v="CY-12745"/>
    <s v="Craig Yedwab"/>
    <x v="1"/>
    <s v="United States"/>
    <x v="171"/>
    <x v="22"/>
    <x v="1"/>
    <s v="FUR-FU-10004306"/>
    <s v="Furniture"/>
    <x v="3"/>
    <s v="Electrix Halogen Magnifier Lamp"/>
    <n v="621.76"/>
    <n v="4"/>
    <n v="0.2"/>
    <n v="46.631999999999998"/>
    <x v="4"/>
    <x v="2"/>
  </r>
  <r>
    <s v="CA-2015-109386"/>
    <x v="428"/>
    <d v="2015-11-13T00:00:00"/>
    <x v="0"/>
    <s v="RH-19600"/>
    <s v="Rob Haberlin"/>
    <x v="0"/>
    <s v="United States"/>
    <x v="247"/>
    <x v="25"/>
    <x v="0"/>
    <s v="FUR-FU-10000308"/>
    <s v="Furniture"/>
    <x v="3"/>
    <s v="Deflect-o Glass Clear Studded Chair Mats"/>
    <n v="186.54"/>
    <n v="3"/>
    <n v="0"/>
    <n v="41.038800000000002"/>
    <x v="2"/>
    <x v="0"/>
  </r>
  <r>
    <s v="CA-2015-104871"/>
    <x v="742"/>
    <d v="2015-04-03T00:00:00"/>
    <x v="1"/>
    <s v="DR-12940"/>
    <s v="Daniel Raglin"/>
    <x v="2"/>
    <s v="United States"/>
    <x v="315"/>
    <x v="8"/>
    <x v="3"/>
    <s v="FUR-CH-10003298"/>
    <s v="Furniture"/>
    <x v="1"/>
    <s v="Office Star - Contemporary Task Swivel chair with Loop Arms, Charcoal"/>
    <n v="366.74400000000003"/>
    <n v="4"/>
    <n v="0.3"/>
    <n v="-110.0232"/>
    <x v="4"/>
    <x v="9"/>
  </r>
  <r>
    <s v="CA-2014-133158"/>
    <x v="532"/>
    <d v="2014-08-21T00:00:00"/>
    <x v="0"/>
    <s v="DW-13195"/>
    <s v="David Wiener"/>
    <x v="1"/>
    <s v="United States"/>
    <x v="2"/>
    <x v="2"/>
    <x v="1"/>
    <s v="FUR-FU-10000723"/>
    <s v="Furniture"/>
    <x v="3"/>
    <s v="Deflect-o EconoMat Studded, No Bevel Mat for Low Pile Carpeting"/>
    <n v="289.24"/>
    <n v="7"/>
    <n v="0"/>
    <n v="26.031600000000001"/>
    <x v="3"/>
    <x v="10"/>
  </r>
  <r>
    <s v="CA-2015-141740"/>
    <x v="341"/>
    <d v="2015-11-05T00:00:00"/>
    <x v="1"/>
    <s v="JF-15490"/>
    <s v="Jeremy Farry"/>
    <x v="0"/>
    <s v="United States"/>
    <x v="13"/>
    <x v="7"/>
    <x v="2"/>
    <s v="FUR-CH-10001545"/>
    <s v="Furniture"/>
    <x v="1"/>
    <s v="Hon Comfortask Task/Swivel Chairs"/>
    <n v="205.16399999999999"/>
    <n v="2"/>
    <n v="0.1"/>
    <n v="13.6776"/>
    <x v="4"/>
    <x v="0"/>
  </r>
  <r>
    <s v="CA-2014-119466"/>
    <x v="256"/>
    <d v="2014-12-21T00:00:00"/>
    <x v="1"/>
    <s v="SP-20860"/>
    <s v="Sung Pak"/>
    <x v="1"/>
    <s v="United States"/>
    <x v="9"/>
    <x v="8"/>
    <x v="3"/>
    <s v="FUR-FU-10001546"/>
    <s v="Furniture"/>
    <x v="3"/>
    <s v="Dana Swing-Arm Lamps"/>
    <n v="8.5440000000000005"/>
    <n v="2"/>
    <n v="0.6"/>
    <n v="-7.476"/>
    <x v="6"/>
    <x v="5"/>
  </r>
  <r>
    <s v="CA-2015-154823"/>
    <x v="130"/>
    <d v="2015-08-25T00:00:00"/>
    <x v="1"/>
    <s v="KN-16390"/>
    <s v="Katherine Nockton"/>
    <x v="1"/>
    <s v="United States"/>
    <x v="76"/>
    <x v="15"/>
    <x v="2"/>
    <s v="FUR-CH-10003379"/>
    <s v="Furniture"/>
    <x v="1"/>
    <s v="Global Commerce Series High-Back Swivel/Tilt Chairs"/>
    <n v="598.45799999999997"/>
    <n v="3"/>
    <n v="0.3"/>
    <n v="-42.747"/>
    <x v="4"/>
    <x v="10"/>
  </r>
  <r>
    <s v="CA-2015-154823"/>
    <x v="130"/>
    <d v="2015-08-25T00:00:00"/>
    <x v="1"/>
    <s v="KN-16390"/>
    <s v="Katherine Nockton"/>
    <x v="1"/>
    <s v="United States"/>
    <x v="76"/>
    <x v="15"/>
    <x v="2"/>
    <s v="FUR-FU-10000193"/>
    <s v="Furniture"/>
    <x v="3"/>
    <s v="Tenex Chairmats For Use with Hard Floors"/>
    <n v="25.984000000000002"/>
    <n v="1"/>
    <n v="0.2"/>
    <n v="-3.8976000000000002"/>
    <x v="4"/>
    <x v="10"/>
  </r>
  <r>
    <s v="CA-2017-141201"/>
    <x v="13"/>
    <d v="2017-12-11T00:00:00"/>
    <x v="0"/>
    <s v="DB-12910"/>
    <s v="Daniel Byrd"/>
    <x v="2"/>
    <s v="United States"/>
    <x v="316"/>
    <x v="2"/>
    <x v="1"/>
    <s v="FUR-BO-10001519"/>
    <s v="Furniture"/>
    <x v="0"/>
    <s v="O'Sullivan 3-Shelf Heavy-Duty Bookcases"/>
    <n v="148.25700000000001"/>
    <n v="3"/>
    <n v="0.15"/>
    <n v="15.697800000000001"/>
    <x v="3"/>
    <x v="5"/>
  </r>
  <r>
    <s v="CA-2014-124737"/>
    <x v="743"/>
    <d v="2014-08-27T00:00:00"/>
    <x v="1"/>
    <s v="AP-10915"/>
    <s v="Arthur Prichep"/>
    <x v="0"/>
    <s v="United States"/>
    <x v="22"/>
    <x v="12"/>
    <x v="1"/>
    <s v="FUR-FU-10003274"/>
    <s v="Furniture"/>
    <x v="3"/>
    <s v="Regeneration Desk Collection"/>
    <n v="4.2240000000000002"/>
    <n v="3"/>
    <n v="0.2"/>
    <n v="1.2672000000000001"/>
    <x v="4"/>
    <x v="10"/>
  </r>
  <r>
    <s v="CA-2016-145548"/>
    <x v="367"/>
    <d v="2016-11-16T00:00:00"/>
    <x v="1"/>
    <s v="EB-13750"/>
    <s v="Edward Becker"/>
    <x v="1"/>
    <s v="United States"/>
    <x v="13"/>
    <x v="7"/>
    <x v="2"/>
    <s v="FUR-CH-10003774"/>
    <s v="Furniture"/>
    <x v="1"/>
    <s v="Global Wood Trimmed Manager's Task Chair, Khaki"/>
    <n v="245.64599999999999"/>
    <n v="3"/>
    <n v="0.1"/>
    <n v="8.1882000000000001"/>
    <x v="2"/>
    <x v="0"/>
  </r>
  <r>
    <s v="CA-2017-119494"/>
    <x v="17"/>
    <d v="2017-11-13T00:00:00"/>
    <x v="1"/>
    <s v="JE-15610"/>
    <s v="Jim Epp"/>
    <x v="1"/>
    <s v="United States"/>
    <x v="53"/>
    <x v="2"/>
    <x v="1"/>
    <s v="FUR-CH-10004675"/>
    <s v="Furniture"/>
    <x v="1"/>
    <s v="Lifetime Advantage Folding Chairs, 4/Carton"/>
    <n v="523.39200000000005"/>
    <n v="3"/>
    <n v="0.2"/>
    <n v="52.339199999999998"/>
    <x v="4"/>
    <x v="0"/>
  </r>
  <r>
    <s v="CA-2017-103443"/>
    <x v="430"/>
    <d v="2017-12-23T00:00:00"/>
    <x v="1"/>
    <s v="AT-10735"/>
    <s v="Annie Thurman"/>
    <x v="0"/>
    <s v="United States"/>
    <x v="13"/>
    <x v="7"/>
    <x v="2"/>
    <s v="FUR-FU-10000308"/>
    <s v="Furniture"/>
    <x v="3"/>
    <s v="Deflect-o Glass Clear Studded Chair Mats"/>
    <n v="124.36"/>
    <n v="2"/>
    <n v="0"/>
    <n v="27.359200000000001"/>
    <x v="6"/>
    <x v="5"/>
  </r>
  <r>
    <s v="US-2017-165358"/>
    <x v="511"/>
    <d v="2017-07-23T00:00:00"/>
    <x v="1"/>
    <s v="SV-20365"/>
    <s v="Seth Vernon"/>
    <x v="0"/>
    <s v="United States"/>
    <x v="3"/>
    <x v="3"/>
    <x v="2"/>
    <s v="FUR-CH-10002647"/>
    <s v="Furniture"/>
    <x v="1"/>
    <s v="Situations Contoured Folding Chairs, 4/Set"/>
    <n v="198.744"/>
    <n v="4"/>
    <n v="0.3"/>
    <n v="-14.196"/>
    <x v="2"/>
    <x v="3"/>
  </r>
  <r>
    <s v="CA-2014-150581"/>
    <x v="676"/>
    <d v="2014-04-12T00:00:00"/>
    <x v="1"/>
    <s v="NM-18445"/>
    <s v="Nathan Mautz"/>
    <x v="2"/>
    <s v="United States"/>
    <x v="41"/>
    <x v="2"/>
    <x v="1"/>
    <s v="FUR-TA-10003748"/>
    <s v="Furniture"/>
    <x v="2"/>
    <s v="Bevis 36 x 72 Conference Tables"/>
    <n v="99.591999999999999"/>
    <n v="1"/>
    <n v="0.2"/>
    <n v="2.4897999999999998"/>
    <x v="4"/>
    <x v="6"/>
  </r>
  <r>
    <s v="CA-2016-165330"/>
    <x v="106"/>
    <d v="2016-12-11T00:00:00"/>
    <x v="3"/>
    <s v="WB-21850"/>
    <s v="William Brown"/>
    <x v="0"/>
    <s v="United States"/>
    <x v="261"/>
    <x v="2"/>
    <x v="1"/>
    <s v="FUR-CH-10003774"/>
    <s v="Furniture"/>
    <x v="1"/>
    <s v="Global Wood Trimmed Manager's Task Chair, Khaki"/>
    <n v="363.92"/>
    <n v="5"/>
    <n v="0.2"/>
    <n v="-31.843"/>
    <x v="7"/>
    <x v="5"/>
  </r>
  <r>
    <s v="CA-2016-165330"/>
    <x v="106"/>
    <d v="2016-12-11T00:00:00"/>
    <x v="3"/>
    <s v="WB-21850"/>
    <s v="William Brown"/>
    <x v="0"/>
    <s v="United States"/>
    <x v="261"/>
    <x v="2"/>
    <x v="1"/>
    <s v="FUR-TA-10004619"/>
    <s v="Furniture"/>
    <x v="2"/>
    <s v="Hon Non-Folding Utility Tables"/>
    <n v="892.13599999999997"/>
    <n v="7"/>
    <n v="0.2"/>
    <n v="111.517"/>
    <x v="7"/>
    <x v="5"/>
  </r>
  <r>
    <s v="CA-2016-106950"/>
    <x v="227"/>
    <d v="2016-09-06T00:00:00"/>
    <x v="1"/>
    <s v="JE-15715"/>
    <s v="Joe Elijah"/>
    <x v="0"/>
    <s v="United States"/>
    <x v="127"/>
    <x v="30"/>
    <x v="0"/>
    <s v="FUR-TA-10001768"/>
    <s v="Furniture"/>
    <x v="2"/>
    <s v="Hon Racetrack Conference Tables"/>
    <n v="472.51799999999997"/>
    <n v="3"/>
    <n v="0.4"/>
    <n v="-149.63069999999999"/>
    <x v="4"/>
    <x v="4"/>
  </r>
  <r>
    <s v="CA-2017-128944"/>
    <x v="744"/>
    <d v="2017-06-21T00:00:00"/>
    <x v="0"/>
    <s v="KH-16330"/>
    <s v="Katharine Harms"/>
    <x v="1"/>
    <s v="United States"/>
    <x v="19"/>
    <x v="15"/>
    <x v="2"/>
    <s v="FUR-CH-10000785"/>
    <s v="Furniture"/>
    <x v="1"/>
    <s v="Global Ergonomic Managers Chair"/>
    <n v="760.11599999999999"/>
    <n v="6"/>
    <n v="0.3"/>
    <n v="-43.435200000000002"/>
    <x v="3"/>
    <x v="2"/>
  </r>
  <r>
    <s v="CA-2017-128944"/>
    <x v="744"/>
    <d v="2017-06-21T00:00:00"/>
    <x v="0"/>
    <s v="KH-16330"/>
    <s v="Katharine Harms"/>
    <x v="1"/>
    <s v="United States"/>
    <x v="19"/>
    <x v="15"/>
    <x v="2"/>
    <s v="FUR-FU-10004909"/>
    <s v="Furniture"/>
    <x v="3"/>
    <s v="Contemporary Wood/Metal Frame"/>
    <n v="38.783999999999999"/>
    <n v="3"/>
    <n v="0.2"/>
    <n v="7.2720000000000002"/>
    <x v="3"/>
    <x v="2"/>
  </r>
  <r>
    <s v="US-2016-102239"/>
    <x v="399"/>
    <d v="2016-05-06T00:00:00"/>
    <x v="2"/>
    <s v="LW-16990"/>
    <s v="Lindsay Williams"/>
    <x v="1"/>
    <s v="United States"/>
    <x v="0"/>
    <x v="34"/>
    <x v="1"/>
    <s v="FUR-TA-10003392"/>
    <s v="Furniture"/>
    <x v="2"/>
    <s v="Global Adaptabilities Conference Tables"/>
    <n v="1685.88"/>
    <n v="6"/>
    <n v="0"/>
    <n v="320.31720000000001"/>
    <x v="5"/>
    <x v="7"/>
  </r>
  <r>
    <s v="CA-2017-166926"/>
    <x v="451"/>
    <d v="2017-12-08T00:00:00"/>
    <x v="1"/>
    <s v="SO-20335"/>
    <s v="Sean O'Donnell"/>
    <x v="0"/>
    <s v="United States"/>
    <x v="15"/>
    <x v="13"/>
    <x v="1"/>
    <s v="FUR-BO-10002598"/>
    <s v="Furniture"/>
    <x v="0"/>
    <s v="Hon Metal Bookcases, Putty"/>
    <n v="141.96"/>
    <n v="2"/>
    <n v="0"/>
    <n v="41.168399999999998"/>
    <x v="1"/>
    <x v="5"/>
  </r>
  <r>
    <s v="CA-2015-128013"/>
    <x v="38"/>
    <d v="2015-08-16T00:00:00"/>
    <x v="1"/>
    <s v="MF-18250"/>
    <s v="Monica Federle"/>
    <x v="1"/>
    <s v="United States"/>
    <x v="13"/>
    <x v="7"/>
    <x v="2"/>
    <s v="FUR-FU-10000320"/>
    <s v="Furniture"/>
    <x v="3"/>
    <s v="OIC Stacking Trays"/>
    <n v="10.02"/>
    <n v="3"/>
    <n v="0"/>
    <n v="4.4088000000000003"/>
    <x v="1"/>
    <x v="10"/>
  </r>
  <r>
    <s v="US-2016-117541"/>
    <x v="566"/>
    <d v="2016-11-20T00:00:00"/>
    <x v="1"/>
    <s v="JM-16195"/>
    <s v="Justin MacKendrick"/>
    <x v="0"/>
    <s v="United States"/>
    <x v="19"/>
    <x v="14"/>
    <x v="2"/>
    <s v="FUR-FU-10000550"/>
    <s v="Furniture"/>
    <x v="3"/>
    <s v="Stacking Trays by OIC"/>
    <n v="19.920000000000002"/>
    <n v="4"/>
    <n v="0"/>
    <n v="6.5735999999999999"/>
    <x v="6"/>
    <x v="0"/>
  </r>
  <r>
    <s v="CA-2017-141439"/>
    <x v="83"/>
    <d v="2017-12-01T00:00:00"/>
    <x v="1"/>
    <s v="TT-21460"/>
    <s v="Tonja Turnell"/>
    <x v="2"/>
    <s v="United States"/>
    <x v="52"/>
    <x v="6"/>
    <x v="3"/>
    <s v="FUR-TA-10001039"/>
    <s v="Furniture"/>
    <x v="2"/>
    <s v="KI Adjustable-Height Table"/>
    <n v="257.94"/>
    <n v="3"/>
    <n v="0"/>
    <n v="67.064400000000006"/>
    <x v="2"/>
    <x v="0"/>
  </r>
  <r>
    <s v="CA-2017-141439"/>
    <x v="83"/>
    <d v="2017-12-01T00:00:00"/>
    <x v="1"/>
    <s v="TT-21460"/>
    <s v="Tonja Turnell"/>
    <x v="2"/>
    <s v="United States"/>
    <x v="52"/>
    <x v="6"/>
    <x v="3"/>
    <s v="FUR-FU-10001473"/>
    <s v="Furniture"/>
    <x v="3"/>
    <s v="DAX Wood Document Frame"/>
    <n v="27.46"/>
    <n v="2"/>
    <n v="0"/>
    <n v="9.8856000000000002"/>
    <x v="2"/>
    <x v="0"/>
  </r>
  <r>
    <s v="CA-2017-141439"/>
    <x v="83"/>
    <d v="2017-12-01T00:00:00"/>
    <x v="1"/>
    <s v="TT-21460"/>
    <s v="Tonja Turnell"/>
    <x v="2"/>
    <s v="United States"/>
    <x v="52"/>
    <x v="6"/>
    <x v="3"/>
    <s v="FUR-CH-10004287"/>
    <s v="Furniture"/>
    <x v="1"/>
    <s v="SAFCO Arco Folding Chair"/>
    <n v="828.6"/>
    <n v="3"/>
    <n v="0"/>
    <n v="240.29400000000001"/>
    <x v="2"/>
    <x v="0"/>
  </r>
  <r>
    <s v="CA-2015-163965"/>
    <x v="141"/>
    <d v="2015-11-27T00:00:00"/>
    <x v="1"/>
    <s v="SS-20875"/>
    <s v="Sung Shariari"/>
    <x v="0"/>
    <s v="United States"/>
    <x v="89"/>
    <x v="1"/>
    <x v="0"/>
    <s v="FUR-BO-10001337"/>
    <s v="Furniture"/>
    <x v="0"/>
    <s v="O'Sullivan Living Dimensions 2-Shelf Bookcases"/>
    <n v="290.35199999999998"/>
    <n v="3"/>
    <n v="0.2"/>
    <n v="-36.293999999999997"/>
    <x v="1"/>
    <x v="0"/>
  </r>
  <r>
    <s v="CA-2017-128783"/>
    <x v="87"/>
    <d v="2017-09-07T00:00:00"/>
    <x v="3"/>
    <s v="TG-21640"/>
    <s v="Trudy Glocke"/>
    <x v="0"/>
    <s v="United States"/>
    <x v="317"/>
    <x v="23"/>
    <x v="3"/>
    <s v="FUR-FU-10003623"/>
    <s v="Furniture"/>
    <x v="3"/>
    <s v="DataProducts Ampli Magnifier Task Lamp, Black,"/>
    <n v="135.30000000000001"/>
    <n v="5"/>
    <n v="0"/>
    <n v="37.884"/>
    <x v="7"/>
    <x v="4"/>
  </r>
  <r>
    <s v="CA-2014-122217"/>
    <x v="168"/>
    <d v="2014-11-29T00:00:00"/>
    <x v="1"/>
    <s v="HP-14815"/>
    <s v="Harold Pawlan"/>
    <x v="2"/>
    <s v="United States"/>
    <x v="304"/>
    <x v="25"/>
    <x v="0"/>
    <s v="FUR-FU-10002045"/>
    <s v="Furniture"/>
    <x v="3"/>
    <s v="Executive Impressions 14&quot;"/>
    <n v="111.15"/>
    <n v="5"/>
    <n v="0"/>
    <n v="48.905999999999999"/>
    <x v="2"/>
    <x v="0"/>
  </r>
  <r>
    <s v="US-2017-141558"/>
    <x v="745"/>
    <d v="2017-03-16T00:00:00"/>
    <x v="1"/>
    <s v="MH-17290"/>
    <s v="Marc Harrigan"/>
    <x v="2"/>
    <s v="United States"/>
    <x v="3"/>
    <x v="3"/>
    <x v="2"/>
    <s v="FUR-TA-10004086"/>
    <s v="Furniture"/>
    <x v="2"/>
    <s v="KI Adjustable-Height Table"/>
    <n v="154.76400000000001"/>
    <n v="3"/>
    <n v="0.4"/>
    <n v="-46.429200000000002"/>
    <x v="2"/>
    <x v="9"/>
  </r>
  <r>
    <s v="CA-2017-100412"/>
    <x v="313"/>
    <d v="2017-12-26T00:00:00"/>
    <x v="1"/>
    <s v="SR-20425"/>
    <s v="Sharelle Roach"/>
    <x v="2"/>
    <s v="United States"/>
    <x v="318"/>
    <x v="33"/>
    <x v="0"/>
    <s v="FUR-CH-10002647"/>
    <s v="Furniture"/>
    <x v="1"/>
    <s v="Situations Contoured Folding Chairs, 4/Set"/>
    <n v="141.96"/>
    <n v="2"/>
    <n v="0"/>
    <n v="35.49"/>
    <x v="4"/>
    <x v="5"/>
  </r>
  <r>
    <s v="CA-2017-142909"/>
    <x v="313"/>
    <d v="2017-12-25T00:00:00"/>
    <x v="0"/>
    <s v="AG-10330"/>
    <s v="Alex Grayson"/>
    <x v="0"/>
    <s v="United States"/>
    <x v="81"/>
    <x v="22"/>
    <x v="1"/>
    <s v="FUR-TA-10003008"/>
    <s v="Furniture"/>
    <x v="2"/>
    <s v="Lesro Round Back Collection Coffee Table, End Table"/>
    <n v="182.55"/>
    <n v="2"/>
    <n v="0.5"/>
    <n v="-135.08699999999999"/>
    <x v="0"/>
    <x v="5"/>
  </r>
  <r>
    <s v="US-2015-136749"/>
    <x v="344"/>
    <d v="2015-12-27T00:00:00"/>
    <x v="0"/>
    <s v="LH-16900"/>
    <s v="Lena Hernandez"/>
    <x v="0"/>
    <s v="United States"/>
    <x v="29"/>
    <x v="24"/>
    <x v="0"/>
    <s v="FUR-FU-10000747"/>
    <s v="Furniture"/>
    <x v="3"/>
    <s v="Tenex B1-RE Series Chair Mats for Low Pile Carpets"/>
    <n v="275.88"/>
    <n v="6"/>
    <n v="0"/>
    <n v="46.8996"/>
    <x v="3"/>
    <x v="5"/>
  </r>
  <r>
    <s v="CA-2014-117464"/>
    <x v="746"/>
    <d v="2014-07-24T00:00:00"/>
    <x v="0"/>
    <s v="NP-18325"/>
    <s v="Naresj Patel"/>
    <x v="0"/>
    <s v="United States"/>
    <x v="28"/>
    <x v="2"/>
    <x v="1"/>
    <s v="FUR-CH-10000155"/>
    <s v="Furniture"/>
    <x v="1"/>
    <s v="Global Comet Stacking Armless Chair"/>
    <n v="717.72"/>
    <n v="3"/>
    <n v="0.2"/>
    <n v="71.772000000000006"/>
    <x v="3"/>
    <x v="3"/>
  </r>
  <r>
    <s v="CA-2014-117464"/>
    <x v="746"/>
    <d v="2014-07-24T00:00:00"/>
    <x v="0"/>
    <s v="NP-18325"/>
    <s v="Naresj Patel"/>
    <x v="0"/>
    <s v="United States"/>
    <x v="28"/>
    <x v="2"/>
    <x v="1"/>
    <s v="FUR-TA-10004767"/>
    <s v="Furniture"/>
    <x v="2"/>
    <s v="Safco Drafting Table"/>
    <n v="170.352"/>
    <n v="3"/>
    <n v="0.2"/>
    <n v="19.1646"/>
    <x v="3"/>
    <x v="3"/>
  </r>
  <r>
    <s v="US-2017-168613"/>
    <x v="747"/>
    <d v="2017-10-14T00:00:00"/>
    <x v="1"/>
    <s v="GM-14440"/>
    <s v="Gary McGarr"/>
    <x v="0"/>
    <s v="United States"/>
    <x v="13"/>
    <x v="7"/>
    <x v="2"/>
    <s v="FUR-CH-10002372"/>
    <s v="Furniture"/>
    <x v="1"/>
    <s v="Office Star - Ergonomically Designed Knee Chair"/>
    <n v="145.76400000000001"/>
    <n v="2"/>
    <n v="0.1"/>
    <n v="3.2391999999999999"/>
    <x v="6"/>
    <x v="1"/>
  </r>
  <r>
    <s v="CA-2017-128853"/>
    <x v="488"/>
    <d v="2017-04-23T00:00:00"/>
    <x v="2"/>
    <s v="JM-15250"/>
    <s v="Janet Martin"/>
    <x v="0"/>
    <s v="United States"/>
    <x v="237"/>
    <x v="32"/>
    <x v="2"/>
    <s v="FUR-CH-10004218"/>
    <s v="Furniture"/>
    <x v="1"/>
    <s v="Global Fabric Manager's Chair, Dark Gray"/>
    <n v="908.82"/>
    <n v="9"/>
    <n v="0"/>
    <n v="227.20500000000001"/>
    <x v="3"/>
    <x v="6"/>
  </r>
  <r>
    <s v="CA-2017-133102"/>
    <x v="301"/>
    <d v="2017-08-24T00:00:00"/>
    <x v="1"/>
    <s v="ED-13885"/>
    <s v="Emily Ducich"/>
    <x v="2"/>
    <s v="United States"/>
    <x v="6"/>
    <x v="5"/>
    <x v="3"/>
    <s v="FUR-CH-10002017"/>
    <s v="Furniture"/>
    <x v="1"/>
    <s v="SAFCO Optional Arm Kit for Workspace Cribbage Stacking Chair"/>
    <n v="74.591999999999999"/>
    <n v="4"/>
    <n v="0.3"/>
    <n v="-2.1312000000000002"/>
    <x v="1"/>
    <x v="10"/>
  </r>
  <r>
    <s v="CA-2017-133102"/>
    <x v="301"/>
    <d v="2017-08-24T00:00:00"/>
    <x v="1"/>
    <s v="ED-13885"/>
    <s v="Emily Ducich"/>
    <x v="2"/>
    <s v="United States"/>
    <x v="6"/>
    <x v="5"/>
    <x v="3"/>
    <s v="FUR-FU-10003247"/>
    <s v="Furniture"/>
    <x v="3"/>
    <s v="36X48 HARDFLOOR CHAIRMAT"/>
    <n v="16.783999999999999"/>
    <n v="2"/>
    <n v="0.6"/>
    <n v="-22.238800000000001"/>
    <x v="1"/>
    <x v="10"/>
  </r>
  <r>
    <s v="CA-2016-164399"/>
    <x v="689"/>
    <d v="2016-11-15T00:00:00"/>
    <x v="2"/>
    <s v="DW-13480"/>
    <s v="Dianna Wilson"/>
    <x v="2"/>
    <s v="United States"/>
    <x v="53"/>
    <x v="2"/>
    <x v="1"/>
    <s v="FUR-TA-10003392"/>
    <s v="Furniture"/>
    <x v="2"/>
    <s v="Global Adaptabilities Conference Tables"/>
    <n v="674.35199999999998"/>
    <n v="3"/>
    <n v="0.2"/>
    <n v="-8.4293999999999993"/>
    <x v="0"/>
    <x v="0"/>
  </r>
  <r>
    <s v="CA-2016-147683"/>
    <x v="282"/>
    <d v="2016-11-17T00:00:00"/>
    <x v="1"/>
    <s v="PO-19180"/>
    <s v="Philisse Overcash"/>
    <x v="2"/>
    <s v="United States"/>
    <x v="15"/>
    <x v="13"/>
    <x v="1"/>
    <s v="FUR-FU-10004848"/>
    <s v="Furniture"/>
    <x v="3"/>
    <s v="DAX Solid Wood Frames"/>
    <n v="19.54"/>
    <n v="2"/>
    <n v="0"/>
    <n v="7.2298"/>
    <x v="4"/>
    <x v="0"/>
  </r>
  <r>
    <s v="CA-2016-104276"/>
    <x v="673"/>
    <d v="2016-12-03T00:00:00"/>
    <x v="1"/>
    <s v="HF-14995"/>
    <s v="Herbert Flentye"/>
    <x v="0"/>
    <s v="United States"/>
    <x v="1"/>
    <x v="1"/>
    <x v="0"/>
    <s v="FUR-TA-10001039"/>
    <s v="Furniture"/>
    <x v="2"/>
    <s v="KI Adjustable-Height Table"/>
    <n v="331.02300000000002"/>
    <n v="7"/>
    <n v="0.45"/>
    <n v="-114.35339999999999"/>
    <x v="6"/>
    <x v="0"/>
  </r>
  <r>
    <s v="CA-2016-120369"/>
    <x v="48"/>
    <d v="2016-10-28T00:00:00"/>
    <x v="3"/>
    <s v="VB-21745"/>
    <s v="Victoria Brennan"/>
    <x v="1"/>
    <s v="United States"/>
    <x v="77"/>
    <x v="7"/>
    <x v="2"/>
    <s v="FUR-FU-10003806"/>
    <s v="Furniture"/>
    <x v="3"/>
    <s v="Tenex Chairmat w/ Average Lip, 45&quot; x 53&quot;"/>
    <n v="756.8"/>
    <n v="5"/>
    <n v="0"/>
    <n v="75.680000000000007"/>
    <x v="7"/>
    <x v="1"/>
  </r>
  <r>
    <s v="CA-2014-118276"/>
    <x v="527"/>
    <d v="2015-01-02T00:00:00"/>
    <x v="1"/>
    <s v="MG-17890"/>
    <s v="Michael Granlund"/>
    <x v="2"/>
    <s v="United States"/>
    <x v="317"/>
    <x v="8"/>
    <x v="3"/>
    <s v="FUR-FU-10002111"/>
    <s v="Furniture"/>
    <x v="3"/>
    <s v="Master Caster Door Stop, Large Brown"/>
    <n v="8.7360000000000007"/>
    <n v="3"/>
    <n v="0.6"/>
    <n v="-4.8048000000000002"/>
    <x v="4"/>
    <x v="5"/>
  </r>
  <r>
    <s v="CA-2017-137414"/>
    <x v="125"/>
    <d v="2017-10-06T00:00:00"/>
    <x v="1"/>
    <s v="CM-12115"/>
    <s v="Chad McGuire"/>
    <x v="0"/>
    <s v="United States"/>
    <x v="28"/>
    <x v="2"/>
    <x v="1"/>
    <s v="FUR-FU-10001424"/>
    <s v="Furniture"/>
    <x v="3"/>
    <s v="Dax Clear Box Frame"/>
    <n v="17.46"/>
    <n v="2"/>
    <n v="0"/>
    <n v="5.9363999999999999"/>
    <x v="4"/>
    <x v="1"/>
  </r>
  <r>
    <s v="CA-2016-109953"/>
    <x v="197"/>
    <d v="2016-07-18T00:00:00"/>
    <x v="1"/>
    <s v="RB-19360"/>
    <s v="Raymond Buch"/>
    <x v="0"/>
    <s v="United States"/>
    <x v="28"/>
    <x v="2"/>
    <x v="1"/>
    <s v="FUR-FU-10000073"/>
    <s v="Furniture"/>
    <x v="3"/>
    <s v="Deflect-O Glasstique Clear Desk Accessories"/>
    <n v="30.8"/>
    <n v="4"/>
    <n v="0"/>
    <n v="10.164"/>
    <x v="4"/>
    <x v="3"/>
  </r>
  <r>
    <s v="CA-2016-137337"/>
    <x v="177"/>
    <d v="2016-03-12T00:00:00"/>
    <x v="1"/>
    <s v="GB-14575"/>
    <s v="Giulietta Baptist"/>
    <x v="0"/>
    <s v="United States"/>
    <x v="13"/>
    <x v="7"/>
    <x v="2"/>
    <s v="FUR-FU-10003347"/>
    <s v="Furniture"/>
    <x v="3"/>
    <s v="Coloredge Poster Frame"/>
    <n v="113.6"/>
    <n v="8"/>
    <n v="0"/>
    <n v="44.304000000000002"/>
    <x v="4"/>
    <x v="9"/>
  </r>
  <r>
    <s v="CA-2016-101651"/>
    <x v="695"/>
    <d v="2016-12-30T00:00:00"/>
    <x v="1"/>
    <s v="SC-20305"/>
    <s v="Sean Christensen"/>
    <x v="0"/>
    <s v="United States"/>
    <x v="124"/>
    <x v="2"/>
    <x v="1"/>
    <s v="FUR-FU-10000771"/>
    <s v="Furniture"/>
    <x v="3"/>
    <s v="Eldon 200 Class Desk Accessories, Smoke"/>
    <n v="43.96"/>
    <n v="7"/>
    <n v="0"/>
    <n v="18.463200000000001"/>
    <x v="6"/>
    <x v="5"/>
  </r>
  <r>
    <s v="CA-2017-136651"/>
    <x v="748"/>
    <d v="2017-04-25T00:00:00"/>
    <x v="0"/>
    <s v="JF-15355"/>
    <s v="Jay Fein"/>
    <x v="0"/>
    <s v="United States"/>
    <x v="102"/>
    <x v="2"/>
    <x v="1"/>
    <s v="FUR-FU-10002445"/>
    <s v="Furniture"/>
    <x v="3"/>
    <s v="DAX Two-Tone Rosewood/Black Document Frame, Desktop, 5 x 7"/>
    <n v="66.36"/>
    <n v="7"/>
    <n v="0"/>
    <n v="26.544"/>
    <x v="3"/>
    <x v="6"/>
  </r>
  <r>
    <s v="CA-2017-136651"/>
    <x v="748"/>
    <d v="2017-04-25T00:00:00"/>
    <x v="0"/>
    <s v="JF-15355"/>
    <s v="Jay Fein"/>
    <x v="0"/>
    <s v="United States"/>
    <x v="102"/>
    <x v="2"/>
    <x v="1"/>
    <s v="FUR-FU-10004864"/>
    <s v="Furniture"/>
    <x v="3"/>
    <s v="Eldon 500 Class Desk Accessories"/>
    <n v="24.14"/>
    <n v="2"/>
    <n v="0"/>
    <n v="7.9661999999999997"/>
    <x v="3"/>
    <x v="6"/>
  </r>
  <r>
    <s v="CA-2017-118892"/>
    <x v="301"/>
    <d v="2017-08-22T00:00:00"/>
    <x v="0"/>
    <s v="TP-21415"/>
    <s v="Tom Prescott"/>
    <x v="0"/>
    <s v="United States"/>
    <x v="3"/>
    <x v="3"/>
    <x v="2"/>
    <s v="FUR-CH-10002024"/>
    <s v="Furniture"/>
    <x v="1"/>
    <s v="HON 5400 Series Task Chairs for Big and Tall"/>
    <n v="4416.174"/>
    <n v="9"/>
    <n v="0.3"/>
    <n v="-630.88199999999995"/>
    <x v="2"/>
    <x v="10"/>
  </r>
  <r>
    <s v="US-2014-127978"/>
    <x v="749"/>
    <d v="2014-03-08T00:00:00"/>
    <x v="1"/>
    <s v="JS-15595"/>
    <s v="Jill Stevenson"/>
    <x v="1"/>
    <s v="United States"/>
    <x v="29"/>
    <x v="15"/>
    <x v="2"/>
    <s v="FUR-BO-10001972"/>
    <s v="Furniture"/>
    <x v="0"/>
    <s v="O'Sullivan 4-Shelf Bookcase in Odessa Pine"/>
    <n v="302.45"/>
    <n v="5"/>
    <n v="0.5"/>
    <n v="-199.61699999999999"/>
    <x v="2"/>
    <x v="9"/>
  </r>
  <r>
    <s v="CA-2016-152730"/>
    <x v="82"/>
    <d v="2016-06-04T00:00:00"/>
    <x v="1"/>
    <s v="EM-14140"/>
    <s v="Eugene Moren"/>
    <x v="2"/>
    <s v="United States"/>
    <x v="319"/>
    <x v="16"/>
    <x v="3"/>
    <s v="FUR-FU-10001037"/>
    <s v="Furniture"/>
    <x v="3"/>
    <s v="DAX Charcoal/Nickel-Tone Document Frame, 5 x 7"/>
    <n v="47.4"/>
    <n v="5"/>
    <n v="0"/>
    <n v="21.33"/>
    <x v="2"/>
    <x v="7"/>
  </r>
  <r>
    <s v="US-2014-143721"/>
    <x v="255"/>
    <d v="2014-11-26T00:00:00"/>
    <x v="0"/>
    <s v="DK-12835"/>
    <s v="Damala Kotsonis"/>
    <x v="1"/>
    <s v="United States"/>
    <x v="6"/>
    <x v="5"/>
    <x v="3"/>
    <s v="FUR-CH-10001973"/>
    <s v="Furniture"/>
    <x v="1"/>
    <s v="Office Star Flex Back Scooter Chair with White Frame"/>
    <n v="155.37200000000001"/>
    <n v="2"/>
    <n v="0.3"/>
    <n v="-35.513599999999997"/>
    <x v="0"/>
    <x v="0"/>
  </r>
  <r>
    <s v="CA-2016-133368"/>
    <x v="750"/>
    <d v="2016-01-20T00:00:00"/>
    <x v="1"/>
    <s v="AG-10675"/>
    <s v="Anna Gayman"/>
    <x v="0"/>
    <s v="United States"/>
    <x v="41"/>
    <x v="30"/>
    <x v="0"/>
    <s v="FUR-FU-10003374"/>
    <s v="Furniture"/>
    <x v="3"/>
    <s v="Electrix Fluorescent Magnifier Lamps &amp; Weighted Base"/>
    <n v="315.77600000000001"/>
    <n v="8"/>
    <n v="0.2"/>
    <n v="31.5776"/>
    <x v="6"/>
    <x v="8"/>
  </r>
  <r>
    <s v="CA-2016-123337"/>
    <x v="751"/>
    <d v="2016-09-22T00:00:00"/>
    <x v="1"/>
    <s v="KD-16495"/>
    <s v="Keith Dawkins"/>
    <x v="1"/>
    <s v="United States"/>
    <x v="124"/>
    <x v="2"/>
    <x v="1"/>
    <s v="FUR-BO-10001918"/>
    <s v="Furniture"/>
    <x v="0"/>
    <s v="Sauder Forest Hills Library with Doors, Woodland Oak Finish"/>
    <n v="273.666"/>
    <n v="2"/>
    <n v="0.15"/>
    <n v="-12.878399999999999"/>
    <x v="6"/>
    <x v="4"/>
  </r>
  <r>
    <s v="CA-2015-144519"/>
    <x v="18"/>
    <d v="2015-11-17T00:00:00"/>
    <x v="1"/>
    <s v="AW-10930"/>
    <s v="Arthur Wiediger"/>
    <x v="2"/>
    <s v="United States"/>
    <x v="320"/>
    <x v="46"/>
    <x v="1"/>
    <s v="FUR-FU-10000794"/>
    <s v="Furniture"/>
    <x v="3"/>
    <s v="Eldon Stackable Tray, Side-Load, Legal, Smoke"/>
    <n v="63.98"/>
    <n v="7"/>
    <n v="0"/>
    <n v="21.7532"/>
    <x v="4"/>
    <x v="0"/>
  </r>
  <r>
    <s v="CA-2017-169439"/>
    <x v="198"/>
    <d v="2017-09-13T00:00:00"/>
    <x v="1"/>
    <s v="LC-17140"/>
    <s v="Logan Currie"/>
    <x v="0"/>
    <s v="United States"/>
    <x v="59"/>
    <x v="15"/>
    <x v="2"/>
    <s v="FUR-FU-10000723"/>
    <s v="Furniture"/>
    <x v="3"/>
    <s v="Deflect-o EconoMat Studded, No Bevel Mat for Low Pile Carpeting"/>
    <n v="66.111999999999995"/>
    <n v="2"/>
    <n v="0.2"/>
    <n v="-9.0904000000000007"/>
    <x v="4"/>
    <x v="4"/>
  </r>
  <r>
    <s v="CA-2016-149965"/>
    <x v="210"/>
    <d v="2016-06-25T00:00:00"/>
    <x v="1"/>
    <s v="BS-11365"/>
    <s v="Bill Shonely"/>
    <x v="1"/>
    <s v="United States"/>
    <x v="258"/>
    <x v="37"/>
    <x v="3"/>
    <s v="FUR-FU-10004270"/>
    <s v="Furniture"/>
    <x v="3"/>
    <s v="Executive Impressions 13&quot; Clairmont Wall Clock"/>
    <n v="57.69"/>
    <n v="3"/>
    <n v="0"/>
    <n v="23.652899999999999"/>
    <x v="2"/>
    <x v="2"/>
  </r>
  <r>
    <s v="CA-2016-113656"/>
    <x v="752"/>
    <d v="2016-01-29T00:00:00"/>
    <x v="1"/>
    <s v="CB-12415"/>
    <s v="Christy Brittain"/>
    <x v="0"/>
    <s v="United States"/>
    <x v="2"/>
    <x v="2"/>
    <x v="1"/>
    <s v="FUR-FU-10000719"/>
    <s v="Furniture"/>
    <x v="3"/>
    <s v="DAX Cubicle Frames, 8-1/2 x 11"/>
    <n v="59.99"/>
    <n v="7"/>
    <n v="0"/>
    <n v="21.596399999999999"/>
    <x v="6"/>
    <x v="8"/>
  </r>
  <r>
    <s v="CA-2015-148964"/>
    <x v="753"/>
    <d v="2015-05-31T00:00:00"/>
    <x v="1"/>
    <s v="RD-19900"/>
    <s v="Ruben Dartt"/>
    <x v="0"/>
    <s v="United States"/>
    <x v="321"/>
    <x v="13"/>
    <x v="1"/>
    <s v="FUR-FU-10003849"/>
    <s v="Furniture"/>
    <x v="3"/>
    <s v="DAX Metal Frame, Desktop, Stepped-Edge"/>
    <n v="20.239999999999998"/>
    <n v="1"/>
    <n v="0"/>
    <n v="7.8936000000000002"/>
    <x v="2"/>
    <x v="7"/>
  </r>
  <r>
    <s v="CA-2014-163468"/>
    <x v="356"/>
    <d v="2014-11-21T00:00:00"/>
    <x v="2"/>
    <s v="JK-15730"/>
    <s v="Joe Kamberova"/>
    <x v="0"/>
    <s v="United States"/>
    <x v="322"/>
    <x v="8"/>
    <x v="3"/>
    <s v="FUR-TA-10002533"/>
    <s v="Furniture"/>
    <x v="2"/>
    <s v="BPI Conference Tables"/>
    <n v="292.10000000000002"/>
    <n v="4"/>
    <n v="0.5"/>
    <n v="-175.26"/>
    <x v="0"/>
    <x v="0"/>
  </r>
  <r>
    <s v="CA-2014-163468"/>
    <x v="356"/>
    <d v="2014-11-21T00:00:00"/>
    <x v="2"/>
    <s v="JK-15730"/>
    <s v="Joe Kamberova"/>
    <x v="0"/>
    <s v="United States"/>
    <x v="322"/>
    <x v="8"/>
    <x v="3"/>
    <s v="FUR-FU-10001546"/>
    <s v="Furniture"/>
    <x v="3"/>
    <s v="Dana Swing-Arm Lamps"/>
    <n v="8.5440000000000005"/>
    <n v="2"/>
    <n v="0.6"/>
    <n v="-7.476"/>
    <x v="0"/>
    <x v="0"/>
  </r>
  <r>
    <s v="CA-2014-163468"/>
    <x v="356"/>
    <d v="2014-11-21T00:00:00"/>
    <x v="2"/>
    <s v="JK-15730"/>
    <s v="Joe Kamberova"/>
    <x v="0"/>
    <s v="United States"/>
    <x v="322"/>
    <x v="8"/>
    <x v="3"/>
    <s v="FUR-BO-10003546"/>
    <s v="Furniture"/>
    <x v="0"/>
    <s v="Hon 4-Shelf Metal Bookcases"/>
    <n v="424.11599999999999"/>
    <n v="6"/>
    <n v="0.3"/>
    <n v="-30.294"/>
    <x v="0"/>
    <x v="0"/>
  </r>
  <r>
    <s v="US-2017-117450"/>
    <x v="362"/>
    <d v="2017-09-08T00:00:00"/>
    <x v="1"/>
    <s v="DO-13645"/>
    <s v="Doug O'Connell"/>
    <x v="0"/>
    <s v="United States"/>
    <x v="98"/>
    <x v="1"/>
    <x v="0"/>
    <s v="FUR-CH-10003817"/>
    <s v="Furniture"/>
    <x v="1"/>
    <s v="Global Value Steno Chair, Gray"/>
    <n v="97.183999999999997"/>
    <n v="2"/>
    <n v="0.2"/>
    <n v="6.0739999999999998"/>
    <x v="4"/>
    <x v="4"/>
  </r>
  <r>
    <s v="CA-2014-137274"/>
    <x v="754"/>
    <d v="2014-04-02T00:00:00"/>
    <x v="1"/>
    <s v="MG-18145"/>
    <s v="Mike Gockenbach"/>
    <x v="0"/>
    <s v="United States"/>
    <x v="215"/>
    <x v="5"/>
    <x v="3"/>
    <s v="FUR-TA-10001889"/>
    <s v="Furniture"/>
    <x v="2"/>
    <s v="Bush Advantage Collection Racetrack Conference Table"/>
    <n v="890.84100000000001"/>
    <n v="3"/>
    <n v="0.3"/>
    <n v="-152.71559999999999"/>
    <x v="4"/>
    <x v="9"/>
  </r>
  <r>
    <s v="CA-2016-144092"/>
    <x v="541"/>
    <d v="2016-11-07T00:00:00"/>
    <x v="0"/>
    <s v="LH-17155"/>
    <s v="Logan Haushalter"/>
    <x v="0"/>
    <s v="United States"/>
    <x v="124"/>
    <x v="2"/>
    <x v="1"/>
    <s v="FUR-CH-10004875"/>
    <s v="Furniture"/>
    <x v="1"/>
    <s v="Harbour Creations 67200 Series Stacking Chairs"/>
    <n v="113.88800000000001"/>
    <n v="2"/>
    <n v="0.2"/>
    <n v="9.9651999999999994"/>
    <x v="3"/>
    <x v="0"/>
  </r>
  <r>
    <s v="CA-2016-132066"/>
    <x v="755"/>
    <d v="2016-10-20T00:00:00"/>
    <x v="1"/>
    <s v="NB-18655"/>
    <s v="Nona Balk"/>
    <x v="1"/>
    <s v="United States"/>
    <x v="13"/>
    <x v="7"/>
    <x v="2"/>
    <s v="FUR-TA-10001539"/>
    <s v="Furniture"/>
    <x v="2"/>
    <s v="Chromcraft Rectangular Conference Tables"/>
    <n v="142.18199999999999"/>
    <n v="1"/>
    <n v="0.4"/>
    <n v="-37.915199999999999"/>
    <x v="4"/>
    <x v="1"/>
  </r>
  <r>
    <s v="CA-2017-100097"/>
    <x v="83"/>
    <d v="2017-11-29T00:00:00"/>
    <x v="0"/>
    <s v="MN-17935"/>
    <s v="Michael Nguyen"/>
    <x v="0"/>
    <s v="United States"/>
    <x v="13"/>
    <x v="7"/>
    <x v="2"/>
    <s v="FUR-FU-10003623"/>
    <s v="Furniture"/>
    <x v="3"/>
    <s v="DataProducts Ampli Magnifier Task Lamp, Black,"/>
    <n v="135.30000000000001"/>
    <n v="5"/>
    <n v="0"/>
    <n v="37.884"/>
    <x v="0"/>
    <x v="0"/>
  </r>
  <r>
    <s v="US-2017-126053"/>
    <x v="446"/>
    <d v="2017-12-08T00:00:00"/>
    <x v="2"/>
    <s v="CS-11950"/>
    <s v="Carlos Soltero"/>
    <x v="0"/>
    <s v="United States"/>
    <x v="13"/>
    <x v="7"/>
    <x v="2"/>
    <s v="FUR-FU-10001934"/>
    <s v="Furniture"/>
    <x v="3"/>
    <s v="Magnifier Swing Arm Lamp"/>
    <n v="41.96"/>
    <n v="2"/>
    <n v="0"/>
    <n v="10.909599999999999"/>
    <x v="0"/>
    <x v="5"/>
  </r>
  <r>
    <s v="US-2014-131275"/>
    <x v="385"/>
    <d v="2014-03-24T00:00:00"/>
    <x v="1"/>
    <s v="SC-20050"/>
    <s v="Sample Company A"/>
    <x v="2"/>
    <s v="United States"/>
    <x v="323"/>
    <x v="2"/>
    <x v="1"/>
    <s v="FUR-FU-10004597"/>
    <s v="Furniture"/>
    <x v="3"/>
    <s v="Eldon Cleatmat Chair Mats for Medium Pile Carpets"/>
    <n v="111"/>
    <n v="2"/>
    <n v="0"/>
    <n v="14.43"/>
    <x v="6"/>
    <x v="9"/>
  </r>
  <r>
    <s v="CA-2016-149349"/>
    <x v="689"/>
    <d v="2016-11-13T00:00:00"/>
    <x v="2"/>
    <s v="SP-20650"/>
    <s v="Stephanie Phelps"/>
    <x v="1"/>
    <s v="United States"/>
    <x v="9"/>
    <x v="8"/>
    <x v="3"/>
    <s v="FUR-FU-10001037"/>
    <s v="Furniture"/>
    <x v="3"/>
    <s v="DAX Charcoal/Nickel-Tone Document Frame, 5 x 7"/>
    <n v="22.751999999999999"/>
    <n v="6"/>
    <n v="0.6"/>
    <n v="-8.532"/>
    <x v="5"/>
    <x v="0"/>
  </r>
  <r>
    <s v="CA-2015-125563"/>
    <x v="756"/>
    <d v="2015-04-17T00:00:00"/>
    <x v="1"/>
    <s v="PR-18880"/>
    <s v="Patrick Ryan"/>
    <x v="0"/>
    <s v="United States"/>
    <x v="26"/>
    <x v="1"/>
    <x v="0"/>
    <s v="FUR-FU-10001290"/>
    <s v="Furniture"/>
    <x v="3"/>
    <s v="Executive Impressions Supervisor Wall Clock"/>
    <n v="67.36"/>
    <n v="2"/>
    <n v="0.2"/>
    <n v="10.103999999999999"/>
    <x v="6"/>
    <x v="6"/>
  </r>
  <r>
    <s v="CA-2015-125563"/>
    <x v="756"/>
    <d v="2015-04-17T00:00:00"/>
    <x v="1"/>
    <s v="PR-18880"/>
    <s v="Patrick Ryan"/>
    <x v="0"/>
    <s v="United States"/>
    <x v="26"/>
    <x v="1"/>
    <x v="0"/>
    <s v="FUR-FU-10000087"/>
    <s v="Furniture"/>
    <x v="3"/>
    <s v="Executive Impressions 14&quot; Two-Color Numerals Wall Clock"/>
    <n v="54.527999999999999"/>
    <n v="3"/>
    <n v="0.2"/>
    <n v="14.313599999999999"/>
    <x v="6"/>
    <x v="6"/>
  </r>
  <r>
    <s v="CA-2015-113152"/>
    <x v="344"/>
    <d v="2015-12-30T00:00:00"/>
    <x v="1"/>
    <s v="JK-15625"/>
    <s v="Jim Karlsson"/>
    <x v="0"/>
    <s v="United States"/>
    <x v="13"/>
    <x v="7"/>
    <x v="2"/>
    <s v="FUR-BO-10002613"/>
    <s v="Furniture"/>
    <x v="0"/>
    <s v="Atlantic Metals Mobile 4-Shelf Bookcases, Custom Colors"/>
    <n v="449.56799999999998"/>
    <n v="2"/>
    <n v="0.2"/>
    <n v="56.195999999999998"/>
    <x v="2"/>
    <x v="5"/>
  </r>
  <r>
    <s v="CA-2014-163412"/>
    <x v="191"/>
    <d v="2014-12-23T00:00:00"/>
    <x v="0"/>
    <s v="SM-20950"/>
    <s v="Suzanne McNair"/>
    <x v="1"/>
    <s v="United States"/>
    <x v="13"/>
    <x v="7"/>
    <x v="2"/>
    <s v="FUR-CH-10004875"/>
    <s v="Furniture"/>
    <x v="1"/>
    <s v="Harbour Creations 67200 Series Stacking Chairs"/>
    <n v="192.18600000000001"/>
    <n v="3"/>
    <n v="0.1"/>
    <n v="36.3018"/>
    <x v="0"/>
    <x v="5"/>
  </r>
  <r>
    <s v="CA-2014-116190"/>
    <x v="503"/>
    <d v="2014-08-01T00:00:00"/>
    <x v="1"/>
    <s v="SG-20470"/>
    <s v="Sheri Gordon"/>
    <x v="0"/>
    <s v="United States"/>
    <x v="182"/>
    <x v="24"/>
    <x v="0"/>
    <s v="FUR-CH-10000553"/>
    <s v="Furniture"/>
    <x v="1"/>
    <s v="Metal Folding Chairs, Beige, 4/Carton"/>
    <n v="67.88"/>
    <n v="2"/>
    <n v="0"/>
    <n v="18.3276"/>
    <x v="6"/>
    <x v="3"/>
  </r>
  <r>
    <s v="CA-2014-116190"/>
    <x v="503"/>
    <d v="2014-08-01T00:00:00"/>
    <x v="1"/>
    <s v="SG-20470"/>
    <s v="Sheri Gordon"/>
    <x v="0"/>
    <s v="United States"/>
    <x v="182"/>
    <x v="24"/>
    <x v="0"/>
    <s v="FUR-FU-10000719"/>
    <s v="Furniture"/>
    <x v="3"/>
    <s v="DAX Cubicle Frames, 8-1/2 x 11"/>
    <n v="25.71"/>
    <n v="3"/>
    <n v="0"/>
    <n v="9.2555999999999994"/>
    <x v="6"/>
    <x v="3"/>
  </r>
  <r>
    <s v="CA-2017-168389"/>
    <x v="246"/>
    <d v="2017-12-17T00:00:00"/>
    <x v="1"/>
    <s v="DV-13045"/>
    <s v="Darrin Van Huff"/>
    <x v="1"/>
    <s v="United States"/>
    <x v="51"/>
    <x v="1"/>
    <x v="0"/>
    <s v="FUR-TA-10004289"/>
    <s v="Furniture"/>
    <x v="2"/>
    <s v="BoxOffice By Design Rectangular and Half-Moon Meeting Room Tables"/>
    <n v="721.875"/>
    <n v="6"/>
    <n v="0.45"/>
    <n v="-420"/>
    <x v="6"/>
    <x v="5"/>
  </r>
  <r>
    <s v="CA-2017-168389"/>
    <x v="246"/>
    <d v="2017-12-17T00:00:00"/>
    <x v="1"/>
    <s v="DV-13045"/>
    <s v="Darrin Van Huff"/>
    <x v="1"/>
    <s v="United States"/>
    <x v="51"/>
    <x v="1"/>
    <x v="0"/>
    <s v="FUR-CH-10000225"/>
    <s v="Furniture"/>
    <x v="1"/>
    <s v="Global Geo Office Task Chair, Gray"/>
    <n v="64.784000000000006"/>
    <n v="1"/>
    <n v="0.2"/>
    <n v="-12.147"/>
    <x v="6"/>
    <x v="5"/>
  </r>
  <r>
    <s v="CA-2016-114748"/>
    <x v="714"/>
    <d v="2016-10-14T00:00:00"/>
    <x v="1"/>
    <s v="MZ-17335"/>
    <s v="Maria Zettner"/>
    <x v="2"/>
    <s v="United States"/>
    <x v="43"/>
    <x v="22"/>
    <x v="1"/>
    <s v="FUR-FU-10001488"/>
    <s v="Furniture"/>
    <x v="3"/>
    <s v="Tenex 46&quot; x 60&quot; Computer Anti-Static Chairmat, Rectangular Shaped"/>
    <n v="169.56800000000001"/>
    <n v="2"/>
    <n v="0.2"/>
    <n v="0"/>
    <x v="2"/>
    <x v="1"/>
  </r>
  <r>
    <s v="US-2014-115189"/>
    <x v="757"/>
    <d v="2015-01-03T00:00:00"/>
    <x v="0"/>
    <s v="AR-10345"/>
    <s v="Alex Russell"/>
    <x v="1"/>
    <s v="United States"/>
    <x v="3"/>
    <x v="3"/>
    <x v="2"/>
    <s v="FUR-TA-10004575"/>
    <s v="Furniture"/>
    <x v="2"/>
    <s v="Hon 5100 Series Wood Tables"/>
    <n v="523.76400000000001"/>
    <n v="3"/>
    <n v="0.4"/>
    <n v="-192.04679999999999"/>
    <x v="4"/>
    <x v="5"/>
  </r>
  <r>
    <s v="CA-2016-163594"/>
    <x v="188"/>
    <d v="2016-04-14T00:00:00"/>
    <x v="2"/>
    <s v="JF-15295"/>
    <s v="Jason Fortune-"/>
    <x v="0"/>
    <s v="United States"/>
    <x v="2"/>
    <x v="2"/>
    <x v="1"/>
    <s v="FUR-CH-10000225"/>
    <s v="Furniture"/>
    <x v="1"/>
    <s v="Global Geo Office Task Chair, Gray"/>
    <n v="194.352"/>
    <n v="3"/>
    <n v="0.2"/>
    <n v="-36.441000000000003"/>
    <x v="3"/>
    <x v="6"/>
  </r>
  <r>
    <s v="CA-2016-127243"/>
    <x v="597"/>
    <d v="2016-12-04T00:00:00"/>
    <x v="1"/>
    <s v="DS-13180"/>
    <s v="David Smith"/>
    <x v="1"/>
    <s v="United States"/>
    <x v="3"/>
    <x v="3"/>
    <x v="2"/>
    <s v="FUR-CH-10002647"/>
    <s v="Furniture"/>
    <x v="1"/>
    <s v="Situations Contoured Folding Chairs, 4/Set"/>
    <n v="347.80200000000002"/>
    <n v="7"/>
    <n v="0.3"/>
    <n v="-24.843"/>
    <x v="6"/>
    <x v="0"/>
  </r>
  <r>
    <s v="CA-2016-105732"/>
    <x v="758"/>
    <d v="2016-09-18T00:00:00"/>
    <x v="1"/>
    <s v="AG-10270"/>
    <s v="Alejandro Grove"/>
    <x v="0"/>
    <s v="United States"/>
    <x v="70"/>
    <x v="27"/>
    <x v="3"/>
    <s v="FUR-FU-10003664"/>
    <s v="Furniture"/>
    <x v="3"/>
    <s v="Electrix Architect's Clamp-On Swing Arm Lamp, Black"/>
    <n v="1336.44"/>
    <n v="14"/>
    <n v="0"/>
    <n v="387.56760000000003"/>
    <x v="2"/>
    <x v="4"/>
  </r>
  <r>
    <s v="CA-2017-108035"/>
    <x v="759"/>
    <d v="2017-12-03T00:00:00"/>
    <x v="1"/>
    <s v="TT-21070"/>
    <s v="Ted Trevino"/>
    <x v="0"/>
    <s v="United States"/>
    <x v="196"/>
    <x v="9"/>
    <x v="0"/>
    <s v="FUR-CH-10000454"/>
    <s v="Furniture"/>
    <x v="1"/>
    <s v="Hon Deluxe Fabric Upholstered Stacking Chairs, Rounded Back"/>
    <n v="390.36799999999999"/>
    <n v="2"/>
    <n v="0.2"/>
    <n v="48.795999999999999"/>
    <x v="4"/>
    <x v="0"/>
  </r>
  <r>
    <s v="CA-2017-108035"/>
    <x v="759"/>
    <d v="2017-12-03T00:00:00"/>
    <x v="1"/>
    <s v="TT-21070"/>
    <s v="Ted Trevino"/>
    <x v="0"/>
    <s v="United States"/>
    <x v="196"/>
    <x v="9"/>
    <x v="0"/>
    <s v="FUR-FU-10004017"/>
    <s v="Furniture"/>
    <x v="3"/>
    <s v="Executive Impressions 13&quot; Chairman Wall Clock"/>
    <n v="101.52"/>
    <n v="5"/>
    <n v="0.2"/>
    <n v="19.035"/>
    <x v="4"/>
    <x v="0"/>
  </r>
  <r>
    <s v="CA-2016-110975"/>
    <x v="683"/>
    <d v="2016-12-30T00:00:00"/>
    <x v="1"/>
    <s v="DB-12970"/>
    <s v="Darren Budd"/>
    <x v="1"/>
    <s v="United States"/>
    <x v="13"/>
    <x v="7"/>
    <x v="2"/>
    <s v="FUR-TA-10002958"/>
    <s v="Furniture"/>
    <x v="2"/>
    <s v="Bevis Oval Conference Table, Walnut"/>
    <n v="313.17599999999999"/>
    <n v="2"/>
    <n v="0.4"/>
    <n v="-120.0508"/>
    <x v="2"/>
    <x v="5"/>
  </r>
  <r>
    <s v="CA-2016-110975"/>
    <x v="683"/>
    <d v="2016-12-30T00:00:00"/>
    <x v="1"/>
    <s v="DB-12970"/>
    <s v="Darren Budd"/>
    <x v="1"/>
    <s v="United States"/>
    <x v="13"/>
    <x v="7"/>
    <x v="2"/>
    <s v="FUR-CH-10003746"/>
    <s v="Furniture"/>
    <x v="1"/>
    <s v="Hon 4070 Series Pagoda Round Back Stacking Chairs"/>
    <n v="866.64599999999996"/>
    <n v="3"/>
    <n v="0.1"/>
    <n v="173.32919999999999"/>
    <x v="2"/>
    <x v="5"/>
  </r>
  <r>
    <s v="CA-2016-110009"/>
    <x v="63"/>
    <d v="2016-09-13T00:00:00"/>
    <x v="1"/>
    <s v="TR-21325"/>
    <s v="Toby Ritter"/>
    <x v="0"/>
    <s v="United States"/>
    <x v="15"/>
    <x v="13"/>
    <x v="1"/>
    <s v="FUR-FU-10003039"/>
    <s v="Furniture"/>
    <x v="3"/>
    <s v="Howard Miller 11-1/2&quot; Diameter Grantwood Wall Clock"/>
    <n v="43.13"/>
    <n v="1"/>
    <n v="0"/>
    <n v="14.664199999999999"/>
    <x v="2"/>
    <x v="4"/>
  </r>
  <r>
    <s v="CA-2015-100146"/>
    <x v="760"/>
    <d v="2015-05-19T00:00:00"/>
    <x v="1"/>
    <s v="CB-12535"/>
    <s v="Claudia Bergmann"/>
    <x v="1"/>
    <s v="United States"/>
    <x v="324"/>
    <x v="2"/>
    <x v="1"/>
    <s v="FUR-BO-10004015"/>
    <s v="Furniture"/>
    <x v="0"/>
    <s v="Bush Andora Bookcase, Maple/Graphite Gray Finish"/>
    <n v="509.95749999999998"/>
    <n v="5"/>
    <n v="0.15"/>
    <n v="41.996499999999997"/>
    <x v="2"/>
    <x v="7"/>
  </r>
  <r>
    <s v="CA-2015-100146"/>
    <x v="760"/>
    <d v="2015-05-19T00:00:00"/>
    <x v="1"/>
    <s v="CB-12535"/>
    <s v="Claudia Bergmann"/>
    <x v="1"/>
    <s v="United States"/>
    <x v="324"/>
    <x v="2"/>
    <x v="1"/>
    <s v="FUR-FU-10001979"/>
    <s v="Furniture"/>
    <x v="3"/>
    <s v="Dana Halogen Swing-Arm Architect Lamp"/>
    <n v="122.91"/>
    <n v="3"/>
    <n v="0"/>
    <n v="34.4148"/>
    <x v="2"/>
    <x v="7"/>
  </r>
  <r>
    <s v="CA-2015-100146"/>
    <x v="760"/>
    <d v="2015-05-19T00:00:00"/>
    <x v="1"/>
    <s v="CB-12535"/>
    <s v="Claudia Bergmann"/>
    <x v="1"/>
    <s v="United States"/>
    <x v="324"/>
    <x v="2"/>
    <x v="1"/>
    <s v="FUR-CH-10003833"/>
    <s v="Furniture"/>
    <x v="1"/>
    <s v="Novimex Fabric Task Chair"/>
    <n v="97.567999999999998"/>
    <n v="2"/>
    <n v="0.2"/>
    <n v="-6.0979999999999999"/>
    <x v="2"/>
    <x v="7"/>
  </r>
  <r>
    <s v="CA-2015-100146"/>
    <x v="760"/>
    <d v="2015-05-19T00:00:00"/>
    <x v="1"/>
    <s v="CB-12535"/>
    <s v="Claudia Bergmann"/>
    <x v="1"/>
    <s v="United States"/>
    <x v="324"/>
    <x v="2"/>
    <x v="1"/>
    <s v="FUR-CH-10004495"/>
    <s v="Furniture"/>
    <x v="1"/>
    <s v="Global Leather and Oak Executive Chair, Black"/>
    <n v="722.35199999999998"/>
    <n v="3"/>
    <n v="0.2"/>
    <n v="81.264600000000002"/>
    <x v="2"/>
    <x v="7"/>
  </r>
  <r>
    <s v="CA-2016-129728"/>
    <x v="82"/>
    <d v="2016-06-06T00:00:00"/>
    <x v="1"/>
    <s v="JG-15310"/>
    <s v="Jason Gross"/>
    <x v="1"/>
    <s v="United States"/>
    <x v="2"/>
    <x v="2"/>
    <x v="1"/>
    <s v="FUR-FU-10003247"/>
    <s v="Furniture"/>
    <x v="3"/>
    <s v="36X48 HARDFLOOR CHAIRMAT"/>
    <n v="167.84"/>
    <n v="8"/>
    <n v="0"/>
    <n v="11.748799999999999"/>
    <x v="1"/>
    <x v="7"/>
  </r>
  <r>
    <s v="CA-2014-121769"/>
    <x v="676"/>
    <d v="2014-04-12T00:00:00"/>
    <x v="1"/>
    <s v="JS-15880"/>
    <s v="John Stevenson"/>
    <x v="0"/>
    <s v="United States"/>
    <x v="219"/>
    <x v="15"/>
    <x v="2"/>
    <s v="FUR-TA-10004442"/>
    <s v="Furniture"/>
    <x v="2"/>
    <s v="Riverside Furniture Stanwyck Manor Table Series"/>
    <n v="172.11"/>
    <n v="1"/>
    <n v="0.4"/>
    <n v="-94.660499999999999"/>
    <x v="4"/>
    <x v="6"/>
  </r>
  <r>
    <s v="CA-2017-121125"/>
    <x v="703"/>
    <d v="2017-06-03T00:00:00"/>
    <x v="1"/>
    <s v="MG-17890"/>
    <s v="Michael Granlund"/>
    <x v="2"/>
    <s v="United States"/>
    <x v="325"/>
    <x v="36"/>
    <x v="1"/>
    <s v="FUR-FU-10000820"/>
    <s v="Furniture"/>
    <x v="3"/>
    <s v="Tensor Brushed Steel Torchiere Floor Lamp"/>
    <n v="13.592000000000001"/>
    <n v="1"/>
    <n v="0.2"/>
    <n v="-0.33979999999999999"/>
    <x v="4"/>
    <x v="7"/>
  </r>
  <r>
    <s v="US-2016-114013"/>
    <x v="345"/>
    <d v="2016-03-15T00:00:00"/>
    <x v="0"/>
    <s v="SC-20770"/>
    <s v="Stewart Carmichael"/>
    <x v="1"/>
    <s v="United States"/>
    <x v="3"/>
    <x v="3"/>
    <x v="2"/>
    <s v="FUR-CH-10004287"/>
    <s v="Furniture"/>
    <x v="1"/>
    <s v="SAFCO Arco Folding Chair"/>
    <n v="386.68"/>
    <n v="2"/>
    <n v="0.3"/>
    <n v="-5.524"/>
    <x v="3"/>
    <x v="9"/>
  </r>
  <r>
    <s v="CA-2017-135069"/>
    <x v="662"/>
    <d v="2017-04-14T00:00:00"/>
    <x v="1"/>
    <s v="BS-11755"/>
    <s v="Bruce Stewart"/>
    <x v="0"/>
    <s v="United States"/>
    <x v="3"/>
    <x v="3"/>
    <x v="2"/>
    <s v="FUR-FU-10003878"/>
    <s v="Furniture"/>
    <x v="3"/>
    <s v="Linden 10&quot; Round Wall Clock, Black"/>
    <n v="36.671999999999997"/>
    <n v="3"/>
    <n v="0.2"/>
    <n v="6.4176000000000002"/>
    <x v="4"/>
    <x v="6"/>
  </r>
  <r>
    <s v="CA-2016-101693"/>
    <x v="324"/>
    <d v="2016-06-27T00:00:00"/>
    <x v="0"/>
    <s v="LC-17140"/>
    <s v="Logan Currie"/>
    <x v="0"/>
    <s v="United States"/>
    <x v="6"/>
    <x v="5"/>
    <x v="3"/>
    <s v="FUR-CH-10001146"/>
    <s v="Furniture"/>
    <x v="1"/>
    <s v="Global Value Mid-Back Manager's Chair, Gray"/>
    <n v="85.245999999999995"/>
    <n v="2"/>
    <n v="0.3"/>
    <n v="-6.0890000000000004"/>
    <x v="3"/>
    <x v="2"/>
  </r>
  <r>
    <s v="CA-2016-101693"/>
    <x v="324"/>
    <d v="2016-06-27T00:00:00"/>
    <x v="0"/>
    <s v="LC-17140"/>
    <s v="Logan Currie"/>
    <x v="0"/>
    <s v="United States"/>
    <x v="6"/>
    <x v="5"/>
    <x v="3"/>
    <s v="FUR-FU-10003919"/>
    <s v="Furniture"/>
    <x v="3"/>
    <s v="Eldon Executive Woodline II Cherry Finish Desk Accessories"/>
    <n v="32.712000000000003"/>
    <n v="2"/>
    <n v="0.6"/>
    <n v="-26.169599999999999"/>
    <x v="3"/>
    <x v="2"/>
  </r>
  <r>
    <s v="CA-2015-145457"/>
    <x v="257"/>
    <d v="2015-03-27T00:00:00"/>
    <x v="0"/>
    <s v="CP-12085"/>
    <s v="Cathy Prescott"/>
    <x v="1"/>
    <s v="United States"/>
    <x v="326"/>
    <x v="13"/>
    <x v="1"/>
    <s v="FUR-FU-10003832"/>
    <s v="Furniture"/>
    <x v="3"/>
    <s v="Eldon Expressions Punched Metal &amp; Wood Desk Accessories, Black &amp; Cherry"/>
    <n v="46.9"/>
    <n v="5"/>
    <n v="0"/>
    <n v="13.132"/>
    <x v="0"/>
    <x v="9"/>
  </r>
  <r>
    <s v="US-2017-163657"/>
    <x v="113"/>
    <d v="2017-09-06T00:00:00"/>
    <x v="1"/>
    <s v="JL-15235"/>
    <s v="Janet Lee"/>
    <x v="0"/>
    <s v="United States"/>
    <x v="2"/>
    <x v="2"/>
    <x v="1"/>
    <s v="FUR-TA-10004607"/>
    <s v="Furniture"/>
    <x v="2"/>
    <s v="Hon 2111 Invitation Series Straight Table"/>
    <n v="236.52799999999999"/>
    <n v="2"/>
    <n v="0.2"/>
    <n v="-2.9565999999999999"/>
    <x v="4"/>
    <x v="4"/>
  </r>
  <r>
    <s v="CA-2017-127474"/>
    <x v="761"/>
    <d v="2017-02-07T00:00:00"/>
    <x v="0"/>
    <s v="RD-19810"/>
    <s v="Ross DeVincentis"/>
    <x v="2"/>
    <s v="United States"/>
    <x v="9"/>
    <x v="8"/>
    <x v="3"/>
    <s v="FUR-FU-10004597"/>
    <s v="Furniture"/>
    <x v="3"/>
    <s v="Eldon Cleatmat Chair Mats for Medium Pile Carpets"/>
    <n v="22.2"/>
    <n v="1"/>
    <n v="0.6"/>
    <n v="-26.085000000000001"/>
    <x v="4"/>
    <x v="11"/>
  </r>
  <r>
    <s v="CA-2017-115448"/>
    <x v="762"/>
    <d v="2017-11-14T00:00:00"/>
    <x v="2"/>
    <s v="MH-18025"/>
    <s v="Michelle Huthwaite"/>
    <x v="0"/>
    <s v="United States"/>
    <x v="270"/>
    <x v="9"/>
    <x v="0"/>
    <s v="FUR-FU-10004090"/>
    <s v="Furniture"/>
    <x v="3"/>
    <s v="Executive Impressions 14&quot; Contract Wall Clock"/>
    <n v="88.92"/>
    <n v="5"/>
    <n v="0.2"/>
    <n v="14.4495"/>
    <x v="0"/>
    <x v="0"/>
  </r>
  <r>
    <s v="CA-2017-105669"/>
    <x v="342"/>
    <d v="2017-09-22T00:00:00"/>
    <x v="0"/>
    <s v="SJ-20125"/>
    <s v="Sanjit Jacobs"/>
    <x v="2"/>
    <s v="United States"/>
    <x v="6"/>
    <x v="5"/>
    <x v="3"/>
    <s v="FUR-CH-10003774"/>
    <s v="Furniture"/>
    <x v="1"/>
    <s v="Global Wood Trimmed Manager's Task Chair, Khaki"/>
    <n v="318.43"/>
    <n v="5"/>
    <n v="0.3"/>
    <n v="-77.332999999999998"/>
    <x v="2"/>
    <x v="4"/>
  </r>
  <r>
    <s v="CA-2015-137974"/>
    <x v="763"/>
    <d v="2015-04-18T00:00:00"/>
    <x v="2"/>
    <s v="LL-16840"/>
    <s v="Lauren Leatherbury"/>
    <x v="0"/>
    <s v="United States"/>
    <x v="61"/>
    <x v="25"/>
    <x v="0"/>
    <s v="FUR-FU-10001468"/>
    <s v="Furniture"/>
    <x v="3"/>
    <s v="Tenex Antistatic Computer Chair Mats"/>
    <n v="1196.8599999999999"/>
    <n v="7"/>
    <n v="0"/>
    <n v="119.68600000000001"/>
    <x v="3"/>
    <x v="6"/>
  </r>
  <r>
    <s v="CA-2015-137974"/>
    <x v="763"/>
    <d v="2015-04-18T00:00:00"/>
    <x v="2"/>
    <s v="LL-16840"/>
    <s v="Lauren Leatherbury"/>
    <x v="0"/>
    <s v="United States"/>
    <x v="61"/>
    <x v="25"/>
    <x v="0"/>
    <s v="FUR-BO-10001519"/>
    <s v="Furniture"/>
    <x v="0"/>
    <s v="O'Sullivan 3-Shelf Heavy-Duty Bookcases"/>
    <n v="523.26"/>
    <n v="9"/>
    <n v="0"/>
    <n v="125.58240000000001"/>
    <x v="3"/>
    <x v="6"/>
  </r>
  <r>
    <s v="CA-2017-148985"/>
    <x v="762"/>
    <d v="2017-11-15T00:00:00"/>
    <x v="0"/>
    <s v="TB-21190"/>
    <s v="Thomas Brumley"/>
    <x v="2"/>
    <s v="United States"/>
    <x v="2"/>
    <x v="2"/>
    <x v="1"/>
    <s v="FUR-FU-10001424"/>
    <s v="Furniture"/>
    <x v="3"/>
    <s v="Dax Clear Box Frame"/>
    <n v="34.92"/>
    <n v="4"/>
    <n v="0"/>
    <n v="11.8728"/>
    <x v="4"/>
    <x v="0"/>
  </r>
  <r>
    <s v="CA-2014-138100"/>
    <x v="712"/>
    <d v="2014-09-20T00:00:00"/>
    <x v="1"/>
    <s v="AA-10315"/>
    <s v="Alex Avila"/>
    <x v="0"/>
    <s v="United States"/>
    <x v="13"/>
    <x v="7"/>
    <x v="2"/>
    <s v="FUR-FU-10002456"/>
    <s v="Furniture"/>
    <x v="3"/>
    <s v="Master Caster Door Stop, Large Neon Orange"/>
    <n v="14.56"/>
    <n v="2"/>
    <n v="0"/>
    <n v="6.2607999999999997"/>
    <x v="2"/>
    <x v="4"/>
  </r>
  <r>
    <s v="CA-2014-167199"/>
    <x v="764"/>
    <d v="2014-01-10T00:00:00"/>
    <x v="1"/>
    <s v="ME-17320"/>
    <s v="Maria Etezadi"/>
    <x v="2"/>
    <s v="United States"/>
    <x v="0"/>
    <x v="0"/>
    <x v="0"/>
    <s v="FUR-CH-10004063"/>
    <s v="Furniture"/>
    <x v="1"/>
    <s v="Global Deluxe High-Back Manager's Chair"/>
    <n v="2573.8200000000002"/>
    <n v="9"/>
    <n v="0"/>
    <n v="746.40779999999995"/>
    <x v="4"/>
    <x v="8"/>
  </r>
  <r>
    <s v="CA-2014-129938"/>
    <x v="256"/>
    <d v="2014-12-17T00:00:00"/>
    <x v="0"/>
    <s v="EB-13705"/>
    <s v="Ed Braxton"/>
    <x v="1"/>
    <s v="United States"/>
    <x v="3"/>
    <x v="3"/>
    <x v="2"/>
    <s v="FUR-CH-10003774"/>
    <s v="Furniture"/>
    <x v="1"/>
    <s v="Global Wood Trimmed Manager's Task Chair, Khaki"/>
    <n v="445.80200000000002"/>
    <n v="7"/>
    <n v="0.3"/>
    <n v="-108.2662"/>
    <x v="3"/>
    <x v="5"/>
  </r>
  <r>
    <s v="US-2015-134558"/>
    <x v="765"/>
    <d v="2015-12-24T00:00:00"/>
    <x v="0"/>
    <s v="PM-19135"/>
    <s v="Peter McVee"/>
    <x v="2"/>
    <s v="United States"/>
    <x v="63"/>
    <x v="28"/>
    <x v="2"/>
    <s v="FUR-TA-10003473"/>
    <s v="Furniture"/>
    <x v="2"/>
    <s v="Bretford Rectangular Conference Table Tops"/>
    <n v="1053.164"/>
    <n v="4"/>
    <n v="0.3"/>
    <n v="-105.3164"/>
    <x v="2"/>
    <x v="5"/>
  </r>
  <r>
    <s v="CA-2015-108672"/>
    <x v="468"/>
    <d v="2015-09-16T00:00:00"/>
    <x v="1"/>
    <s v="FA-14230"/>
    <s v="Frank Atkinson"/>
    <x v="1"/>
    <s v="United States"/>
    <x v="2"/>
    <x v="2"/>
    <x v="1"/>
    <s v="FUR-FU-10003799"/>
    <s v="Furniture"/>
    <x v="3"/>
    <s v="Seth Thomas 13 1/2&quot; Wall Clock"/>
    <n v="106.68"/>
    <n v="6"/>
    <n v="0"/>
    <n v="33.070799999999998"/>
    <x v="6"/>
    <x v="4"/>
  </r>
  <r>
    <s v="US-2017-160836"/>
    <x v="91"/>
    <d v="2017-09-16T00:00:00"/>
    <x v="1"/>
    <s v="CC-12475"/>
    <s v="Cindy Chapman"/>
    <x v="0"/>
    <s v="United States"/>
    <x v="6"/>
    <x v="5"/>
    <x v="3"/>
    <s v="FUR-TA-10002855"/>
    <s v="Furniture"/>
    <x v="2"/>
    <s v="Bevis Round Conference Table Top &amp; Single Column Base"/>
    <n v="512.19000000000005"/>
    <n v="5"/>
    <n v="0.3"/>
    <n v="-65.852999999999994"/>
    <x v="2"/>
    <x v="4"/>
  </r>
  <r>
    <s v="CA-2017-121048"/>
    <x v="766"/>
    <d v="2017-07-18T00:00:00"/>
    <x v="1"/>
    <s v="TC-21295"/>
    <s v="Toby Carlisle"/>
    <x v="0"/>
    <s v="United States"/>
    <x v="327"/>
    <x v="2"/>
    <x v="1"/>
    <s v="FUR-FU-10003601"/>
    <s v="Furniture"/>
    <x v="3"/>
    <s v="Deflect-o RollaMat Studded, Beveled Mat for Medium Pile Carpeting"/>
    <n v="276.69"/>
    <n v="3"/>
    <n v="0"/>
    <n v="49.804200000000002"/>
    <x v="4"/>
    <x v="3"/>
  </r>
  <r>
    <s v="CA-2017-121048"/>
    <x v="766"/>
    <d v="2017-07-18T00:00:00"/>
    <x v="1"/>
    <s v="TC-21295"/>
    <s v="Toby Carlisle"/>
    <x v="0"/>
    <s v="United States"/>
    <x v="327"/>
    <x v="2"/>
    <x v="1"/>
    <s v="FUR-FU-10002960"/>
    <s v="Furniture"/>
    <x v="3"/>
    <s v="Eldon 200 Class Desk Accessories, Burgundy"/>
    <n v="18.84"/>
    <n v="3"/>
    <n v="0"/>
    <n v="7.9127999999999998"/>
    <x v="4"/>
    <x v="3"/>
  </r>
  <r>
    <s v="US-2017-161935"/>
    <x v="766"/>
    <d v="2017-07-18T00:00:00"/>
    <x v="1"/>
    <s v="JL-15835"/>
    <s v="John Lee"/>
    <x v="0"/>
    <s v="United States"/>
    <x v="29"/>
    <x v="15"/>
    <x v="2"/>
    <s v="FUR-FU-10002937"/>
    <s v="Furniture"/>
    <x v="3"/>
    <s v="GE 48&quot; Fluorescent Tube, Cool White Energy Saver, 34 Watts, 30/Box"/>
    <n v="396.92"/>
    <n v="5"/>
    <n v="0.2"/>
    <n v="148.845"/>
    <x v="4"/>
    <x v="3"/>
  </r>
  <r>
    <s v="CA-2016-162383"/>
    <x v="26"/>
    <d v="2016-09-11T00:00:00"/>
    <x v="1"/>
    <s v="MD-17350"/>
    <s v="Maribeth Dona"/>
    <x v="0"/>
    <s v="United States"/>
    <x v="68"/>
    <x v="15"/>
    <x v="2"/>
    <s v="FUR-CH-10004477"/>
    <s v="Furniture"/>
    <x v="1"/>
    <s v="Global Push Button Manager's Chair, Indigo"/>
    <n v="85.245999999999995"/>
    <n v="2"/>
    <n v="0.3"/>
    <n v="-1.2178"/>
    <x v="6"/>
    <x v="4"/>
  </r>
  <r>
    <s v="CA-2014-125731"/>
    <x v="767"/>
    <d v="2014-09-16T00:00:00"/>
    <x v="1"/>
    <s v="CL-12565"/>
    <s v="Clay Ludtke"/>
    <x v="0"/>
    <s v="United States"/>
    <x v="195"/>
    <x v="36"/>
    <x v="1"/>
    <s v="FUR-CH-10003973"/>
    <s v="Furniture"/>
    <x v="1"/>
    <s v="GuestStacker Chair with Chrome Finish Legs"/>
    <n v="1487.04"/>
    <n v="5"/>
    <n v="0.2"/>
    <n v="148.70400000000001"/>
    <x v="6"/>
    <x v="4"/>
  </r>
  <r>
    <s v="US-2017-106145"/>
    <x v="572"/>
    <d v="2017-09-26T00:00:00"/>
    <x v="3"/>
    <s v="RA-19885"/>
    <s v="Ruben Ausman"/>
    <x v="1"/>
    <s v="United States"/>
    <x v="28"/>
    <x v="2"/>
    <x v="1"/>
    <s v="FUR-FU-10003829"/>
    <s v="Furniture"/>
    <x v="3"/>
    <s v="Stackable Trays"/>
    <n v="9.24"/>
    <n v="3"/>
    <n v="0"/>
    <n v="2.9567999999999999"/>
    <x v="7"/>
    <x v="4"/>
  </r>
  <r>
    <s v="CA-2016-107146"/>
    <x v="9"/>
    <d v="2016-06-19T00:00:00"/>
    <x v="2"/>
    <s v="LC-16885"/>
    <s v="Lena Creighton"/>
    <x v="0"/>
    <s v="United States"/>
    <x v="328"/>
    <x v="12"/>
    <x v="1"/>
    <s v="FUR-FU-10002298"/>
    <s v="Furniture"/>
    <x v="3"/>
    <s v="Rubbermaid ClusterMat Chairmats, Mat Size- 66&quot; x 60&quot;, Lip 20&quot; x 11&quot; -90 Degree Angle"/>
    <n v="266.35199999999998"/>
    <n v="3"/>
    <n v="0.2"/>
    <n v="-13.317600000000001"/>
    <x v="3"/>
    <x v="2"/>
  </r>
  <r>
    <s v="CA-2016-107146"/>
    <x v="9"/>
    <d v="2016-06-19T00:00:00"/>
    <x v="2"/>
    <s v="LC-16885"/>
    <s v="Lena Creighton"/>
    <x v="0"/>
    <s v="United States"/>
    <x v="328"/>
    <x v="12"/>
    <x v="1"/>
    <s v="FUR-CH-10004853"/>
    <s v="Furniture"/>
    <x v="1"/>
    <s v="Global Manager's Adjustable Task Chair, Storm"/>
    <n v="483.13600000000002"/>
    <n v="4"/>
    <n v="0.2"/>
    <n v="54.352800000000002"/>
    <x v="3"/>
    <x v="2"/>
  </r>
  <r>
    <s v="US-2017-134642"/>
    <x v="768"/>
    <d v="2017-03-01T00:00:00"/>
    <x v="1"/>
    <s v="SW-20245"/>
    <s v="Scot Wooten"/>
    <x v="0"/>
    <s v="United States"/>
    <x v="329"/>
    <x v="30"/>
    <x v="0"/>
    <s v="FUR-CH-10002880"/>
    <s v="Furniture"/>
    <x v="1"/>
    <s v="Global High-Back Leather Tilter, Burgundy"/>
    <n v="196.78399999999999"/>
    <n v="2"/>
    <n v="0.2"/>
    <n v="-22.138200000000001"/>
    <x v="4"/>
    <x v="11"/>
  </r>
  <r>
    <s v="US-2017-134642"/>
    <x v="768"/>
    <d v="2017-03-01T00:00:00"/>
    <x v="1"/>
    <s v="SW-20245"/>
    <s v="Scot Wooten"/>
    <x v="0"/>
    <s v="United States"/>
    <x v="329"/>
    <x v="30"/>
    <x v="0"/>
    <s v="FUR-BO-10004709"/>
    <s v="Furniture"/>
    <x v="0"/>
    <s v="Bush Westfield Collection Bookcases, Medium Cherry Finish"/>
    <n v="231.92"/>
    <n v="5"/>
    <n v="0.2"/>
    <n v="5.798"/>
    <x v="4"/>
    <x v="11"/>
  </r>
  <r>
    <s v="CA-2017-103415"/>
    <x v="587"/>
    <d v="2017-12-08T00:00:00"/>
    <x v="1"/>
    <s v="MV-17485"/>
    <s v="Mark Van Huff"/>
    <x v="0"/>
    <s v="United States"/>
    <x v="6"/>
    <x v="5"/>
    <x v="3"/>
    <s v="FUR-FU-10000820"/>
    <s v="Furniture"/>
    <x v="3"/>
    <s v="Tensor Brushed Steel Torchiere Floor Lamp"/>
    <n v="13.592000000000001"/>
    <n v="2"/>
    <n v="0.6"/>
    <n v="-14.271599999999999"/>
    <x v="2"/>
    <x v="5"/>
  </r>
  <r>
    <s v="US-2017-112347"/>
    <x v="308"/>
    <d v="2017-12-06T00:00:00"/>
    <x v="1"/>
    <s v="BS-11380"/>
    <s v="Bill Stewart"/>
    <x v="1"/>
    <s v="United States"/>
    <x v="22"/>
    <x v="12"/>
    <x v="1"/>
    <s v="FUR-BO-10003546"/>
    <s v="Furniture"/>
    <x v="0"/>
    <s v="Hon 4-Shelf Metal Bookcases"/>
    <n v="242.352"/>
    <n v="8"/>
    <n v="0.7"/>
    <n v="-363.52800000000002"/>
    <x v="4"/>
    <x v="5"/>
  </r>
  <r>
    <s v="US-2017-112347"/>
    <x v="308"/>
    <d v="2017-12-06T00:00:00"/>
    <x v="1"/>
    <s v="BS-11380"/>
    <s v="Bill Stewart"/>
    <x v="1"/>
    <s v="United States"/>
    <x v="22"/>
    <x v="12"/>
    <x v="1"/>
    <s v="FUR-FU-10001488"/>
    <s v="Furniture"/>
    <x v="3"/>
    <s v="Tenex 46&quot; x 60&quot; Computer Anti-Static Chairmat, Rectangular Shaped"/>
    <n v="508.70400000000001"/>
    <n v="6"/>
    <n v="0.2"/>
    <n v="0"/>
    <x v="4"/>
    <x v="5"/>
  </r>
  <r>
    <s v="US-2017-112347"/>
    <x v="308"/>
    <d v="2017-12-06T00:00:00"/>
    <x v="1"/>
    <s v="BS-11380"/>
    <s v="Bill Stewart"/>
    <x v="1"/>
    <s v="United States"/>
    <x v="22"/>
    <x v="12"/>
    <x v="1"/>
    <s v="FUR-CH-10002335"/>
    <s v="Furniture"/>
    <x v="1"/>
    <s v="Hon GuestStacker Chair"/>
    <n v="906.68"/>
    <n v="5"/>
    <n v="0.2"/>
    <n v="68.001000000000005"/>
    <x v="4"/>
    <x v="5"/>
  </r>
  <r>
    <s v="CA-2016-136595"/>
    <x v="26"/>
    <d v="2016-09-07T00:00:00"/>
    <x v="2"/>
    <s v="EM-13825"/>
    <s v="Elizabeth Moffitt"/>
    <x v="1"/>
    <s v="United States"/>
    <x v="6"/>
    <x v="5"/>
    <x v="3"/>
    <s v="FUR-FU-10004671"/>
    <s v="Furniture"/>
    <x v="3"/>
    <s v="Executive Impressions 12&quot; Wall Clock"/>
    <n v="21.204000000000001"/>
    <n v="3"/>
    <n v="0.6"/>
    <n v="-11.6622"/>
    <x v="3"/>
    <x v="4"/>
  </r>
  <r>
    <s v="CA-2014-114181"/>
    <x v="769"/>
    <d v="2014-05-14T00:00:00"/>
    <x v="0"/>
    <s v="AF-10885"/>
    <s v="Art Foster"/>
    <x v="0"/>
    <s v="United States"/>
    <x v="3"/>
    <x v="3"/>
    <x v="2"/>
    <s v="FUR-BO-10004467"/>
    <s v="Furniture"/>
    <x v="0"/>
    <s v="Bestar Classic Bookcase"/>
    <n v="349.96499999999997"/>
    <n v="7"/>
    <n v="0.5"/>
    <n v="-216.97829999999999"/>
    <x v="4"/>
    <x v="7"/>
  </r>
  <r>
    <s v="US-2014-137155"/>
    <x v="770"/>
    <d v="2014-11-05T00:00:00"/>
    <x v="1"/>
    <s v="DL-12925"/>
    <s v="Daniel Lacy"/>
    <x v="0"/>
    <s v="United States"/>
    <x v="62"/>
    <x v="7"/>
    <x v="2"/>
    <s v="FUR-FU-10003142"/>
    <s v="Furniture"/>
    <x v="3"/>
    <s v="Master Big Foot Doorstop, Beige"/>
    <n v="31.68"/>
    <n v="6"/>
    <n v="0"/>
    <n v="9.8208000000000002"/>
    <x v="4"/>
    <x v="0"/>
  </r>
  <r>
    <s v="CA-2016-105746"/>
    <x v="771"/>
    <d v="2017-01-01T00:00:00"/>
    <x v="2"/>
    <s v="BD-11605"/>
    <s v="Brian Dahlen"/>
    <x v="0"/>
    <s v="United States"/>
    <x v="68"/>
    <x v="3"/>
    <x v="2"/>
    <s v="FUR-CH-10000454"/>
    <s v="Furniture"/>
    <x v="1"/>
    <s v="Hon Deluxe Fabric Upholstered Stacking Chairs, Rounded Back"/>
    <n v="170.786"/>
    <n v="1"/>
    <n v="0.3"/>
    <n v="0"/>
    <x v="3"/>
    <x v="5"/>
  </r>
  <r>
    <s v="US-2016-104815"/>
    <x v="222"/>
    <d v="2016-09-07T00:00:00"/>
    <x v="1"/>
    <s v="RB-19570"/>
    <s v="Rob Beeghly"/>
    <x v="0"/>
    <s v="United States"/>
    <x v="9"/>
    <x v="8"/>
    <x v="3"/>
    <s v="FUR-BO-10003894"/>
    <s v="Furniture"/>
    <x v="0"/>
    <s v="Safco Value Mate Steel Bookcase, Baked Enamel Finish on Steel, Black"/>
    <n v="198.744"/>
    <n v="4"/>
    <n v="0.3"/>
    <n v="0"/>
    <x v="4"/>
    <x v="4"/>
  </r>
  <r>
    <s v="US-2016-166660"/>
    <x v="772"/>
    <d v="2016-02-01T00:00:00"/>
    <x v="0"/>
    <s v="TB-21250"/>
    <s v="Tim Brockman"/>
    <x v="0"/>
    <s v="United States"/>
    <x v="15"/>
    <x v="13"/>
    <x v="1"/>
    <s v="FUR-CH-10001190"/>
    <s v="Furniture"/>
    <x v="1"/>
    <s v="Global Deluxe High-Back Office Chair in Storm"/>
    <n v="435.16800000000001"/>
    <n v="4"/>
    <n v="0.2"/>
    <n v="-59.835599999999999"/>
    <x v="3"/>
    <x v="8"/>
  </r>
  <r>
    <s v="US-2016-166660"/>
    <x v="772"/>
    <d v="2016-02-01T00:00:00"/>
    <x v="0"/>
    <s v="TB-21250"/>
    <s v="Tim Brockman"/>
    <x v="0"/>
    <s v="United States"/>
    <x v="15"/>
    <x v="13"/>
    <x v="1"/>
    <s v="FUR-BO-10000468"/>
    <s v="Furniture"/>
    <x v="0"/>
    <s v="O'Sullivan 2-Shelf Heavy-Duty Bookcases"/>
    <n v="48.58"/>
    <n v="1"/>
    <n v="0"/>
    <n v="7.7728000000000002"/>
    <x v="3"/>
    <x v="8"/>
  </r>
  <r>
    <s v="CA-2014-100916"/>
    <x v="299"/>
    <d v="2014-10-26T00:00:00"/>
    <x v="1"/>
    <s v="FH-14275"/>
    <s v="Frank Hawley"/>
    <x v="1"/>
    <s v="United States"/>
    <x v="330"/>
    <x v="25"/>
    <x v="0"/>
    <s v="FUR-TA-10004607"/>
    <s v="Furniture"/>
    <x v="2"/>
    <s v="Hon 2111 Invitation Series Straight Table"/>
    <n v="591.32000000000005"/>
    <n v="4"/>
    <n v="0"/>
    <n v="112.35080000000001"/>
    <x v="2"/>
    <x v="1"/>
  </r>
  <r>
    <s v="CA-2016-138597"/>
    <x v="105"/>
    <d v="2016-12-21T00:00:00"/>
    <x v="2"/>
    <s v="PN-18775"/>
    <s v="Parhena Norris"/>
    <x v="2"/>
    <s v="United States"/>
    <x v="70"/>
    <x v="27"/>
    <x v="3"/>
    <s v="FUR-CH-10004997"/>
    <s v="Furniture"/>
    <x v="1"/>
    <s v="Hon Every-Day Series Multi-Task Chairs"/>
    <n v="563.94000000000005"/>
    <n v="3"/>
    <n v="0"/>
    <n v="112.788"/>
    <x v="0"/>
    <x v="5"/>
  </r>
  <r>
    <s v="CA-2015-142734"/>
    <x v="763"/>
    <d v="2015-04-21T00:00:00"/>
    <x v="1"/>
    <s v="DM-13345"/>
    <s v="Denise Monton"/>
    <x v="1"/>
    <s v="United States"/>
    <x v="13"/>
    <x v="7"/>
    <x v="2"/>
    <s v="FUR-CH-10003968"/>
    <s v="Furniture"/>
    <x v="1"/>
    <s v="Novimex Turbo Task Chair"/>
    <n v="127.764"/>
    <n v="2"/>
    <n v="0.1"/>
    <n v="2.8391999999999999"/>
    <x v="2"/>
    <x v="6"/>
  </r>
  <r>
    <s v="CA-2017-122945"/>
    <x v="716"/>
    <d v="2017-11-22T00:00:00"/>
    <x v="1"/>
    <s v="MB-18085"/>
    <s v="Mick Brown"/>
    <x v="0"/>
    <s v="United States"/>
    <x v="18"/>
    <x v="2"/>
    <x v="1"/>
    <s v="FUR-FU-10001196"/>
    <s v="Furniture"/>
    <x v="3"/>
    <s v="DAX Cubicle Frames - 8x10"/>
    <n v="17.309999999999999"/>
    <n v="3"/>
    <n v="0"/>
    <n v="5.1929999999999996"/>
    <x v="6"/>
    <x v="0"/>
  </r>
  <r>
    <s v="CA-2016-158778"/>
    <x v="26"/>
    <d v="2016-09-09T00:00:00"/>
    <x v="1"/>
    <s v="DB-13210"/>
    <s v="Dean Braden"/>
    <x v="0"/>
    <s v="United States"/>
    <x v="3"/>
    <x v="3"/>
    <x v="2"/>
    <s v="FUR-FU-10000260"/>
    <s v="Furniture"/>
    <x v="3"/>
    <s v="6&quot; Cubicle Wall Clock, Black"/>
    <n v="58.247999999999998"/>
    <n v="9"/>
    <n v="0.2"/>
    <n v="11.6496"/>
    <x v="4"/>
    <x v="4"/>
  </r>
  <r>
    <s v="CA-2016-158778"/>
    <x v="26"/>
    <d v="2016-09-09T00:00:00"/>
    <x v="1"/>
    <s v="DB-13210"/>
    <s v="Dean Braden"/>
    <x v="0"/>
    <s v="United States"/>
    <x v="3"/>
    <x v="3"/>
    <x v="2"/>
    <s v="FUR-CH-10001146"/>
    <s v="Furniture"/>
    <x v="1"/>
    <s v="Global Task Chair, Black"/>
    <n v="71.245999999999995"/>
    <n v="2"/>
    <n v="0.3"/>
    <n v="-19.338200000000001"/>
    <x v="4"/>
    <x v="4"/>
  </r>
  <r>
    <s v="CA-2016-158778"/>
    <x v="26"/>
    <d v="2016-09-09T00:00:00"/>
    <x v="1"/>
    <s v="DB-13210"/>
    <s v="Dean Braden"/>
    <x v="0"/>
    <s v="United States"/>
    <x v="3"/>
    <x v="3"/>
    <x v="2"/>
    <s v="FUR-CH-10000309"/>
    <s v="Furniture"/>
    <x v="1"/>
    <s v="Global Comet Stacking Arm Chair"/>
    <n v="887.27099999999996"/>
    <n v="3"/>
    <n v="0.3"/>
    <n v="-63.3765"/>
    <x v="4"/>
    <x v="4"/>
  </r>
  <r>
    <s v="CA-2016-101791"/>
    <x v="614"/>
    <d v="2016-05-31T00:00:00"/>
    <x v="1"/>
    <s v="BS-11665"/>
    <s v="Brian Stugart"/>
    <x v="0"/>
    <s v="United States"/>
    <x v="9"/>
    <x v="8"/>
    <x v="3"/>
    <s v="FUR-FU-10003247"/>
    <s v="Furniture"/>
    <x v="3"/>
    <s v="36X48 HARDFLOOR CHAIRMAT"/>
    <n v="25.175999999999998"/>
    <n v="3"/>
    <n v="0.6"/>
    <n v="-33.358199999999997"/>
    <x v="4"/>
    <x v="7"/>
  </r>
  <r>
    <s v="CA-2016-101791"/>
    <x v="614"/>
    <d v="2016-05-31T00:00:00"/>
    <x v="1"/>
    <s v="BS-11665"/>
    <s v="Brian Stugart"/>
    <x v="0"/>
    <s v="United States"/>
    <x v="9"/>
    <x v="8"/>
    <x v="3"/>
    <s v="FUR-FU-10002191"/>
    <s v="Furniture"/>
    <x v="3"/>
    <s v="G.E. Halogen Desk Lamp Bulbs"/>
    <n v="5.5839999999999996"/>
    <n v="2"/>
    <n v="0.6"/>
    <n v="-1.6752"/>
    <x v="4"/>
    <x v="7"/>
  </r>
  <r>
    <s v="CA-2015-113740"/>
    <x v="108"/>
    <d v="2015-08-28T00:00:00"/>
    <x v="0"/>
    <s v="SC-20380"/>
    <s v="Shahid Collister"/>
    <x v="0"/>
    <s v="United States"/>
    <x v="13"/>
    <x v="7"/>
    <x v="2"/>
    <s v="FUR-FU-10000010"/>
    <s v="Furniture"/>
    <x v="3"/>
    <s v="DAX Value U-Channel Document Frames, Easel Back"/>
    <n v="14.91"/>
    <n v="3"/>
    <n v="0"/>
    <n v="4.6220999999999997"/>
    <x v="4"/>
    <x v="10"/>
  </r>
  <r>
    <s v="CA-2017-151225"/>
    <x v="526"/>
    <d v="2017-10-29T00:00:00"/>
    <x v="2"/>
    <s v="JM-15655"/>
    <s v="Jim Mitchum"/>
    <x v="1"/>
    <s v="United States"/>
    <x v="2"/>
    <x v="2"/>
    <x v="1"/>
    <s v="FUR-TA-10001539"/>
    <s v="Furniture"/>
    <x v="2"/>
    <s v="Chromcraft Rectangular Conference Tables"/>
    <n v="189.57599999999999"/>
    <n v="1"/>
    <n v="0.2"/>
    <n v="9.4787999999999997"/>
    <x v="3"/>
    <x v="1"/>
  </r>
  <r>
    <s v="US-2014-144078"/>
    <x v="306"/>
    <d v="2014-11-29T00:00:00"/>
    <x v="1"/>
    <s v="RB-19435"/>
    <s v="Richard Bierner"/>
    <x v="0"/>
    <s v="United States"/>
    <x v="2"/>
    <x v="2"/>
    <x v="1"/>
    <s v="FUR-CH-10002335"/>
    <s v="Furniture"/>
    <x v="1"/>
    <s v="Hon GuestStacker Chair"/>
    <n v="725.34400000000005"/>
    <n v="4"/>
    <n v="0.2"/>
    <n v="54.400799999999997"/>
    <x v="4"/>
    <x v="0"/>
  </r>
  <r>
    <s v="CA-2015-136805"/>
    <x v="773"/>
    <d v="2015-05-27T00:00:00"/>
    <x v="0"/>
    <s v="NM-18445"/>
    <s v="Nathan Mautz"/>
    <x v="2"/>
    <s v="United States"/>
    <x v="25"/>
    <x v="17"/>
    <x v="3"/>
    <s v="FUR-FU-10003724"/>
    <s v="Furniture"/>
    <x v="3"/>
    <s v="Westinghouse Clip-On Gooseneck Lamps"/>
    <n v="75.33"/>
    <n v="9"/>
    <n v="0"/>
    <n v="19.585799999999999"/>
    <x v="4"/>
    <x v="7"/>
  </r>
  <r>
    <s v="CA-2014-162089"/>
    <x v="693"/>
    <d v="2014-04-01T00:00:00"/>
    <x v="2"/>
    <s v="MP-17470"/>
    <s v="Mark Packer"/>
    <x v="2"/>
    <s v="United States"/>
    <x v="193"/>
    <x v="5"/>
    <x v="3"/>
    <s v="FUR-CH-10002304"/>
    <s v="Furniture"/>
    <x v="1"/>
    <s v="Global Stack Chair without Arms, Black"/>
    <n v="127.30200000000001"/>
    <n v="7"/>
    <n v="0.3"/>
    <n v="-9.093"/>
    <x v="3"/>
    <x v="9"/>
  </r>
  <r>
    <s v="US-2017-158526"/>
    <x v="297"/>
    <d v="2018-01-01T00:00:00"/>
    <x v="0"/>
    <s v="KH-16360"/>
    <s v="Katherine Hughes"/>
    <x v="0"/>
    <s v="United States"/>
    <x v="74"/>
    <x v="0"/>
    <x v="0"/>
    <s v="FUR-CH-10002602"/>
    <s v="Furniture"/>
    <x v="1"/>
    <s v="DMI Arturo Collection Mission-style Design Wood Chair"/>
    <n v="1207.8399999999999"/>
    <n v="8"/>
    <n v="0"/>
    <n v="314.03840000000002"/>
    <x v="0"/>
    <x v="5"/>
  </r>
  <r>
    <s v="US-2017-158526"/>
    <x v="297"/>
    <d v="2018-01-01T00:00:00"/>
    <x v="0"/>
    <s v="KH-16360"/>
    <s v="Katherine Hughes"/>
    <x v="0"/>
    <s v="United States"/>
    <x v="74"/>
    <x v="0"/>
    <x v="0"/>
    <s v="FUR-CH-10004495"/>
    <s v="Furniture"/>
    <x v="1"/>
    <s v="Global Leather and Oak Executive Chair, Black"/>
    <n v="300.98"/>
    <n v="1"/>
    <n v="0"/>
    <n v="87.284199999999998"/>
    <x v="0"/>
    <x v="5"/>
  </r>
  <r>
    <s v="US-2017-158526"/>
    <x v="297"/>
    <d v="2018-01-01T00:00:00"/>
    <x v="0"/>
    <s v="KH-16360"/>
    <s v="Katherine Hughes"/>
    <x v="0"/>
    <s v="United States"/>
    <x v="74"/>
    <x v="0"/>
    <x v="0"/>
    <s v="FUR-CH-10001270"/>
    <s v="Furniture"/>
    <x v="1"/>
    <s v="Harbour Creations Steel Folding Chair"/>
    <n v="258.75"/>
    <n v="3"/>
    <n v="0"/>
    <n v="77.625"/>
    <x v="0"/>
    <x v="5"/>
  </r>
  <r>
    <s v="CA-2017-104885"/>
    <x v="774"/>
    <d v="2017-03-08T00:00:00"/>
    <x v="1"/>
    <s v="DB-13555"/>
    <s v="Dorothy Badders"/>
    <x v="1"/>
    <s v="United States"/>
    <x v="19"/>
    <x v="14"/>
    <x v="2"/>
    <s v="FUR-BO-10003660"/>
    <s v="Furniture"/>
    <x v="0"/>
    <s v="Bush Cubix Collection Bookcases, Fully Assembled"/>
    <n v="441.96"/>
    <n v="2"/>
    <n v="0"/>
    <n v="101.6508"/>
    <x v="6"/>
    <x v="9"/>
  </r>
  <r>
    <s v="CA-2015-161452"/>
    <x v="509"/>
    <d v="2015-04-11T00:00:00"/>
    <x v="1"/>
    <s v="CA-11965"/>
    <s v="Carol Adams"/>
    <x v="1"/>
    <s v="United States"/>
    <x v="2"/>
    <x v="2"/>
    <x v="1"/>
    <s v="FUR-CH-10003973"/>
    <s v="Furniture"/>
    <x v="1"/>
    <s v="GuestStacker Chair with Chrome Finish Legs"/>
    <n v="892.22400000000005"/>
    <n v="3"/>
    <n v="0.2"/>
    <n v="89.222399999999993"/>
    <x v="6"/>
    <x v="6"/>
  </r>
  <r>
    <s v="CA-2016-138968"/>
    <x v="775"/>
    <d v="2016-03-16T00:00:00"/>
    <x v="2"/>
    <s v="FC-14335"/>
    <s v="Fred Chung"/>
    <x v="1"/>
    <s v="United States"/>
    <x v="28"/>
    <x v="2"/>
    <x v="1"/>
    <s v="FUR-CH-10000309"/>
    <s v="Furniture"/>
    <x v="1"/>
    <s v="Global Comet Stacking Arm Chair"/>
    <n v="1352.0319999999999"/>
    <n v="4"/>
    <n v="0.2"/>
    <n v="84.501999999999995"/>
    <x v="5"/>
    <x v="9"/>
  </r>
  <r>
    <s v="CA-2015-101889"/>
    <x v="7"/>
    <d v="2015-12-31T00:00:00"/>
    <x v="1"/>
    <s v="DB-13120"/>
    <s v="David Bremer"/>
    <x v="1"/>
    <s v="United States"/>
    <x v="149"/>
    <x v="15"/>
    <x v="2"/>
    <s v="FUR-TA-10004154"/>
    <s v="Furniture"/>
    <x v="2"/>
    <s v="Riverside Furniture Oval Coffee Table, Oval End Table, End Table with Drawer"/>
    <n v="1548.99"/>
    <n v="9"/>
    <n v="0.4"/>
    <n v="-464.697"/>
    <x v="4"/>
    <x v="5"/>
  </r>
  <r>
    <s v="CA-2015-107685"/>
    <x v="737"/>
    <d v="2015-12-02T00:00:00"/>
    <x v="0"/>
    <s v="JM-15865"/>
    <s v="John Murray"/>
    <x v="0"/>
    <s v="United States"/>
    <x v="205"/>
    <x v="34"/>
    <x v="1"/>
    <s v="FUR-FU-10002813"/>
    <s v="Furniture"/>
    <x v="3"/>
    <s v="DAX Contemporary Wood Frame with Silver Metal Mat, Desktop, 11 x 14 Size"/>
    <n v="80.959999999999994"/>
    <n v="4"/>
    <n v="0"/>
    <n v="29.145600000000002"/>
    <x v="3"/>
    <x v="0"/>
  </r>
  <r>
    <s v="US-2014-120740"/>
    <x v="776"/>
    <d v="2014-04-15T00:00:00"/>
    <x v="3"/>
    <s v="PS-18970"/>
    <s v="Paul Stevenson"/>
    <x v="2"/>
    <s v="United States"/>
    <x v="2"/>
    <x v="2"/>
    <x v="1"/>
    <s v="FUR-FU-10004091"/>
    <s v="Furniture"/>
    <x v="3"/>
    <s v="Howard Miller 13&quot; Diameter Goldtone Round Wall Clock"/>
    <n v="187.76"/>
    <n v="4"/>
    <n v="0"/>
    <n v="76.9816"/>
    <x v="7"/>
    <x v="6"/>
  </r>
  <r>
    <s v="CA-2014-105417"/>
    <x v="777"/>
    <d v="2014-01-12T00:00:00"/>
    <x v="1"/>
    <s v="VS-21820"/>
    <s v="Vivek Sundaresam"/>
    <x v="0"/>
    <s v="United States"/>
    <x v="156"/>
    <x v="5"/>
    <x v="3"/>
    <s v="FUR-FU-10004864"/>
    <s v="Furniture"/>
    <x v="3"/>
    <s v="Howard Miller 14-1/2&quot; Diameter Chrome Round Wall Clock"/>
    <n v="76.727999999999994"/>
    <n v="3"/>
    <n v="0.6"/>
    <n v="-53.709600000000002"/>
    <x v="2"/>
    <x v="8"/>
  </r>
  <r>
    <s v="CA-2014-151967"/>
    <x v="27"/>
    <d v="2014-10-26T00:00:00"/>
    <x v="1"/>
    <s v="NB-18580"/>
    <s v="Nicole Brennan"/>
    <x v="1"/>
    <s v="United States"/>
    <x v="331"/>
    <x v="35"/>
    <x v="0"/>
    <s v="FUR-FU-10000193"/>
    <s v="Furniture"/>
    <x v="3"/>
    <s v="Tenex Chairmats For Use with Hard Floors"/>
    <n v="129.91999999999999"/>
    <n v="4"/>
    <n v="0"/>
    <n v="10.393599999999999"/>
    <x v="4"/>
    <x v="1"/>
  </r>
  <r>
    <s v="CA-2015-130974"/>
    <x v="61"/>
    <d v="2015-11-29T00:00:00"/>
    <x v="0"/>
    <s v="MA-17560"/>
    <s v="Matt Abelman"/>
    <x v="2"/>
    <s v="United States"/>
    <x v="114"/>
    <x v="20"/>
    <x v="2"/>
    <s v="FUR-BO-10002916"/>
    <s v="Furniture"/>
    <x v="0"/>
    <s v="Rush Hierlooms Collection 1&quot; Thick Stackable Bookcases"/>
    <n v="170.98"/>
    <n v="1"/>
    <n v="0"/>
    <n v="32.486199999999997"/>
    <x v="3"/>
    <x v="0"/>
  </r>
  <r>
    <s v="CA-2015-130974"/>
    <x v="61"/>
    <d v="2015-11-29T00:00:00"/>
    <x v="0"/>
    <s v="MA-17560"/>
    <s v="Matt Abelman"/>
    <x v="2"/>
    <s v="United States"/>
    <x v="114"/>
    <x v="20"/>
    <x v="2"/>
    <s v="FUR-FU-10002506"/>
    <s v="Furniture"/>
    <x v="3"/>
    <s v="Tensor &quot;Hersey Kiss&quot; Styled Floor Lamp"/>
    <n v="38.97"/>
    <n v="3"/>
    <n v="0"/>
    <n v="4.6764000000000001"/>
    <x v="3"/>
    <x v="0"/>
  </r>
  <r>
    <s v="CA-2015-130974"/>
    <x v="61"/>
    <d v="2015-11-29T00:00:00"/>
    <x v="0"/>
    <s v="MA-17560"/>
    <s v="Matt Abelman"/>
    <x v="2"/>
    <s v="United States"/>
    <x v="114"/>
    <x v="20"/>
    <x v="2"/>
    <s v="FUR-TA-10004619"/>
    <s v="Furniture"/>
    <x v="2"/>
    <s v="Hon Non-Folding Utility Tables"/>
    <n v="446.06799999999998"/>
    <n v="4"/>
    <n v="0.3"/>
    <n v="0"/>
    <x v="3"/>
    <x v="0"/>
  </r>
  <r>
    <s v="CA-2014-133592"/>
    <x v="252"/>
    <d v="2015-01-07T00:00:00"/>
    <x v="1"/>
    <s v="KM-16375"/>
    <s v="Katherine Murray"/>
    <x v="2"/>
    <s v="United States"/>
    <x v="134"/>
    <x v="38"/>
    <x v="2"/>
    <s v="FUR-BO-10000362"/>
    <s v="Furniture"/>
    <x v="0"/>
    <s v="Sauder Inglewood Library Bookcases"/>
    <n v="341.96"/>
    <n v="2"/>
    <n v="0"/>
    <n v="78.650800000000004"/>
    <x v="1"/>
    <x v="5"/>
  </r>
  <r>
    <s v="CA-2014-133592"/>
    <x v="252"/>
    <d v="2015-01-07T00:00:00"/>
    <x v="1"/>
    <s v="KM-16375"/>
    <s v="Katherine Murray"/>
    <x v="2"/>
    <s v="United States"/>
    <x v="134"/>
    <x v="38"/>
    <x v="2"/>
    <s v="FUR-CH-10004218"/>
    <s v="Furniture"/>
    <x v="1"/>
    <s v="Global Fabric Manager's Chair, Dark Gray"/>
    <n v="605.88"/>
    <n v="6"/>
    <n v="0"/>
    <n v="151.47"/>
    <x v="1"/>
    <x v="5"/>
  </r>
  <r>
    <s v="CA-2016-169838"/>
    <x v="778"/>
    <d v="2016-11-29T00:00:00"/>
    <x v="1"/>
    <s v="BB-11545"/>
    <s v="Brenda Bowman"/>
    <x v="1"/>
    <s v="United States"/>
    <x v="38"/>
    <x v="17"/>
    <x v="3"/>
    <s v="FUR-TA-10001095"/>
    <s v="Furniture"/>
    <x v="2"/>
    <s v="Chromcraft Round Conference Tables"/>
    <n v="1568.61"/>
    <n v="9"/>
    <n v="0"/>
    <n v="329.40809999999999"/>
    <x v="4"/>
    <x v="0"/>
  </r>
  <r>
    <s v="US-2017-128951"/>
    <x v="316"/>
    <d v="2017-07-17T00:00:00"/>
    <x v="2"/>
    <s v="RS-19420"/>
    <s v="Ricardo Sperren"/>
    <x v="1"/>
    <s v="United States"/>
    <x v="122"/>
    <x v="25"/>
    <x v="0"/>
    <s v="FUR-TA-10004575"/>
    <s v="Furniture"/>
    <x v="2"/>
    <s v="Hon 5100 Series Wood Tables"/>
    <n v="872.94"/>
    <n v="3"/>
    <n v="0"/>
    <n v="157.1292"/>
    <x v="3"/>
    <x v="3"/>
  </r>
  <r>
    <s v="CA-2016-118899"/>
    <x v="779"/>
    <d v="2016-03-22T00:00:00"/>
    <x v="3"/>
    <s v="MC-17275"/>
    <s v="Marc Crier"/>
    <x v="0"/>
    <s v="United States"/>
    <x v="15"/>
    <x v="13"/>
    <x v="1"/>
    <s v="FUR-CH-10004754"/>
    <s v="Furniture"/>
    <x v="1"/>
    <s v="Global Stack Chair with Arms, Black"/>
    <n v="167.88800000000001"/>
    <n v="7"/>
    <n v="0.2"/>
    <n v="14.690200000000001"/>
    <x v="7"/>
    <x v="9"/>
  </r>
  <r>
    <s v="CA-2017-151799"/>
    <x v="417"/>
    <d v="2017-12-18T00:00:00"/>
    <x v="1"/>
    <s v="BF-11170"/>
    <s v="Ben Ferrer"/>
    <x v="2"/>
    <s v="United States"/>
    <x v="37"/>
    <x v="20"/>
    <x v="2"/>
    <s v="FUR-TA-10003473"/>
    <s v="Furniture"/>
    <x v="2"/>
    <s v="Bretford Rectangular Conference Table Tops"/>
    <n v="526.58199999999999"/>
    <n v="2"/>
    <n v="0.3"/>
    <n v="-52.658200000000001"/>
    <x v="4"/>
    <x v="5"/>
  </r>
  <r>
    <s v="CA-2016-114601"/>
    <x v="238"/>
    <d v="2016-09-02T00:00:00"/>
    <x v="1"/>
    <s v="AA-10480"/>
    <s v="Andrew Allen"/>
    <x v="0"/>
    <s v="United States"/>
    <x v="25"/>
    <x v="17"/>
    <x v="3"/>
    <s v="FUR-TA-10004147"/>
    <s v="Furniture"/>
    <x v="2"/>
    <s v="Hon 4060 Series Tables"/>
    <n v="447.84"/>
    <n v="4"/>
    <n v="0"/>
    <n v="98.524799999999999"/>
    <x v="1"/>
    <x v="10"/>
  </r>
  <r>
    <s v="CA-2017-139353"/>
    <x v="780"/>
    <d v="2017-10-30T00:00:00"/>
    <x v="0"/>
    <s v="JM-15250"/>
    <s v="Janet Martin"/>
    <x v="0"/>
    <s v="United States"/>
    <x v="160"/>
    <x v="30"/>
    <x v="0"/>
    <s v="FUR-FU-10001876"/>
    <s v="Furniture"/>
    <x v="3"/>
    <s v="Computer Room Manger, 14&quot;"/>
    <n v="77.951999999999998"/>
    <n v="3"/>
    <n v="0.2"/>
    <n v="15.590400000000001"/>
    <x v="3"/>
    <x v="1"/>
  </r>
  <r>
    <s v="CA-2015-139374"/>
    <x v="468"/>
    <d v="2015-09-14T00:00:00"/>
    <x v="1"/>
    <s v="AR-10345"/>
    <s v="Alex Russell"/>
    <x v="1"/>
    <s v="United States"/>
    <x v="198"/>
    <x v="5"/>
    <x v="3"/>
    <s v="FUR-CH-10003981"/>
    <s v="Furniture"/>
    <x v="1"/>
    <s v="Global Commerce Series Low-Back Swivel/Tilt Chairs"/>
    <n v="179.886"/>
    <n v="1"/>
    <n v="0.3"/>
    <n v="-2.5697999999999999"/>
    <x v="4"/>
    <x v="4"/>
  </r>
  <r>
    <s v="CA-2017-104850"/>
    <x v="234"/>
    <d v="2017-06-19T00:00:00"/>
    <x v="1"/>
    <s v="TW-21025"/>
    <s v="Tamara Willingham"/>
    <x v="2"/>
    <s v="United States"/>
    <x v="15"/>
    <x v="13"/>
    <x v="1"/>
    <s v="FUR-CH-10003774"/>
    <s v="Furniture"/>
    <x v="1"/>
    <s v="Global Wood Trimmed Manager's Task Chair, Khaki"/>
    <n v="291.13600000000002"/>
    <n v="4"/>
    <n v="0.2"/>
    <n v="-25.474399999999999"/>
    <x v="6"/>
    <x v="2"/>
  </r>
  <r>
    <s v="CA-2015-133242"/>
    <x v="311"/>
    <d v="2015-06-24T00:00:00"/>
    <x v="1"/>
    <s v="KH-16510"/>
    <s v="Keith Herrera"/>
    <x v="0"/>
    <s v="United States"/>
    <x v="58"/>
    <x v="25"/>
    <x v="0"/>
    <s v="FUR-FU-10003464"/>
    <s v="Furniture"/>
    <x v="3"/>
    <s v="Seth Thomas 8 1/2&quot; Cubicle Clock"/>
    <n v="60.84"/>
    <n v="3"/>
    <n v="0"/>
    <n v="19.468800000000002"/>
    <x v="6"/>
    <x v="2"/>
  </r>
  <r>
    <s v="CA-2015-158323"/>
    <x v="737"/>
    <d v="2015-12-03T00:00:00"/>
    <x v="2"/>
    <s v="AB-10600"/>
    <s v="Ann Blume"/>
    <x v="1"/>
    <s v="United States"/>
    <x v="51"/>
    <x v="30"/>
    <x v="0"/>
    <s v="FUR-FU-10001546"/>
    <s v="Furniture"/>
    <x v="3"/>
    <s v="Dana Swing-Arm Lamps"/>
    <n v="17.088000000000001"/>
    <n v="2"/>
    <n v="0.2"/>
    <n v="1.0680000000000001"/>
    <x v="0"/>
    <x v="0"/>
  </r>
  <r>
    <s v="CA-2017-112844"/>
    <x v="596"/>
    <d v="2017-11-16T00:00:00"/>
    <x v="0"/>
    <s v="SP-20620"/>
    <s v="Stefania Perrino"/>
    <x v="1"/>
    <s v="United States"/>
    <x v="252"/>
    <x v="7"/>
    <x v="2"/>
    <s v="FUR-FU-10004845"/>
    <s v="Furniture"/>
    <x v="3"/>
    <s v="Deflect-o EconoMat Nonstudded, No Bevel Mat"/>
    <n v="154.94999999999999"/>
    <n v="3"/>
    <n v="0"/>
    <n v="30.99"/>
    <x v="0"/>
    <x v="0"/>
  </r>
  <r>
    <s v="US-2017-118941"/>
    <x v="661"/>
    <d v="2017-08-12T00:00:00"/>
    <x v="3"/>
    <s v="BB-11545"/>
    <s v="Brenda Bowman"/>
    <x v="1"/>
    <s v="United States"/>
    <x v="11"/>
    <x v="32"/>
    <x v="2"/>
    <s v="FUR-CH-10002331"/>
    <s v="Furniture"/>
    <x v="1"/>
    <s v="Hon 4700 Series Mobuis Mid-Back Task Chairs with Adjustable Arms"/>
    <n v="1779.9"/>
    <n v="5"/>
    <n v="0"/>
    <n v="373.779"/>
    <x v="7"/>
    <x v="10"/>
  </r>
  <r>
    <s v="CA-2016-162236"/>
    <x v="114"/>
    <d v="2016-11-06T00:00:00"/>
    <x v="0"/>
    <s v="ER-13855"/>
    <s v="Elpida Rittenbach"/>
    <x v="1"/>
    <s v="United States"/>
    <x v="127"/>
    <x v="30"/>
    <x v="0"/>
    <s v="FUR-TA-10002533"/>
    <s v="Furniture"/>
    <x v="2"/>
    <s v="BPI Conference Tables"/>
    <n v="876.3"/>
    <n v="10"/>
    <n v="0.4"/>
    <n v="-292.10000000000002"/>
    <x v="3"/>
    <x v="0"/>
  </r>
  <r>
    <s v="US-2016-117037"/>
    <x v="586"/>
    <d v="2016-05-20T00:00:00"/>
    <x v="2"/>
    <s v="LW-17215"/>
    <s v="Luke Weiss"/>
    <x v="0"/>
    <s v="United States"/>
    <x v="9"/>
    <x v="8"/>
    <x v="3"/>
    <s v="FUR-FU-10004973"/>
    <s v="Furniture"/>
    <x v="3"/>
    <s v="Flat Face Poster Frame"/>
    <n v="22.608000000000001"/>
    <n v="3"/>
    <n v="0.6"/>
    <n v="-10.1736"/>
    <x v="0"/>
    <x v="7"/>
  </r>
  <r>
    <s v="CA-2017-166184"/>
    <x v="781"/>
    <d v="2017-03-27T00:00:00"/>
    <x v="2"/>
    <s v="HR-14830"/>
    <s v="Harold Ryan"/>
    <x v="1"/>
    <s v="United States"/>
    <x v="13"/>
    <x v="7"/>
    <x v="2"/>
    <s v="FUR-CH-10003396"/>
    <s v="Furniture"/>
    <x v="1"/>
    <s v="Global Deluxe Steno Chair"/>
    <n v="207.846"/>
    <n v="3"/>
    <n v="0.1"/>
    <n v="2.3094000000000001"/>
    <x v="0"/>
    <x v="9"/>
  </r>
  <r>
    <s v="CA-2014-143637"/>
    <x v="782"/>
    <d v="2014-03-29T00:00:00"/>
    <x v="0"/>
    <s v="MS-17710"/>
    <s v="Maurice Satty"/>
    <x v="0"/>
    <s v="United States"/>
    <x v="99"/>
    <x v="2"/>
    <x v="1"/>
    <s v="FUR-FU-10002813"/>
    <s v="Furniture"/>
    <x v="3"/>
    <s v="DAX Contemporary Wood Frame with Silver Metal Mat, Desktop, 11 x 14 Size"/>
    <n v="40.479999999999997"/>
    <n v="2"/>
    <n v="0"/>
    <n v="14.572800000000001"/>
    <x v="2"/>
    <x v="9"/>
  </r>
  <r>
    <s v="CA-2016-134334"/>
    <x v="783"/>
    <d v="2016-02-15T00:00:00"/>
    <x v="2"/>
    <s v="DK-13090"/>
    <s v="Dave Kipp"/>
    <x v="0"/>
    <s v="United States"/>
    <x v="218"/>
    <x v="32"/>
    <x v="2"/>
    <s v="FUR-TA-10002356"/>
    <s v="Furniture"/>
    <x v="2"/>
    <s v="Bevis Boat-Shaped Conference Table"/>
    <n v="550.43100000000004"/>
    <n v="3"/>
    <n v="0.3"/>
    <n v="-47.1798"/>
    <x v="5"/>
    <x v="11"/>
  </r>
  <r>
    <s v="CA-2016-134334"/>
    <x v="783"/>
    <d v="2016-02-15T00:00:00"/>
    <x v="2"/>
    <s v="DK-13090"/>
    <s v="Dave Kipp"/>
    <x v="0"/>
    <s v="United States"/>
    <x v="218"/>
    <x v="32"/>
    <x v="2"/>
    <s v="FUR-FU-10003274"/>
    <s v="Furniture"/>
    <x v="3"/>
    <s v="Regeneration Desk Collection"/>
    <n v="10.56"/>
    <n v="6"/>
    <n v="0"/>
    <n v="4.6463999999999999"/>
    <x v="5"/>
    <x v="11"/>
  </r>
  <r>
    <s v="US-2017-109316"/>
    <x v="784"/>
    <d v="2017-06-10T00:00:00"/>
    <x v="2"/>
    <s v="MG-17680"/>
    <s v="Maureen Gastineau"/>
    <x v="2"/>
    <s v="United States"/>
    <x v="2"/>
    <x v="2"/>
    <x v="1"/>
    <s v="FUR-BO-10004834"/>
    <s v="Furniture"/>
    <x v="0"/>
    <s v="Riverside Palais Royal Lawyers Bookcase, Royale Cherry Finish"/>
    <n v="1497.6659999999999"/>
    <n v="2"/>
    <n v="0.15"/>
    <n v="140.95679999999999"/>
    <x v="3"/>
    <x v="2"/>
  </r>
  <r>
    <s v="CA-2014-125150"/>
    <x v="785"/>
    <d v="2014-05-23T00:00:00"/>
    <x v="1"/>
    <s v="PW-19030"/>
    <s v="Pauline Webber"/>
    <x v="1"/>
    <s v="United States"/>
    <x v="2"/>
    <x v="2"/>
    <x v="1"/>
    <s v="FUR-CH-10002439"/>
    <s v="Furniture"/>
    <x v="1"/>
    <s v="Iceberg Nesting Folding Chair, 19w x 6d x 43h"/>
    <n v="232.88"/>
    <n v="5"/>
    <n v="0.2"/>
    <n v="17.466000000000001"/>
    <x v="1"/>
    <x v="7"/>
  </r>
  <r>
    <s v="CA-2015-127327"/>
    <x v="136"/>
    <d v="2015-02-07T00:00:00"/>
    <x v="1"/>
    <s v="PW-19030"/>
    <s v="Pauline Webber"/>
    <x v="1"/>
    <s v="United States"/>
    <x v="248"/>
    <x v="7"/>
    <x v="2"/>
    <s v="FUR-CH-10004218"/>
    <s v="Furniture"/>
    <x v="1"/>
    <s v="Global Fabric Manager's Chair, Dark Gray"/>
    <n v="90.882000000000005"/>
    <n v="1"/>
    <n v="0.1"/>
    <n v="15.147"/>
    <x v="4"/>
    <x v="11"/>
  </r>
  <r>
    <s v="CA-2015-137302"/>
    <x v="12"/>
    <d v="2015-05-01T00:00:00"/>
    <x v="1"/>
    <s v="BW-11110"/>
    <s v="Bart Watters"/>
    <x v="1"/>
    <s v="United States"/>
    <x v="53"/>
    <x v="2"/>
    <x v="1"/>
    <s v="FUR-CH-10002017"/>
    <s v="Furniture"/>
    <x v="1"/>
    <s v="SAFCO Optional Arm Kit for Workspace Cribbage Stacking Chair"/>
    <n v="63.936"/>
    <n v="3"/>
    <n v="0.2"/>
    <n v="6.3936000000000002"/>
    <x v="2"/>
    <x v="6"/>
  </r>
  <r>
    <s v="CA-2015-106257"/>
    <x v="315"/>
    <d v="2015-04-17T00:00:00"/>
    <x v="0"/>
    <s v="EB-14110"/>
    <s v="Eugene Barchas"/>
    <x v="0"/>
    <s v="United States"/>
    <x v="2"/>
    <x v="2"/>
    <x v="1"/>
    <s v="FUR-TA-10002530"/>
    <s v="Furniture"/>
    <x v="2"/>
    <s v="Iceberg OfficeWorks 42&quot; Round Tables"/>
    <n v="241.56800000000001"/>
    <n v="2"/>
    <n v="0.2"/>
    <n v="-15.098000000000001"/>
    <x v="4"/>
    <x v="6"/>
  </r>
  <r>
    <s v="CA-2015-149083"/>
    <x v="4"/>
    <d v="2015-09-30T00:00:00"/>
    <x v="1"/>
    <s v="SH-19975"/>
    <s v="Sally Hughsby"/>
    <x v="1"/>
    <s v="United States"/>
    <x v="15"/>
    <x v="13"/>
    <x v="1"/>
    <s v="FUR-CH-10004289"/>
    <s v="Furniture"/>
    <x v="1"/>
    <s v="Global Super Steno Chair"/>
    <n v="307.13600000000002"/>
    <n v="4"/>
    <n v="0.2"/>
    <n v="-11.5176"/>
    <x v="2"/>
    <x v="4"/>
  </r>
  <r>
    <s v="US-2014-137869"/>
    <x v="786"/>
    <d v="2014-04-02T00:00:00"/>
    <x v="1"/>
    <s v="CV-12295"/>
    <s v="Christina VanderZanden"/>
    <x v="0"/>
    <s v="United States"/>
    <x v="67"/>
    <x v="26"/>
    <x v="3"/>
    <s v="FUR-TA-10003954"/>
    <s v="Furniture"/>
    <x v="2"/>
    <s v="Hon 94000 Series Round Tables"/>
    <n v="1184.72"/>
    <n v="4"/>
    <n v="0"/>
    <n v="106.62479999999999"/>
    <x v="2"/>
    <x v="9"/>
  </r>
  <r>
    <s v="US-2017-123834"/>
    <x v="720"/>
    <d v="2017-07-25T00:00:00"/>
    <x v="1"/>
    <s v="GM-14500"/>
    <s v="Gene McClure"/>
    <x v="0"/>
    <s v="United States"/>
    <x v="191"/>
    <x v="5"/>
    <x v="3"/>
    <s v="FUR-TA-10001676"/>
    <s v="Furniture"/>
    <x v="2"/>
    <s v="Hon 61000 Series Interactive Training Tables"/>
    <n v="124.404"/>
    <n v="4"/>
    <n v="0.3"/>
    <n v="-21.3264"/>
    <x v="4"/>
    <x v="3"/>
  </r>
  <r>
    <s v="CA-2016-128706"/>
    <x v="787"/>
    <d v="2016-03-02T00:00:00"/>
    <x v="1"/>
    <s v="DW-13540"/>
    <s v="Don Weiss"/>
    <x v="0"/>
    <s v="United States"/>
    <x v="6"/>
    <x v="5"/>
    <x v="3"/>
    <s v="FUR-FU-10004053"/>
    <s v="Furniture"/>
    <x v="3"/>
    <s v="DAX Two-Tone Silver Metal Document Frame"/>
    <n v="16.192"/>
    <n v="2"/>
    <n v="0.6"/>
    <n v="-6.8815999999999997"/>
    <x v="4"/>
    <x v="11"/>
  </r>
  <r>
    <s v="CA-2015-143364"/>
    <x v="788"/>
    <d v="2015-07-19T00:00:00"/>
    <x v="0"/>
    <s v="TG-21310"/>
    <s v="Toby Gnade"/>
    <x v="0"/>
    <s v="United States"/>
    <x v="81"/>
    <x v="22"/>
    <x v="1"/>
    <s v="FUR-CH-10004287"/>
    <s v="Furniture"/>
    <x v="1"/>
    <s v="SAFCO Arco Folding Chair"/>
    <n v="441.92"/>
    <n v="2"/>
    <n v="0.2"/>
    <n v="49.716000000000001"/>
    <x v="2"/>
    <x v="3"/>
  </r>
  <r>
    <s v="CA-2015-143364"/>
    <x v="788"/>
    <d v="2015-07-19T00:00:00"/>
    <x v="0"/>
    <s v="TG-21310"/>
    <s v="Toby Gnade"/>
    <x v="0"/>
    <s v="United States"/>
    <x v="81"/>
    <x v="22"/>
    <x v="1"/>
    <s v="FUR-BO-10001608"/>
    <s v="Furniture"/>
    <x v="0"/>
    <s v="Hon Metal Bookcases, Black"/>
    <n v="127.764"/>
    <n v="6"/>
    <n v="0.7"/>
    <n v="-191.64599999999999"/>
    <x v="2"/>
    <x v="3"/>
  </r>
  <r>
    <s v="CA-2016-101672"/>
    <x v="162"/>
    <d v="2016-10-07T00:00:00"/>
    <x v="1"/>
    <s v="DB-12910"/>
    <s v="Daniel Byrd"/>
    <x v="2"/>
    <s v="United States"/>
    <x v="284"/>
    <x v="2"/>
    <x v="1"/>
    <s v="FUR-CH-10004063"/>
    <s v="Furniture"/>
    <x v="1"/>
    <s v="Global Deluxe High-Back Manager's Chair"/>
    <n v="915.13599999999997"/>
    <n v="4"/>
    <n v="0.2"/>
    <n v="102.9528"/>
    <x v="4"/>
    <x v="1"/>
  </r>
  <r>
    <s v="CA-2016-160241"/>
    <x v="789"/>
    <d v="2016-12-04T00:00:00"/>
    <x v="0"/>
    <s v="DR-12940"/>
    <s v="Daniel Raglin"/>
    <x v="2"/>
    <s v="United States"/>
    <x v="14"/>
    <x v="8"/>
    <x v="3"/>
    <s v="FUR-FU-10003806"/>
    <s v="Furniture"/>
    <x v="3"/>
    <s v="Tenex Chairmat w/ Average Lip, 45&quot; x 53&quot;"/>
    <n v="242.17599999999999"/>
    <n v="4"/>
    <n v="0.6"/>
    <n v="-302.72000000000003"/>
    <x v="2"/>
    <x v="0"/>
  </r>
  <r>
    <s v="CA-2016-155747"/>
    <x v="184"/>
    <d v="2016-06-21T00:00:00"/>
    <x v="1"/>
    <s v="JS-15685"/>
    <s v="Jim Sink"/>
    <x v="1"/>
    <s v="United States"/>
    <x v="3"/>
    <x v="3"/>
    <x v="2"/>
    <s v="FUR-TA-10003392"/>
    <s v="Furniture"/>
    <x v="2"/>
    <s v="Global Adaptabilities Conference Tables"/>
    <n v="337.17599999999999"/>
    <n v="2"/>
    <n v="0.4"/>
    <n v="-118.0116"/>
    <x v="1"/>
    <x v="2"/>
  </r>
  <r>
    <s v="CA-2017-118017"/>
    <x v="587"/>
    <d v="2017-12-06T00:00:00"/>
    <x v="0"/>
    <s v="LC-16870"/>
    <s v="Lena Cacioppo"/>
    <x v="0"/>
    <s v="United States"/>
    <x v="332"/>
    <x v="12"/>
    <x v="1"/>
    <s v="FUR-FU-10004351"/>
    <s v="Furniture"/>
    <x v="3"/>
    <s v="Staple-based wall hangings"/>
    <n v="23.376000000000001"/>
    <n v="3"/>
    <n v="0.2"/>
    <n v="7.0128000000000004"/>
    <x v="0"/>
    <x v="5"/>
  </r>
  <r>
    <s v="CA-2017-118017"/>
    <x v="587"/>
    <d v="2017-12-06T00:00:00"/>
    <x v="0"/>
    <s v="LC-16870"/>
    <s v="Lena Cacioppo"/>
    <x v="0"/>
    <s v="United States"/>
    <x v="332"/>
    <x v="12"/>
    <x v="1"/>
    <s v="FUR-FU-10004270"/>
    <s v="Furniture"/>
    <x v="3"/>
    <s v="Eldon Image Series Desk Accessories, Burgundy"/>
    <n v="16.72"/>
    <n v="5"/>
    <n v="0.2"/>
    <n v="3.3439999999999999"/>
    <x v="0"/>
    <x v="5"/>
  </r>
  <r>
    <s v="CA-2017-118017"/>
    <x v="587"/>
    <d v="2017-12-06T00:00:00"/>
    <x v="0"/>
    <s v="LC-16870"/>
    <s v="Lena Cacioppo"/>
    <x v="0"/>
    <s v="United States"/>
    <x v="332"/>
    <x v="12"/>
    <x v="1"/>
    <s v="FUR-FU-10004053"/>
    <s v="Furniture"/>
    <x v="3"/>
    <s v="DAX Two-Tone Silver Metal Document Frame"/>
    <n v="16.192"/>
    <n v="1"/>
    <n v="0.2"/>
    <n v="4.6551999999999998"/>
    <x v="0"/>
    <x v="5"/>
  </r>
  <r>
    <s v="CA-2016-148684"/>
    <x v="683"/>
    <d v="2016-12-29T00:00:00"/>
    <x v="1"/>
    <s v="TS-21655"/>
    <s v="Trudy Schmidt"/>
    <x v="0"/>
    <s v="United States"/>
    <x v="160"/>
    <x v="31"/>
    <x v="0"/>
    <s v="FUR-FU-10003553"/>
    <s v="Furniture"/>
    <x v="3"/>
    <s v="Howard Miller 13-1/2&quot; Diameter Rosebrook Wall Clock"/>
    <n v="343.85"/>
    <n v="5"/>
    <n v="0"/>
    <n v="137.54"/>
    <x v="4"/>
    <x v="5"/>
  </r>
  <r>
    <s v="CA-2017-128363"/>
    <x v="790"/>
    <d v="2017-08-18T00:00:00"/>
    <x v="1"/>
    <s v="DC-12850"/>
    <s v="Dan Campbell"/>
    <x v="0"/>
    <s v="United States"/>
    <x v="10"/>
    <x v="9"/>
    <x v="0"/>
    <s v="FUR-FU-10003268"/>
    <s v="Furniture"/>
    <x v="3"/>
    <s v="Eldon Radial Chair Mat for Low to Medium Pile Carpets"/>
    <n v="31.984000000000002"/>
    <n v="1"/>
    <n v="0.2"/>
    <n v="0"/>
    <x v="2"/>
    <x v="10"/>
  </r>
  <r>
    <s v="CA-2017-128363"/>
    <x v="790"/>
    <d v="2017-08-18T00:00:00"/>
    <x v="1"/>
    <s v="DC-12850"/>
    <s v="Dan Campbell"/>
    <x v="0"/>
    <s v="United States"/>
    <x v="10"/>
    <x v="9"/>
    <x v="0"/>
    <s v="FUR-CH-10002073"/>
    <s v="Furniture"/>
    <x v="1"/>
    <s v="Hon Olson Stacker Chairs"/>
    <n v="423.64800000000002"/>
    <n v="2"/>
    <n v="0.2"/>
    <n v="47.660400000000003"/>
    <x v="2"/>
    <x v="10"/>
  </r>
  <r>
    <s v="CA-2016-149762"/>
    <x v="122"/>
    <d v="2016-12-07T00:00:00"/>
    <x v="1"/>
    <s v="RD-19720"/>
    <s v="Roger Demir"/>
    <x v="0"/>
    <s v="United States"/>
    <x v="333"/>
    <x v="2"/>
    <x v="1"/>
    <s v="FUR-TA-10004147"/>
    <s v="Furniture"/>
    <x v="2"/>
    <s v="Hon 4060 Series Tables"/>
    <n v="268.70400000000001"/>
    <n v="3"/>
    <n v="0.2"/>
    <n v="6.7176"/>
    <x v="4"/>
    <x v="5"/>
  </r>
  <r>
    <s v="CA-2016-149762"/>
    <x v="122"/>
    <d v="2016-12-07T00:00:00"/>
    <x v="1"/>
    <s v="RD-19720"/>
    <s v="Roger Demir"/>
    <x v="0"/>
    <s v="United States"/>
    <x v="333"/>
    <x v="2"/>
    <x v="1"/>
    <s v="FUR-BO-10001337"/>
    <s v="Furniture"/>
    <x v="0"/>
    <s v="O'Sullivan Living Dimensions 2-Shelf Bookcases"/>
    <n v="205.666"/>
    <n v="2"/>
    <n v="0.15"/>
    <n v="-12.098000000000001"/>
    <x v="4"/>
    <x v="5"/>
  </r>
  <r>
    <s v="CA-2016-167605"/>
    <x v="376"/>
    <d v="2016-04-30T00:00:00"/>
    <x v="0"/>
    <s v="RB-19570"/>
    <s v="Rob Beeghly"/>
    <x v="0"/>
    <s v="United States"/>
    <x v="317"/>
    <x v="8"/>
    <x v="3"/>
    <s v="FUR-FU-10001602"/>
    <s v="Furniture"/>
    <x v="3"/>
    <s v="Eldon Delta Triangular Chair Mat, 52&quot; x 58&quot;, Clear"/>
    <n v="30.344000000000001"/>
    <n v="2"/>
    <n v="0.6"/>
    <n v="-31.8612"/>
    <x v="3"/>
    <x v="6"/>
  </r>
  <r>
    <s v="CA-2015-110891"/>
    <x v="141"/>
    <d v="2015-11-24T00:00:00"/>
    <x v="1"/>
    <s v="PO-19195"/>
    <s v="Phillina Ober"/>
    <x v="2"/>
    <s v="United States"/>
    <x v="3"/>
    <x v="3"/>
    <x v="2"/>
    <s v="FUR-CH-10002880"/>
    <s v="Furniture"/>
    <x v="1"/>
    <s v="Global High-Back Leather Tilter, Burgundy"/>
    <n v="344.37200000000001"/>
    <n v="4"/>
    <n v="0.3"/>
    <n v="-93.472399999999993"/>
    <x v="4"/>
    <x v="0"/>
  </r>
  <r>
    <s v="CA-2017-120404"/>
    <x v="93"/>
    <d v="2017-11-24T00:00:00"/>
    <x v="0"/>
    <s v="KH-16330"/>
    <s v="Katharine Harms"/>
    <x v="1"/>
    <s v="United States"/>
    <x v="13"/>
    <x v="7"/>
    <x v="2"/>
    <s v="FUR-FU-10000820"/>
    <s v="Furniture"/>
    <x v="3"/>
    <s v="Tensor Brushed Steel Torchiere Floor Lamp"/>
    <n v="50.97"/>
    <n v="3"/>
    <n v="0"/>
    <n v="9.1745999999999999"/>
    <x v="4"/>
    <x v="0"/>
  </r>
  <r>
    <s v="CA-2017-167549"/>
    <x v="730"/>
    <d v="2017-07-27T00:00:00"/>
    <x v="2"/>
    <s v="EM-14200"/>
    <s v="Evan Minnotte"/>
    <x v="2"/>
    <s v="United States"/>
    <x v="144"/>
    <x v="5"/>
    <x v="3"/>
    <s v="FUR-TA-10004767"/>
    <s v="Furniture"/>
    <x v="2"/>
    <s v="Safco Drafting Table"/>
    <n v="298.11599999999999"/>
    <n v="6"/>
    <n v="0.3"/>
    <n v="-4.2587999999999999"/>
    <x v="3"/>
    <x v="3"/>
  </r>
  <r>
    <s v="US-2016-168095"/>
    <x v="791"/>
    <d v="2016-07-20T00:00:00"/>
    <x v="1"/>
    <s v="MC-17425"/>
    <s v="Mark Cousins"/>
    <x v="1"/>
    <s v="United States"/>
    <x v="295"/>
    <x v="36"/>
    <x v="1"/>
    <s v="FUR-CH-10004886"/>
    <s v="Furniture"/>
    <x v="1"/>
    <s v="Bevis Steel Folding Chairs"/>
    <n v="230.28"/>
    <n v="3"/>
    <n v="0.2"/>
    <n v="23.027999999999999"/>
    <x v="2"/>
    <x v="3"/>
  </r>
  <r>
    <s v="CA-2016-146325"/>
    <x v="469"/>
    <d v="2016-12-17T00:00:00"/>
    <x v="2"/>
    <s v="DS-13180"/>
    <s v="David Smith"/>
    <x v="1"/>
    <s v="United States"/>
    <x v="53"/>
    <x v="2"/>
    <x v="1"/>
    <s v="FUR-CH-10001146"/>
    <s v="Furniture"/>
    <x v="1"/>
    <s v="Global Task Chair, Black"/>
    <n v="81.424000000000007"/>
    <n v="2"/>
    <n v="0.2"/>
    <n v="-9.1601999999999997"/>
    <x v="0"/>
    <x v="5"/>
  </r>
  <r>
    <s v="CA-2014-131009"/>
    <x v="29"/>
    <d v="2014-03-05T00:00:00"/>
    <x v="1"/>
    <s v="SC-20380"/>
    <s v="Shahid Collister"/>
    <x v="0"/>
    <s v="United States"/>
    <x v="116"/>
    <x v="5"/>
    <x v="3"/>
    <s v="FUR-CH-10001270"/>
    <s v="Furniture"/>
    <x v="1"/>
    <s v="Harbour Creations Steel Folding Chair"/>
    <n v="362.25"/>
    <n v="6"/>
    <n v="0.3"/>
    <n v="0"/>
    <x v="4"/>
    <x v="9"/>
  </r>
  <r>
    <s v="CA-2014-131009"/>
    <x v="29"/>
    <d v="2014-03-05T00:00:00"/>
    <x v="1"/>
    <s v="SC-20380"/>
    <s v="Shahid Collister"/>
    <x v="0"/>
    <s v="United States"/>
    <x v="116"/>
    <x v="5"/>
    <x v="3"/>
    <s v="FUR-FU-10001095"/>
    <s v="Furniture"/>
    <x v="3"/>
    <s v="DAX Black Cherry Wood-Tone Poster Frame"/>
    <n v="63.552"/>
    <n v="6"/>
    <n v="0.6"/>
    <n v="-34.953600000000002"/>
    <x v="4"/>
    <x v="9"/>
  </r>
  <r>
    <s v="CA-2017-131807"/>
    <x v="702"/>
    <d v="2017-10-10T00:00:00"/>
    <x v="1"/>
    <s v="GG-14650"/>
    <s v="Greg Guthrie"/>
    <x v="1"/>
    <s v="United States"/>
    <x v="297"/>
    <x v="2"/>
    <x v="1"/>
    <s v="FUR-CH-10001190"/>
    <s v="Furniture"/>
    <x v="1"/>
    <s v="Global Deluxe High-Back Office Chair in Storm"/>
    <n v="435.16800000000001"/>
    <n v="4"/>
    <n v="0.2"/>
    <n v="-59.835599999999999"/>
    <x v="2"/>
    <x v="1"/>
  </r>
  <r>
    <s v="CA-2017-131807"/>
    <x v="702"/>
    <d v="2017-10-10T00:00:00"/>
    <x v="1"/>
    <s v="GG-14650"/>
    <s v="Greg Guthrie"/>
    <x v="1"/>
    <s v="United States"/>
    <x v="297"/>
    <x v="2"/>
    <x v="1"/>
    <s v="FUR-FU-10004666"/>
    <s v="Furniture"/>
    <x v="3"/>
    <s v="DAX Clear Channel Poster Frame"/>
    <n v="72.900000000000006"/>
    <n v="5"/>
    <n v="0"/>
    <n v="26.972999999999999"/>
    <x v="2"/>
    <x v="1"/>
  </r>
  <r>
    <s v="CA-2017-131807"/>
    <x v="702"/>
    <d v="2017-10-10T00:00:00"/>
    <x v="1"/>
    <s v="GG-14650"/>
    <s v="Greg Guthrie"/>
    <x v="1"/>
    <s v="United States"/>
    <x v="297"/>
    <x v="2"/>
    <x v="1"/>
    <s v="FUR-TA-10004086"/>
    <s v="Furniture"/>
    <x v="2"/>
    <s v="KI Adjustable-Height Table"/>
    <n v="206.352"/>
    <n v="3"/>
    <n v="0.2"/>
    <n v="5.1588000000000003"/>
    <x v="2"/>
    <x v="1"/>
  </r>
  <r>
    <s v="CA-2016-157707"/>
    <x v="792"/>
    <d v="2016-10-12T00:00:00"/>
    <x v="2"/>
    <s v="CC-12610"/>
    <s v="Corey Catlett"/>
    <x v="1"/>
    <s v="United States"/>
    <x v="22"/>
    <x v="12"/>
    <x v="1"/>
    <s v="FUR-BO-10001567"/>
    <s v="Furniture"/>
    <x v="0"/>
    <s v="Bush Westfield Collection Bookcases, Dark Cherry Finish, Fully Assembled"/>
    <n v="90.882000000000005"/>
    <n v="3"/>
    <n v="0.7"/>
    <n v="-190.85220000000001"/>
    <x v="3"/>
    <x v="1"/>
  </r>
  <r>
    <s v="CA-2016-157707"/>
    <x v="792"/>
    <d v="2016-10-12T00:00:00"/>
    <x v="2"/>
    <s v="CC-12610"/>
    <s v="Corey Catlett"/>
    <x v="1"/>
    <s v="United States"/>
    <x v="22"/>
    <x v="12"/>
    <x v="1"/>
    <s v="FUR-CH-10004853"/>
    <s v="Furniture"/>
    <x v="1"/>
    <s v="Global Manager's Adjustable Task Chair, Storm"/>
    <n v="120.78400000000001"/>
    <n v="1"/>
    <n v="0.2"/>
    <n v="13.588200000000001"/>
    <x v="3"/>
    <x v="1"/>
  </r>
  <r>
    <s v="US-2015-126753"/>
    <x v="793"/>
    <d v="2015-08-20T00:00:00"/>
    <x v="1"/>
    <s v="SP-20860"/>
    <s v="Sung Pak"/>
    <x v="1"/>
    <s v="United States"/>
    <x v="3"/>
    <x v="3"/>
    <x v="2"/>
    <s v="FUR-FU-10001488"/>
    <s v="Furniture"/>
    <x v="3"/>
    <s v="Tenex 46&quot; x 60&quot; Computer Anti-Static Chairmat, Rectangular Shaped"/>
    <n v="254.352"/>
    <n v="3"/>
    <n v="0.2"/>
    <n v="0"/>
    <x v="4"/>
    <x v="10"/>
  </r>
  <r>
    <s v="CA-2014-113383"/>
    <x v="767"/>
    <d v="2014-09-13T00:00:00"/>
    <x v="2"/>
    <s v="SF-20065"/>
    <s v="Sandra Flanagan"/>
    <x v="0"/>
    <s v="United States"/>
    <x v="334"/>
    <x v="18"/>
    <x v="2"/>
    <s v="FUR-FU-10001986"/>
    <s v="Furniture"/>
    <x v="3"/>
    <s v="Dana Fluorescent Magnifying Lamp, White, 36&quot;"/>
    <n v="254.9"/>
    <n v="5"/>
    <n v="0"/>
    <n v="76.47"/>
    <x v="0"/>
    <x v="4"/>
  </r>
  <r>
    <s v="US-2015-165743"/>
    <x v="141"/>
    <d v="2015-11-23T00:00:00"/>
    <x v="0"/>
    <s v="MM-18055"/>
    <s v="Michelle Moray"/>
    <x v="0"/>
    <s v="United States"/>
    <x v="14"/>
    <x v="12"/>
    <x v="1"/>
    <s v="FUR-BO-10002268"/>
    <s v="Furniture"/>
    <x v="0"/>
    <s v="Sauder Barrister Bookcases"/>
    <n v="145.76400000000001"/>
    <n v="6"/>
    <n v="0.7"/>
    <n v="-247.7988"/>
    <x v="0"/>
    <x v="0"/>
  </r>
  <r>
    <s v="US-2017-105998"/>
    <x v="54"/>
    <d v="2017-11-05T00:00:00"/>
    <x v="2"/>
    <s v="CR-12580"/>
    <s v="Clay Rozendal"/>
    <x v="2"/>
    <s v="United States"/>
    <x v="53"/>
    <x v="2"/>
    <x v="1"/>
    <s v="FUR-TA-10001095"/>
    <s v="Furniture"/>
    <x v="2"/>
    <s v="Chromcraft Round Conference Tables"/>
    <n v="1673.184"/>
    <n v="12"/>
    <n v="0.2"/>
    <n v="20.9148"/>
    <x v="3"/>
    <x v="0"/>
  </r>
  <r>
    <s v="US-2014-148194"/>
    <x v="236"/>
    <d v="2014-05-07T00:00:00"/>
    <x v="2"/>
    <s v="BS-11365"/>
    <s v="Bill Shonely"/>
    <x v="1"/>
    <s v="United States"/>
    <x v="15"/>
    <x v="13"/>
    <x v="1"/>
    <s v="FUR-FU-10001852"/>
    <s v="Furniture"/>
    <x v="3"/>
    <s v="Eldon Regeneration Recycled Desk Accessories, Smoke"/>
    <n v="12.18"/>
    <n v="7"/>
    <n v="0"/>
    <n v="3.8976000000000002"/>
    <x v="0"/>
    <x v="7"/>
  </r>
  <r>
    <s v="CA-2014-143210"/>
    <x v="280"/>
    <d v="2014-12-03T00:00:00"/>
    <x v="2"/>
    <s v="AA-10645"/>
    <s v="Anna Andreadi"/>
    <x v="0"/>
    <s v="United States"/>
    <x v="172"/>
    <x v="20"/>
    <x v="2"/>
    <s v="FUR-FU-10003878"/>
    <s v="Furniture"/>
    <x v="3"/>
    <s v="Linden 10&quot; Round Wall Clock, Black"/>
    <n v="45.84"/>
    <n v="3"/>
    <n v="0"/>
    <n v="15.585599999999999"/>
    <x v="3"/>
    <x v="5"/>
  </r>
  <r>
    <s v="CA-2014-143210"/>
    <x v="280"/>
    <d v="2014-12-03T00:00:00"/>
    <x v="2"/>
    <s v="AA-10645"/>
    <s v="Anna Andreadi"/>
    <x v="0"/>
    <s v="United States"/>
    <x v="172"/>
    <x v="20"/>
    <x v="2"/>
    <s v="FUR-FU-10002268"/>
    <s v="Furniture"/>
    <x v="3"/>
    <s v="Ultra Door Push Plate"/>
    <n v="9.82"/>
    <n v="2"/>
    <n v="0"/>
    <n v="3.2406000000000001"/>
    <x v="3"/>
    <x v="5"/>
  </r>
  <r>
    <s v="CA-2015-110863"/>
    <x v="669"/>
    <d v="2015-11-24T00:00:00"/>
    <x v="1"/>
    <s v="AA-10645"/>
    <s v="Anna Andreadi"/>
    <x v="0"/>
    <s v="United States"/>
    <x v="258"/>
    <x v="37"/>
    <x v="3"/>
    <s v="FUR-CH-10002073"/>
    <s v="Furniture"/>
    <x v="1"/>
    <s v="Hon Olson Stacker Chairs"/>
    <n v="1323.9"/>
    <n v="5"/>
    <n v="0"/>
    <n v="383.93099999999998"/>
    <x v="1"/>
    <x v="0"/>
  </r>
  <r>
    <s v="CA-2017-120168"/>
    <x v="794"/>
    <d v="2017-05-25T00:00:00"/>
    <x v="3"/>
    <s v="TB-21625"/>
    <s v="Trudy Brown"/>
    <x v="0"/>
    <s v="United States"/>
    <x v="13"/>
    <x v="7"/>
    <x v="2"/>
    <s v="FUR-FU-10000732"/>
    <s v="Furniture"/>
    <x v="3"/>
    <s v="Eldon 200 Class Desk Accessories"/>
    <n v="18.84"/>
    <n v="3"/>
    <n v="0"/>
    <n v="6.0288000000000004"/>
    <x v="7"/>
    <x v="7"/>
  </r>
  <r>
    <s v="US-2014-131870"/>
    <x v="383"/>
    <d v="2014-09-11T00:00:00"/>
    <x v="2"/>
    <s v="NF-18595"/>
    <s v="Nicole Fjeld"/>
    <x v="2"/>
    <s v="United States"/>
    <x v="68"/>
    <x v="15"/>
    <x v="2"/>
    <s v="FUR-FU-10002501"/>
    <s v="Furniture"/>
    <x v="3"/>
    <s v="Nu-Dell Executive Frame"/>
    <n v="60.671999999999997"/>
    <n v="6"/>
    <n v="0.2"/>
    <n v="12.892799999999999"/>
    <x v="3"/>
    <x v="4"/>
  </r>
  <r>
    <s v="CA-2014-129189"/>
    <x v="294"/>
    <d v="2014-07-25T00:00:00"/>
    <x v="1"/>
    <s v="HM-14860"/>
    <s v="Harry Marie"/>
    <x v="1"/>
    <s v="United States"/>
    <x v="144"/>
    <x v="5"/>
    <x v="3"/>
    <s v="FUR-CH-10004997"/>
    <s v="Furniture"/>
    <x v="1"/>
    <s v="Hon Every-Day Series Multi-Task Chairs"/>
    <n v="657.93"/>
    <n v="5"/>
    <n v="0.3"/>
    <n v="-93.99"/>
    <x v="4"/>
    <x v="3"/>
  </r>
  <r>
    <s v="CA-2015-132465"/>
    <x v="795"/>
    <d v="2015-09-15T00:00:00"/>
    <x v="0"/>
    <s v="DM-13525"/>
    <s v="Don Miller"/>
    <x v="1"/>
    <s v="United States"/>
    <x v="13"/>
    <x v="7"/>
    <x v="2"/>
    <s v="FUR-FU-10000277"/>
    <s v="Furniture"/>
    <x v="3"/>
    <s v="Deflect-o DuraMat Antistatic Studded Beveled Mat for Medium Pile Carpeting"/>
    <n v="210.68"/>
    <n v="2"/>
    <n v="0"/>
    <n v="50.563200000000002"/>
    <x v="4"/>
    <x v="4"/>
  </r>
  <r>
    <s v="CA-2016-158806"/>
    <x v="796"/>
    <d v="2016-01-11T00:00:00"/>
    <x v="1"/>
    <s v="NM-18520"/>
    <s v="Neoma Murray"/>
    <x v="0"/>
    <s v="United States"/>
    <x v="45"/>
    <x v="5"/>
    <x v="3"/>
    <s v="FUR-FU-10004270"/>
    <s v="Furniture"/>
    <x v="3"/>
    <s v="Executive Impressions 13&quot; Clairmont Wall Clock"/>
    <n v="23.076000000000001"/>
    <n v="3"/>
    <n v="0.6"/>
    <n v="-10.9611"/>
    <x v="4"/>
    <x v="8"/>
  </r>
  <r>
    <s v="CA-2015-119690"/>
    <x v="528"/>
    <d v="2015-06-28T00:00:00"/>
    <x v="2"/>
    <s v="MV-17485"/>
    <s v="Mark Van Huff"/>
    <x v="0"/>
    <s v="United States"/>
    <x v="6"/>
    <x v="5"/>
    <x v="3"/>
    <s v="FUR-FU-10004587"/>
    <s v="Furniture"/>
    <x v="3"/>
    <s v="GE General Use Halogen Bulbs, 100 Watts, 1 Bulb per Pack"/>
    <n v="75.384"/>
    <n v="9"/>
    <n v="0.6"/>
    <n v="-20.730599999999999"/>
    <x v="0"/>
    <x v="2"/>
  </r>
  <r>
    <s v="CA-2017-109393"/>
    <x v="254"/>
    <d v="2017-07-02T00:00:00"/>
    <x v="0"/>
    <s v="JC-15775"/>
    <s v="John Castell"/>
    <x v="0"/>
    <s v="United States"/>
    <x v="2"/>
    <x v="2"/>
    <x v="1"/>
    <s v="FUR-BO-10003966"/>
    <s v="Furniture"/>
    <x v="0"/>
    <s v="Sauder Facets Collection Library, Sky Alder Finish"/>
    <n v="435.99900000000002"/>
    <n v="3"/>
    <n v="0.15"/>
    <n v="5.1294000000000004"/>
    <x v="3"/>
    <x v="2"/>
  </r>
  <r>
    <s v="CA-2017-121489"/>
    <x v="67"/>
    <d v="2017-08-25T00:00:00"/>
    <x v="0"/>
    <s v="CM-11815"/>
    <s v="Candace McMahon"/>
    <x v="1"/>
    <s v="United States"/>
    <x v="15"/>
    <x v="13"/>
    <x v="1"/>
    <s v="FUR-CH-10004698"/>
    <s v="Furniture"/>
    <x v="1"/>
    <s v="Padded Folding Chairs, Black, 4/Carton"/>
    <n v="388.70400000000001"/>
    <n v="6"/>
    <n v="0.2"/>
    <n v="38.870399999999997"/>
    <x v="4"/>
    <x v="10"/>
  </r>
  <r>
    <s v="US-2017-133081"/>
    <x v="745"/>
    <d v="2017-03-15T00:00:00"/>
    <x v="1"/>
    <s v="PV-18985"/>
    <s v="Paul Van Hugh"/>
    <x v="2"/>
    <s v="United States"/>
    <x v="335"/>
    <x v="20"/>
    <x v="2"/>
    <s v="FUR-FU-10001379"/>
    <s v="Furniture"/>
    <x v="3"/>
    <s v="Executive Impressions 16-1/2&quot; Circular Wall Clock"/>
    <n v="26.72"/>
    <n v="1"/>
    <n v="0"/>
    <n v="11.7568"/>
    <x v="4"/>
    <x v="9"/>
  </r>
  <r>
    <s v="CA-2014-144974"/>
    <x v="218"/>
    <d v="2014-09-30T00:00:00"/>
    <x v="1"/>
    <s v="CM-12715"/>
    <s v="Craig Molinari"/>
    <x v="1"/>
    <s v="United States"/>
    <x v="3"/>
    <x v="3"/>
    <x v="2"/>
    <s v="FUR-FU-10001095"/>
    <s v="Furniture"/>
    <x v="3"/>
    <s v="DAX Black Cherry Wood-Tone Poster Frame"/>
    <n v="21.184000000000001"/>
    <n v="1"/>
    <n v="0.2"/>
    <n v="4.7664"/>
    <x v="4"/>
    <x v="4"/>
  </r>
  <r>
    <s v="CA-2015-121188"/>
    <x v="797"/>
    <d v="2015-09-04T00:00:00"/>
    <x v="1"/>
    <s v="CB-12025"/>
    <s v="Cassandra Brandow"/>
    <x v="0"/>
    <s v="United States"/>
    <x v="2"/>
    <x v="2"/>
    <x v="1"/>
    <s v="FUR-BO-10004695"/>
    <s v="Furniture"/>
    <x v="0"/>
    <s v="O'Sullivan 2-Door Barrister Bookcase in Odessa Pine"/>
    <n v="307.666"/>
    <n v="2"/>
    <n v="0.15"/>
    <n v="28.956800000000001"/>
    <x v="1"/>
    <x v="10"/>
  </r>
  <r>
    <s v="CA-2015-121188"/>
    <x v="797"/>
    <d v="2015-09-04T00:00:00"/>
    <x v="1"/>
    <s v="CB-12025"/>
    <s v="Cassandra Brandow"/>
    <x v="0"/>
    <s v="United States"/>
    <x v="2"/>
    <x v="2"/>
    <x v="1"/>
    <s v="FUR-FU-10003981"/>
    <s v="Furniture"/>
    <x v="3"/>
    <s v="Eldon Wave Desk Accessories"/>
    <n v="4.16"/>
    <n v="2"/>
    <n v="0"/>
    <n v="1.7472000000000001"/>
    <x v="1"/>
    <x v="10"/>
  </r>
  <r>
    <s v="US-2015-160563"/>
    <x v="798"/>
    <d v="2015-10-24T00:00:00"/>
    <x v="1"/>
    <s v="NS-18640"/>
    <s v="Noel Staavos"/>
    <x v="1"/>
    <s v="United States"/>
    <x v="28"/>
    <x v="2"/>
    <x v="1"/>
    <s v="FUR-FU-10001731"/>
    <s v="Furniture"/>
    <x v="3"/>
    <s v="Acrylic Self-Standing Desk Frames"/>
    <n v="16.02"/>
    <n v="6"/>
    <n v="0"/>
    <n v="6.0876000000000001"/>
    <x v="4"/>
    <x v="1"/>
  </r>
  <r>
    <s v="CA-2017-151750"/>
    <x v="143"/>
    <d v="2017-01-05T00:00:00"/>
    <x v="1"/>
    <s v="JM-15250"/>
    <s v="Janet Martin"/>
    <x v="0"/>
    <s v="United States"/>
    <x v="156"/>
    <x v="5"/>
    <x v="3"/>
    <s v="FUR-FU-10002116"/>
    <s v="Furniture"/>
    <x v="3"/>
    <s v="Tenex Carpeted, Granite-Look or Clear Contemporary Contour Shape Chair Mats"/>
    <n v="141.41999999999999"/>
    <n v="5"/>
    <n v="0.6"/>
    <n v="-187.38149999999999"/>
    <x v="4"/>
    <x v="8"/>
  </r>
  <r>
    <s v="CA-2017-151750"/>
    <x v="143"/>
    <d v="2017-01-05T00:00:00"/>
    <x v="1"/>
    <s v="JM-15250"/>
    <s v="Janet Martin"/>
    <x v="0"/>
    <s v="United States"/>
    <x v="156"/>
    <x v="5"/>
    <x v="3"/>
    <s v="FUR-CH-10003199"/>
    <s v="Furniture"/>
    <x v="1"/>
    <s v="Office Star - Contemporary Task Swivel Chair"/>
    <n v="310.74400000000003"/>
    <n v="4"/>
    <n v="0.3"/>
    <n v="-26.635200000000001"/>
    <x v="4"/>
    <x v="8"/>
  </r>
  <r>
    <s v="CA-2015-106187"/>
    <x v="799"/>
    <d v="2015-06-29T00:00:00"/>
    <x v="1"/>
    <s v="RF-19345"/>
    <s v="Randy Ferguson"/>
    <x v="1"/>
    <s v="United States"/>
    <x v="336"/>
    <x v="24"/>
    <x v="0"/>
    <s v="FUR-FU-10000794"/>
    <s v="Furniture"/>
    <x v="3"/>
    <s v="Eldon Stackable Tray, Side-Load, Legal, Smoke"/>
    <n v="27.42"/>
    <n v="3"/>
    <n v="0"/>
    <n v="9.3228000000000009"/>
    <x v="6"/>
    <x v="2"/>
  </r>
  <r>
    <s v="CA-2016-105753"/>
    <x v="697"/>
    <d v="2016-10-26T00:00:00"/>
    <x v="1"/>
    <s v="LC-16960"/>
    <s v="Lindsay Castell"/>
    <x v="2"/>
    <s v="United States"/>
    <x v="58"/>
    <x v="25"/>
    <x v="0"/>
    <s v="FUR-FU-10000246"/>
    <s v="Furniture"/>
    <x v="3"/>
    <s v="Aluminum Document Frame"/>
    <n v="61.1"/>
    <n v="5"/>
    <n v="0"/>
    <n v="18.329999999999998"/>
    <x v="6"/>
    <x v="1"/>
  </r>
  <r>
    <s v="CA-2017-133046"/>
    <x v="534"/>
    <d v="2017-08-01T00:00:00"/>
    <x v="0"/>
    <s v="DK-13375"/>
    <s v="Dennis Kane"/>
    <x v="0"/>
    <s v="United States"/>
    <x v="15"/>
    <x v="13"/>
    <x v="1"/>
    <s v="FUR-FU-10001940"/>
    <s v="Furniture"/>
    <x v="3"/>
    <s v="Staple-based wall hangings"/>
    <n v="23.88"/>
    <n v="3"/>
    <n v="0"/>
    <n v="10.507199999999999"/>
    <x v="2"/>
    <x v="3"/>
  </r>
  <r>
    <s v="CA-2017-159149"/>
    <x v="506"/>
    <d v="2017-02-19T00:00:00"/>
    <x v="2"/>
    <s v="CR-12820"/>
    <s v="Cyra Reiten"/>
    <x v="2"/>
    <s v="United States"/>
    <x v="6"/>
    <x v="5"/>
    <x v="3"/>
    <s v="FUR-BO-10001601"/>
    <s v="Furniture"/>
    <x v="0"/>
    <s v="Sauder Mission Library with Doors, Fruitwood Finish"/>
    <n v="89.066400000000002"/>
    <n v="1"/>
    <n v="0.32"/>
    <n v="-17.0274"/>
    <x v="3"/>
    <x v="11"/>
  </r>
  <r>
    <s v="US-2017-167570"/>
    <x v="64"/>
    <d v="2017-12-15T00:00:00"/>
    <x v="1"/>
    <s v="EG-13900"/>
    <s v="Emily Grady"/>
    <x v="0"/>
    <s v="United States"/>
    <x v="3"/>
    <x v="3"/>
    <x v="2"/>
    <s v="FUR-CH-10003396"/>
    <s v="Furniture"/>
    <x v="1"/>
    <s v="Global Deluxe Steno Chair"/>
    <n v="215.54400000000001"/>
    <n v="4"/>
    <n v="0.3"/>
    <n v="-58.504800000000003"/>
    <x v="1"/>
    <x v="5"/>
  </r>
  <r>
    <s v="CA-2017-160122"/>
    <x v="414"/>
    <d v="2017-11-23T00:00:00"/>
    <x v="1"/>
    <s v="RD-19930"/>
    <s v="Russell D'Ascenzo"/>
    <x v="0"/>
    <s v="United States"/>
    <x v="9"/>
    <x v="8"/>
    <x v="3"/>
    <s v="FUR-CH-10000422"/>
    <s v="Furniture"/>
    <x v="1"/>
    <s v="Global Highback Leather Tilter in Burgundy"/>
    <n v="127.386"/>
    <n v="2"/>
    <n v="0.3"/>
    <n v="-25.4772"/>
    <x v="2"/>
    <x v="0"/>
  </r>
  <r>
    <s v="CA-2016-130393"/>
    <x v="193"/>
    <d v="2016-12-03T00:00:00"/>
    <x v="0"/>
    <s v="JM-15865"/>
    <s v="John Murray"/>
    <x v="0"/>
    <s v="United States"/>
    <x v="147"/>
    <x v="5"/>
    <x v="3"/>
    <s v="FUR-CH-10002647"/>
    <s v="Furniture"/>
    <x v="1"/>
    <s v="Situations Contoured Folding Chairs, 4/Set"/>
    <n v="248.43"/>
    <n v="5"/>
    <n v="0.3"/>
    <n v="-17.745000000000001"/>
    <x v="3"/>
    <x v="5"/>
  </r>
  <r>
    <s v="CA-2016-130393"/>
    <x v="193"/>
    <d v="2016-12-03T00:00:00"/>
    <x v="0"/>
    <s v="JM-15865"/>
    <s v="John Murray"/>
    <x v="0"/>
    <s v="United States"/>
    <x v="147"/>
    <x v="5"/>
    <x v="3"/>
    <s v="FUR-CH-10004477"/>
    <s v="Furniture"/>
    <x v="1"/>
    <s v="Global Push Button Manager's Chair, Indigo"/>
    <n v="85.245999999999995"/>
    <n v="2"/>
    <n v="0.3"/>
    <n v="-1.2178"/>
    <x v="3"/>
    <x v="5"/>
  </r>
  <r>
    <s v="CA-2017-101014"/>
    <x v="800"/>
    <d v="2017-09-04T00:00:00"/>
    <x v="1"/>
    <s v="RW-19540"/>
    <s v="Rick Wilson"/>
    <x v="1"/>
    <s v="United States"/>
    <x v="2"/>
    <x v="2"/>
    <x v="1"/>
    <s v="FUR-FU-10003374"/>
    <s v="Furniture"/>
    <x v="3"/>
    <s v="Electrix Fluorescent Magnifier Lamps &amp; Weighted Base"/>
    <n v="148.02000000000001"/>
    <n v="3"/>
    <n v="0"/>
    <n v="41.445599999999999"/>
    <x v="6"/>
    <x v="10"/>
  </r>
  <r>
    <s v="US-2017-106551"/>
    <x v="801"/>
    <d v="2017-07-27T00:00:00"/>
    <x v="1"/>
    <s v="EB-13930"/>
    <s v="Eric Barreto"/>
    <x v="0"/>
    <s v="United States"/>
    <x v="9"/>
    <x v="8"/>
    <x v="3"/>
    <s v="FUR-CH-10004997"/>
    <s v="Furniture"/>
    <x v="1"/>
    <s v="Hon Every-Day Series Multi-Task Chairs"/>
    <n v="526.34400000000005"/>
    <n v="4"/>
    <n v="0.3"/>
    <n v="-75.191999999999993"/>
    <x v="2"/>
    <x v="3"/>
  </r>
  <r>
    <s v="CA-2016-116722"/>
    <x v="367"/>
    <d v="2016-11-16T00:00:00"/>
    <x v="1"/>
    <s v="LP-17080"/>
    <s v="Liz Pelletier"/>
    <x v="0"/>
    <s v="United States"/>
    <x v="28"/>
    <x v="2"/>
    <x v="1"/>
    <s v="FUR-FU-10001934"/>
    <s v="Furniture"/>
    <x v="3"/>
    <s v="Magnifier Swing Arm Lamp"/>
    <n v="41.96"/>
    <n v="2"/>
    <n v="0"/>
    <n v="10.909599999999999"/>
    <x v="2"/>
    <x v="0"/>
  </r>
  <r>
    <s v="CA-2016-116722"/>
    <x v="367"/>
    <d v="2016-11-16T00:00:00"/>
    <x v="1"/>
    <s v="LP-17080"/>
    <s v="Liz Pelletier"/>
    <x v="0"/>
    <s v="United States"/>
    <x v="28"/>
    <x v="2"/>
    <x v="1"/>
    <s v="FUR-CH-10004997"/>
    <s v="Furniture"/>
    <x v="1"/>
    <s v="Hon Every-Day Series Multi-Task Chairs"/>
    <n v="451.15199999999999"/>
    <n v="3"/>
    <n v="0.2"/>
    <n v="0"/>
    <x v="2"/>
    <x v="0"/>
  </r>
  <r>
    <s v="US-2017-150070"/>
    <x v="87"/>
    <d v="2017-09-12T00:00:00"/>
    <x v="1"/>
    <s v="JA-15970"/>
    <s v="Joseph Airdo"/>
    <x v="0"/>
    <s v="United States"/>
    <x v="337"/>
    <x v="2"/>
    <x v="1"/>
    <s v="FUR-CH-10004860"/>
    <s v="Furniture"/>
    <x v="1"/>
    <s v="Global Low Back Tilter Chair"/>
    <n v="161.56800000000001"/>
    <n v="2"/>
    <n v="0.2"/>
    <n v="-28.2744"/>
    <x v="2"/>
    <x v="4"/>
  </r>
  <r>
    <s v="CA-2017-157350"/>
    <x v="802"/>
    <d v="2017-09-01T00:00:00"/>
    <x v="1"/>
    <s v="DP-13000"/>
    <s v="Darren Powers"/>
    <x v="0"/>
    <s v="United States"/>
    <x v="9"/>
    <x v="8"/>
    <x v="3"/>
    <s v="FUR-FU-10000222"/>
    <s v="Furniture"/>
    <x v="3"/>
    <s v="Seth Thomas 16&quot; Steel Case Clock"/>
    <n v="64.959999999999994"/>
    <n v="5"/>
    <n v="0.6"/>
    <n v="-43.847999999999999"/>
    <x v="6"/>
    <x v="10"/>
  </r>
  <r>
    <s v="CA-2015-131352"/>
    <x v="643"/>
    <d v="2015-10-13T00:00:00"/>
    <x v="1"/>
    <s v="GH-14485"/>
    <s v="Gene Hale"/>
    <x v="1"/>
    <s v="United States"/>
    <x v="144"/>
    <x v="5"/>
    <x v="3"/>
    <s v="FUR-FU-10003708"/>
    <s v="Furniture"/>
    <x v="3"/>
    <s v="Tenex Traditional Chairmats for Medium Pile Carpet, Standard Lip, 36&quot; x 48&quot;"/>
    <n v="72.78"/>
    <n v="3"/>
    <n v="0.6"/>
    <n v="-70.960499999999996"/>
    <x v="2"/>
    <x v="1"/>
  </r>
  <r>
    <s v="CA-2016-118073"/>
    <x v="577"/>
    <d v="2016-08-16T00:00:00"/>
    <x v="1"/>
    <s v="CS-12490"/>
    <s v="Cindy Schnelling"/>
    <x v="1"/>
    <s v="United States"/>
    <x v="49"/>
    <x v="1"/>
    <x v="0"/>
    <s v="FUR-TA-10002533"/>
    <s v="Furniture"/>
    <x v="2"/>
    <s v="BPI Conference Tables"/>
    <n v="562.29250000000002"/>
    <n v="7"/>
    <n v="0.45"/>
    <n v="-255.58750000000001"/>
    <x v="4"/>
    <x v="10"/>
  </r>
  <r>
    <s v="CA-2014-103219"/>
    <x v="77"/>
    <d v="2014-11-13T00:00:00"/>
    <x v="1"/>
    <s v="BF-11215"/>
    <s v="Benjamin Farhat"/>
    <x v="2"/>
    <s v="United States"/>
    <x v="13"/>
    <x v="7"/>
    <x v="2"/>
    <s v="FUR-FU-10004091"/>
    <s v="Furniture"/>
    <x v="3"/>
    <s v="Eldon 200 Class Desk Accessories, Black"/>
    <n v="56.52"/>
    <n v="9"/>
    <n v="0"/>
    <n v="21.477599999999999"/>
    <x v="4"/>
    <x v="0"/>
  </r>
  <r>
    <s v="CA-2016-100993"/>
    <x v="223"/>
    <d v="2016-02-10T00:00:00"/>
    <x v="1"/>
    <s v="AZ-10750"/>
    <s v="Annie Zypern"/>
    <x v="0"/>
    <s v="United States"/>
    <x v="53"/>
    <x v="2"/>
    <x v="1"/>
    <s v="FUR-TA-10001095"/>
    <s v="Furniture"/>
    <x v="2"/>
    <s v="Chromcraft Round Conference Tables"/>
    <n v="557.72799999999995"/>
    <n v="4"/>
    <n v="0.2"/>
    <n v="6.9715999999999996"/>
    <x v="2"/>
    <x v="11"/>
  </r>
  <r>
    <s v="CA-2014-167997"/>
    <x v="375"/>
    <d v="2014-01-29T00:00:00"/>
    <x v="2"/>
    <s v="CA-11965"/>
    <s v="Carol Adams"/>
    <x v="1"/>
    <s v="United States"/>
    <x v="338"/>
    <x v="40"/>
    <x v="3"/>
    <s v="FUR-BO-10004409"/>
    <s v="Furniture"/>
    <x v="0"/>
    <s v="Safco Value Mate Series Steel Bookcases, Baked Enamel Finish on Steel, Gray"/>
    <n v="141.96"/>
    <n v="2"/>
    <n v="0"/>
    <n v="39.748800000000003"/>
    <x v="0"/>
    <x v="8"/>
  </r>
  <r>
    <s v="CA-2016-131296"/>
    <x v="803"/>
    <d v="2016-10-09T00:00:00"/>
    <x v="1"/>
    <s v="MS-17830"/>
    <s v="Melanie Seite"/>
    <x v="0"/>
    <s v="United States"/>
    <x v="237"/>
    <x v="32"/>
    <x v="2"/>
    <s v="FUR-TA-10002622"/>
    <s v="Furniture"/>
    <x v="2"/>
    <s v="Bush Andora Conference Table, Maple/Graphite Gray Finish"/>
    <n v="239.37200000000001"/>
    <n v="2"/>
    <n v="0.3"/>
    <n v="-23.937200000000001"/>
    <x v="2"/>
    <x v="1"/>
  </r>
  <r>
    <s v="CA-2016-134138"/>
    <x v="285"/>
    <d v="2016-02-20T00:00:00"/>
    <x v="1"/>
    <s v="JD-15790"/>
    <s v="John Dryer"/>
    <x v="0"/>
    <s v="United States"/>
    <x v="31"/>
    <x v="18"/>
    <x v="2"/>
    <s v="FUR-CH-10001545"/>
    <s v="Furniture"/>
    <x v="1"/>
    <s v="Hon Comfortask Task/Swivel Chairs"/>
    <n v="227.96"/>
    <n v="2"/>
    <n v="0"/>
    <n v="36.473599999999998"/>
    <x v="4"/>
    <x v="11"/>
  </r>
  <r>
    <s v="CA-2015-168207"/>
    <x v="46"/>
    <d v="2015-11-06T00:00:00"/>
    <x v="1"/>
    <s v="LT-17110"/>
    <s v="Liz Thompson"/>
    <x v="0"/>
    <s v="United States"/>
    <x v="53"/>
    <x v="2"/>
    <x v="1"/>
    <s v="FUR-FU-10004909"/>
    <s v="Furniture"/>
    <x v="3"/>
    <s v="Contemporary Wood/Metal Frame"/>
    <n v="96.96"/>
    <n v="6"/>
    <n v="0"/>
    <n v="33.936"/>
    <x v="4"/>
    <x v="0"/>
  </r>
  <r>
    <s v="CA-2015-168207"/>
    <x v="46"/>
    <d v="2015-11-06T00:00:00"/>
    <x v="1"/>
    <s v="LT-17110"/>
    <s v="Liz Thompson"/>
    <x v="0"/>
    <s v="United States"/>
    <x v="53"/>
    <x v="2"/>
    <x v="1"/>
    <s v="FUR-BO-10004357"/>
    <s v="Furniture"/>
    <x v="0"/>
    <s v="O'Sullivan Living Dimensions 3-Shelf Bookcases"/>
    <n v="512.49900000000002"/>
    <n v="3"/>
    <n v="0.15"/>
    <n v="-30.146999999999998"/>
    <x v="4"/>
    <x v="0"/>
  </r>
  <r>
    <s v="CA-2016-144148"/>
    <x v="581"/>
    <d v="2016-08-05T00:00:00"/>
    <x v="1"/>
    <s v="AH-10690"/>
    <s v="Anna HŠberlin"/>
    <x v="1"/>
    <s v="United States"/>
    <x v="28"/>
    <x v="2"/>
    <x v="1"/>
    <s v="FUR-TA-10002774"/>
    <s v="Furniture"/>
    <x v="2"/>
    <s v="Laminate Occasional Tables"/>
    <n v="863.12800000000004"/>
    <n v="7"/>
    <n v="0.2"/>
    <n v="-32.3673"/>
    <x v="2"/>
    <x v="3"/>
  </r>
  <r>
    <s v="CA-2017-107174"/>
    <x v="200"/>
    <d v="2017-11-13T00:00:00"/>
    <x v="1"/>
    <s v="AB-10060"/>
    <s v="Adam Bellavance"/>
    <x v="2"/>
    <s v="United States"/>
    <x v="15"/>
    <x v="13"/>
    <x v="1"/>
    <s v="FUR-TA-10004575"/>
    <s v="Furniture"/>
    <x v="2"/>
    <s v="Hon 5100 Series Wood Tables"/>
    <n v="2036.86"/>
    <n v="7"/>
    <n v="0"/>
    <n v="366.63479999999998"/>
    <x v="1"/>
    <x v="0"/>
  </r>
  <r>
    <s v="CA-2017-107174"/>
    <x v="200"/>
    <d v="2017-11-13T00:00:00"/>
    <x v="1"/>
    <s v="AB-10060"/>
    <s v="Adam Bellavance"/>
    <x v="2"/>
    <s v="United States"/>
    <x v="15"/>
    <x v="13"/>
    <x v="1"/>
    <s v="FUR-CH-10003312"/>
    <s v="Furniture"/>
    <x v="1"/>
    <s v="Hon 2090 ÒPillow SoftÓ Series Mid Back Swivel/Tilt Chairs"/>
    <n v="449.56799999999998"/>
    <n v="2"/>
    <n v="0.2"/>
    <n v="-73.0548"/>
    <x v="1"/>
    <x v="0"/>
  </r>
  <r>
    <s v="CA-2015-112767"/>
    <x v="601"/>
    <d v="2015-08-06T00:00:00"/>
    <x v="1"/>
    <s v="DK-12985"/>
    <s v="Darren Koutras"/>
    <x v="0"/>
    <s v="United States"/>
    <x v="76"/>
    <x v="36"/>
    <x v="1"/>
    <s v="FUR-TA-10003469"/>
    <s v="Furniture"/>
    <x v="2"/>
    <s v="Balt Split Level Computer Training Table"/>
    <n v="277.5"/>
    <n v="4"/>
    <n v="0.5"/>
    <n v="-188.7"/>
    <x v="4"/>
    <x v="10"/>
  </r>
  <r>
    <s v="CA-2015-119879"/>
    <x v="32"/>
    <d v="2015-11-25T00:00:00"/>
    <x v="1"/>
    <s v="SS-20410"/>
    <s v="Shahid Shariari"/>
    <x v="0"/>
    <s v="United States"/>
    <x v="3"/>
    <x v="3"/>
    <x v="2"/>
    <s v="FUR-TA-10002958"/>
    <s v="Furniture"/>
    <x v="2"/>
    <s v="Bevis Oval Conference Table, Walnut"/>
    <n v="1252.704"/>
    <n v="8"/>
    <n v="0.4"/>
    <n v="-480.20319999999998"/>
    <x v="4"/>
    <x v="0"/>
  </r>
  <r>
    <s v="CA-2017-155642"/>
    <x v="514"/>
    <d v="2017-05-22T00:00:00"/>
    <x v="1"/>
    <s v="BM-11575"/>
    <s v="Brendan Murry"/>
    <x v="1"/>
    <s v="United States"/>
    <x v="9"/>
    <x v="8"/>
    <x v="3"/>
    <s v="FUR-FU-10004973"/>
    <s v="Furniture"/>
    <x v="3"/>
    <s v="Flat Face Poster Frame"/>
    <n v="22.608000000000001"/>
    <n v="3"/>
    <n v="0.6"/>
    <n v="-10.1736"/>
    <x v="4"/>
    <x v="7"/>
  </r>
  <r>
    <s v="CA-2017-155642"/>
    <x v="514"/>
    <d v="2017-05-22T00:00:00"/>
    <x v="1"/>
    <s v="BM-11575"/>
    <s v="Brendan Murry"/>
    <x v="1"/>
    <s v="United States"/>
    <x v="9"/>
    <x v="8"/>
    <x v="3"/>
    <s v="FUR-FU-10001918"/>
    <s v="Furniture"/>
    <x v="3"/>
    <s v="C-Line Cubicle Keepers Polyproplyene Holder With Velcro Backings"/>
    <n v="1.8919999999999999"/>
    <n v="1"/>
    <n v="0.6"/>
    <n v="-0.99329999999999996"/>
    <x v="4"/>
    <x v="7"/>
  </r>
  <r>
    <s v="CA-2015-136728"/>
    <x v="615"/>
    <d v="2015-09-17T00:00:00"/>
    <x v="0"/>
    <s v="AG-10900"/>
    <s v="Arthur Gainer"/>
    <x v="0"/>
    <s v="United States"/>
    <x v="9"/>
    <x v="8"/>
    <x v="3"/>
    <s v="FUR-CH-10003817"/>
    <s v="Furniture"/>
    <x v="1"/>
    <s v="Global Value Steno Chair, Gray"/>
    <n v="170.072"/>
    <n v="4"/>
    <n v="0.3"/>
    <n v="-12.148"/>
    <x v="4"/>
    <x v="4"/>
  </r>
  <r>
    <s v="US-2017-155866"/>
    <x v="429"/>
    <d v="2017-11-21T00:00:00"/>
    <x v="1"/>
    <s v="CC-12370"/>
    <s v="Christopher Conant"/>
    <x v="0"/>
    <s v="United States"/>
    <x v="13"/>
    <x v="7"/>
    <x v="2"/>
    <s v="FUR-FU-10004091"/>
    <s v="Furniture"/>
    <x v="3"/>
    <s v="Howard Miller 13&quot; Diameter Goldtone Round Wall Clock"/>
    <n v="187.76"/>
    <n v="4"/>
    <n v="0"/>
    <n v="76.9816"/>
    <x v="4"/>
    <x v="0"/>
  </r>
  <r>
    <s v="CA-2015-141327"/>
    <x v="737"/>
    <d v="2015-12-03T00:00:00"/>
    <x v="2"/>
    <s v="LR-16915"/>
    <s v="Lena Radford"/>
    <x v="0"/>
    <s v="United States"/>
    <x v="339"/>
    <x v="30"/>
    <x v="0"/>
    <s v="FUR-FU-10000576"/>
    <s v="Furniture"/>
    <x v="3"/>
    <s v="Luxo Professional Fluorescent Magnifier Lamp with Clamp-Mount Base"/>
    <n v="335.74400000000003"/>
    <n v="2"/>
    <n v="0.2"/>
    <n v="25.180800000000001"/>
    <x v="0"/>
    <x v="0"/>
  </r>
  <r>
    <s v="CA-2015-114811"/>
    <x v="428"/>
    <d v="2015-11-08T00:00:00"/>
    <x v="3"/>
    <s v="KD-16495"/>
    <s v="Keith Dawkins"/>
    <x v="1"/>
    <s v="United States"/>
    <x v="13"/>
    <x v="7"/>
    <x v="2"/>
    <s v="FUR-FU-10002240"/>
    <s v="Furniture"/>
    <x v="3"/>
    <s v="Nu-Dell EZ-Mount Plastic Wall Frames"/>
    <n v="11.82"/>
    <n v="3"/>
    <n v="0"/>
    <n v="4.7279999999999998"/>
    <x v="7"/>
    <x v="0"/>
  </r>
  <r>
    <s v="CA-2015-114811"/>
    <x v="428"/>
    <d v="2015-11-08T00:00:00"/>
    <x v="3"/>
    <s v="KD-16495"/>
    <s v="Keith Dawkins"/>
    <x v="1"/>
    <s v="United States"/>
    <x v="13"/>
    <x v="7"/>
    <x v="2"/>
    <s v="FUR-CH-10003746"/>
    <s v="Furniture"/>
    <x v="1"/>
    <s v="Hon 4070 Series Pagoda Round Back Stacking Chairs"/>
    <n v="577.76400000000001"/>
    <n v="2"/>
    <n v="0.1"/>
    <n v="115.5528"/>
    <x v="7"/>
    <x v="0"/>
  </r>
  <r>
    <s v="CA-2015-122266"/>
    <x v="12"/>
    <d v="2015-04-30T00:00:00"/>
    <x v="1"/>
    <s v="SA-20830"/>
    <s v="Sue Ann Reed"/>
    <x v="0"/>
    <s v="United States"/>
    <x v="340"/>
    <x v="1"/>
    <x v="0"/>
    <s v="FUR-TA-10000577"/>
    <s v="Furniture"/>
    <x v="2"/>
    <s v="Bretford CR4500 Series Slim Rectangular Table"/>
    <n v="191.5155"/>
    <n v="1"/>
    <n v="0.45"/>
    <n v="-76.606200000000001"/>
    <x v="4"/>
    <x v="6"/>
  </r>
  <r>
    <s v="CA-2016-116337"/>
    <x v="267"/>
    <d v="2016-11-12T00:00:00"/>
    <x v="1"/>
    <s v="MC-17845"/>
    <s v="Michael Chen"/>
    <x v="0"/>
    <s v="United States"/>
    <x v="144"/>
    <x v="5"/>
    <x v="3"/>
    <s v="FUR-FU-10002030"/>
    <s v="Furniture"/>
    <x v="3"/>
    <s v="Executive Impressions 14&quot; Contract Wall Clock with Quartz Movement"/>
    <n v="44.46"/>
    <n v="5"/>
    <n v="0.6"/>
    <n v="-17.783999999999999"/>
    <x v="2"/>
    <x v="0"/>
  </r>
  <r>
    <s v="CA-2014-120775"/>
    <x v="215"/>
    <d v="2014-10-07T00:00:00"/>
    <x v="1"/>
    <s v="RD-19930"/>
    <s v="Russell D'Ascenzo"/>
    <x v="0"/>
    <s v="United States"/>
    <x v="144"/>
    <x v="5"/>
    <x v="3"/>
    <s v="FUR-FU-10000758"/>
    <s v="Furniture"/>
    <x v="3"/>
    <s v="DAX Natural Wood-Tone Poster Frame"/>
    <n v="31.776"/>
    <n v="3"/>
    <n v="0.6"/>
    <n v="-19.0656"/>
    <x v="4"/>
    <x v="1"/>
  </r>
  <r>
    <s v="CA-2016-123050"/>
    <x v="804"/>
    <d v="2016-04-08T00:00:00"/>
    <x v="0"/>
    <s v="BC-11125"/>
    <s v="Becky Castell"/>
    <x v="2"/>
    <s v="United States"/>
    <x v="8"/>
    <x v="7"/>
    <x v="2"/>
    <s v="FUR-FU-10000723"/>
    <s v="Furniture"/>
    <x v="3"/>
    <s v="Deflect-o EconoMat Studded, No Bevel Mat for Low Pile Carpeting"/>
    <n v="82.64"/>
    <n v="2"/>
    <n v="0"/>
    <n v="7.4375999999999998"/>
    <x v="4"/>
    <x v="6"/>
  </r>
  <r>
    <s v="CA-2016-162355"/>
    <x v="805"/>
    <d v="2016-07-02T00:00:00"/>
    <x v="0"/>
    <s v="PF-19165"/>
    <s v="Philip Fox"/>
    <x v="0"/>
    <s v="United States"/>
    <x v="244"/>
    <x v="24"/>
    <x v="0"/>
    <s v="FUR-BO-10004695"/>
    <s v="Furniture"/>
    <x v="0"/>
    <s v="O'Sullivan 2-Door Barrister Bookcase in Odessa Pine"/>
    <n v="1266.8599999999999"/>
    <n v="7"/>
    <n v="0"/>
    <n v="291.37779999999998"/>
    <x v="3"/>
    <x v="2"/>
  </r>
  <r>
    <s v="CA-2017-102204"/>
    <x v="806"/>
    <d v="2017-05-06T00:00:00"/>
    <x v="1"/>
    <s v="CJ-12010"/>
    <s v="Caroline Jumper"/>
    <x v="0"/>
    <s v="United States"/>
    <x v="51"/>
    <x v="1"/>
    <x v="0"/>
    <s v="FUR-TA-10001889"/>
    <s v="Furniture"/>
    <x v="2"/>
    <s v="Bush Advantage Collection Racetrack Conference Table"/>
    <n v="933.26199999999994"/>
    <n v="4"/>
    <n v="0.45"/>
    <n v="-458.14679999999998"/>
    <x v="2"/>
    <x v="7"/>
  </r>
  <r>
    <s v="CA-2017-102204"/>
    <x v="806"/>
    <d v="2017-05-06T00:00:00"/>
    <x v="1"/>
    <s v="CJ-12010"/>
    <s v="Caroline Jumper"/>
    <x v="0"/>
    <s v="United States"/>
    <x v="51"/>
    <x v="1"/>
    <x v="0"/>
    <s v="FUR-CH-10002024"/>
    <s v="Furniture"/>
    <x v="1"/>
    <s v="HON 5400 Series Task Chairs for Big and Tall"/>
    <n v="2803.92"/>
    <n v="5"/>
    <n v="0.2"/>
    <n v="0"/>
    <x v="2"/>
    <x v="7"/>
  </r>
  <r>
    <s v="CA-2017-103065"/>
    <x v="71"/>
    <d v="2017-10-20T00:00:00"/>
    <x v="3"/>
    <s v="PT-19090"/>
    <s v="Pete Takahito"/>
    <x v="0"/>
    <s v="United States"/>
    <x v="51"/>
    <x v="1"/>
    <x v="0"/>
    <s v="FUR-FU-10000175"/>
    <s v="Furniture"/>
    <x v="3"/>
    <s v="DAX Wood Document Frame."/>
    <n v="43.936"/>
    <n v="4"/>
    <n v="0.2"/>
    <n v="6.0411999999999999"/>
    <x v="7"/>
    <x v="1"/>
  </r>
  <r>
    <s v="CA-2014-109897"/>
    <x v="807"/>
    <d v="2014-08-16T00:00:00"/>
    <x v="1"/>
    <s v="BW-11200"/>
    <s v="Ben Wallace"/>
    <x v="0"/>
    <s v="United States"/>
    <x v="28"/>
    <x v="2"/>
    <x v="1"/>
    <s v="FUR-FU-10002878"/>
    <s v="Furniture"/>
    <x v="3"/>
    <s v="Seth Thomas 14&quot; Day/Date Wall Clock"/>
    <n v="85.44"/>
    <n v="3"/>
    <n v="0"/>
    <n v="31.6128"/>
    <x v="4"/>
    <x v="10"/>
  </r>
  <r>
    <s v="CA-2015-140221"/>
    <x v="298"/>
    <d v="2015-03-09T00:00:00"/>
    <x v="0"/>
    <s v="MS-17365"/>
    <s v="Maribeth Schnelling"/>
    <x v="0"/>
    <s v="United States"/>
    <x v="9"/>
    <x v="8"/>
    <x v="3"/>
    <s v="FUR-FU-10000023"/>
    <s v="Furniture"/>
    <x v="3"/>
    <s v="Eldon Wave Desk Accessories"/>
    <n v="4.7119999999999997"/>
    <n v="2"/>
    <n v="0.6"/>
    <n v="-1.8848"/>
    <x v="4"/>
    <x v="9"/>
  </r>
  <r>
    <s v="CA-2017-121790"/>
    <x v="129"/>
    <d v="2017-02-06T00:00:00"/>
    <x v="1"/>
    <s v="LP-17095"/>
    <s v="Liz Preis"/>
    <x v="0"/>
    <s v="United States"/>
    <x v="14"/>
    <x v="8"/>
    <x v="3"/>
    <s v="FUR-TA-10003469"/>
    <s v="Furniture"/>
    <x v="2"/>
    <s v="Balt Split Level Computer Training Table"/>
    <n v="69.375"/>
    <n v="1"/>
    <n v="0.5"/>
    <n v="-47.174999999999997"/>
    <x v="1"/>
    <x v="8"/>
  </r>
  <r>
    <s v="CA-2016-169670"/>
    <x v="683"/>
    <d v="2016-12-31T00:00:00"/>
    <x v="1"/>
    <s v="JE-15715"/>
    <s v="Joe Elijah"/>
    <x v="0"/>
    <s v="United States"/>
    <x v="13"/>
    <x v="7"/>
    <x v="2"/>
    <s v="FUR-CH-10002331"/>
    <s v="Furniture"/>
    <x v="1"/>
    <s v="Hon 4700 Series Mobuis Mid-Back Task Chairs with Adjustable Arms"/>
    <n v="2563.056"/>
    <n v="8"/>
    <n v="0.1"/>
    <n v="313.26240000000001"/>
    <x v="6"/>
    <x v="5"/>
  </r>
  <r>
    <s v="CA-2016-139549"/>
    <x v="697"/>
    <d v="2016-10-25T00:00:00"/>
    <x v="1"/>
    <s v="MY-18295"/>
    <s v="Muhammed Yedwab"/>
    <x v="1"/>
    <s v="United States"/>
    <x v="311"/>
    <x v="2"/>
    <x v="1"/>
    <s v="FUR-CH-10001802"/>
    <s v="Furniture"/>
    <x v="1"/>
    <s v="Hon Every-Day Chair Series Swivel Task Chairs"/>
    <n v="387.13600000000002"/>
    <n v="4"/>
    <n v="0.2"/>
    <n v="4.8391999999999999"/>
    <x v="2"/>
    <x v="1"/>
  </r>
  <r>
    <s v="CA-2017-134810"/>
    <x v="808"/>
    <d v="2017-05-10T00:00:00"/>
    <x v="2"/>
    <s v="MC-17605"/>
    <s v="Matt Connell"/>
    <x v="1"/>
    <s v="United States"/>
    <x v="51"/>
    <x v="30"/>
    <x v="0"/>
    <s v="FUR-CH-10001270"/>
    <s v="Furniture"/>
    <x v="1"/>
    <s v="Harbour Creations Steel Folding Chair"/>
    <n v="207"/>
    <n v="3"/>
    <n v="0.2"/>
    <n v="25.875"/>
    <x v="5"/>
    <x v="7"/>
  </r>
  <r>
    <s v="CA-2015-154284"/>
    <x v="170"/>
    <d v="2015-12-26T00:00:00"/>
    <x v="0"/>
    <s v="SZ-20035"/>
    <s v="Sam Zeldin"/>
    <x v="2"/>
    <s v="United States"/>
    <x v="317"/>
    <x v="8"/>
    <x v="3"/>
    <s v="FUR-FU-10003039"/>
    <s v="Furniture"/>
    <x v="3"/>
    <s v="Howard Miller 11-1/2&quot; Diameter Grantwood Wall Clock"/>
    <n v="51.756"/>
    <n v="3"/>
    <n v="0.6"/>
    <n v="-33.641399999999997"/>
    <x v="2"/>
    <x v="5"/>
  </r>
  <r>
    <s v="US-2015-158911"/>
    <x v="379"/>
    <d v="2015-07-11T00:00:00"/>
    <x v="1"/>
    <s v="RS-19765"/>
    <s v="Roland Schwarz"/>
    <x v="1"/>
    <s v="United States"/>
    <x v="127"/>
    <x v="30"/>
    <x v="0"/>
    <s v="FUR-FU-10003829"/>
    <s v="Furniture"/>
    <x v="3"/>
    <s v="Stackable Trays"/>
    <n v="4.9279999999999999"/>
    <n v="2"/>
    <n v="0.2"/>
    <n v="0.73919999999999997"/>
    <x v="6"/>
    <x v="3"/>
  </r>
  <r>
    <s v="US-2017-167318"/>
    <x v="809"/>
    <d v="2017-08-01T00:00:00"/>
    <x v="1"/>
    <s v="GZ-14545"/>
    <s v="George Zrebassa"/>
    <x v="1"/>
    <s v="United States"/>
    <x v="2"/>
    <x v="2"/>
    <x v="1"/>
    <s v="FUR-CH-10000665"/>
    <s v="Furniture"/>
    <x v="1"/>
    <s v="Global Airflow Leather Mesh Back Chair, Black"/>
    <n v="362.35199999999998"/>
    <n v="3"/>
    <n v="0.2"/>
    <n v="45.293999999999997"/>
    <x v="6"/>
    <x v="3"/>
  </r>
  <r>
    <s v="CA-2017-135419"/>
    <x v="54"/>
    <d v="2017-11-09T00:00:00"/>
    <x v="1"/>
    <s v="BG-11740"/>
    <s v="Bruce Geld"/>
    <x v="0"/>
    <s v="United States"/>
    <x v="175"/>
    <x v="2"/>
    <x v="1"/>
    <s v="FUR-TA-10001086"/>
    <s v="Furniture"/>
    <x v="2"/>
    <s v="SAFCO PlanMaster Boards, 60w x 37-1/2d, White Melamine"/>
    <n v="486.36799999999999"/>
    <n v="4"/>
    <n v="0.2"/>
    <n v="36.477600000000002"/>
    <x v="6"/>
    <x v="0"/>
  </r>
  <r>
    <s v="CA-2014-168312"/>
    <x v="29"/>
    <d v="2014-03-07T00:00:00"/>
    <x v="1"/>
    <s v="GW-14605"/>
    <s v="Giulietta Weimer"/>
    <x v="0"/>
    <s v="United States"/>
    <x v="6"/>
    <x v="5"/>
    <x v="3"/>
    <s v="FUR-TA-10001866"/>
    <s v="Furniture"/>
    <x v="2"/>
    <s v="Bevis Round Conference Room Tables and Bases"/>
    <n v="376.50900000000001"/>
    <n v="3"/>
    <n v="0.3"/>
    <n v="-43.029600000000002"/>
    <x v="6"/>
    <x v="9"/>
  </r>
  <r>
    <s v="US-2017-105935"/>
    <x v="810"/>
    <d v="2017-01-31T00:00:00"/>
    <x v="1"/>
    <s v="BD-11500"/>
    <s v="Bradley Drucker"/>
    <x v="0"/>
    <s v="United States"/>
    <x v="29"/>
    <x v="24"/>
    <x v="0"/>
    <s v="FUR-FU-10002157"/>
    <s v="Furniture"/>
    <x v="3"/>
    <s v="Artistic Insta-Plaque"/>
    <n v="62.72"/>
    <n v="4"/>
    <n v="0"/>
    <n v="24.460799999999999"/>
    <x v="2"/>
    <x v="8"/>
  </r>
  <r>
    <s v="CA-2014-161508"/>
    <x v="56"/>
    <d v="2014-07-16T00:00:00"/>
    <x v="1"/>
    <s v="PV-18985"/>
    <s v="Paul Van Hugh"/>
    <x v="2"/>
    <s v="United States"/>
    <x v="256"/>
    <x v="5"/>
    <x v="3"/>
    <s v="FUR-CH-10002126"/>
    <s v="Furniture"/>
    <x v="1"/>
    <s v="Hon Deluxe Fabric Upholstered Stacking Chairs"/>
    <n v="512.35799999999995"/>
    <n v="3"/>
    <n v="0.3"/>
    <n v="-14.6388"/>
    <x v="4"/>
    <x v="3"/>
  </r>
  <r>
    <s v="CA-2016-153269"/>
    <x v="811"/>
    <d v="2016-03-12T00:00:00"/>
    <x v="2"/>
    <s v="PS-18760"/>
    <s v="Pamela Stobb"/>
    <x v="0"/>
    <s v="United States"/>
    <x v="341"/>
    <x v="20"/>
    <x v="2"/>
    <s v="FUR-CH-10002647"/>
    <s v="Furniture"/>
    <x v="1"/>
    <s v="Situations Contoured Folding Chairs, 4/Set"/>
    <n v="354.9"/>
    <n v="5"/>
    <n v="0"/>
    <n v="88.724999999999994"/>
    <x v="0"/>
    <x v="9"/>
  </r>
  <r>
    <s v="CA-2017-135076"/>
    <x v="812"/>
    <d v="2017-04-17T00:00:00"/>
    <x v="1"/>
    <s v="YS-21880"/>
    <s v="Yana Sorensen"/>
    <x v="1"/>
    <s v="United States"/>
    <x v="170"/>
    <x v="2"/>
    <x v="1"/>
    <s v="FUR-CH-10003774"/>
    <s v="Furniture"/>
    <x v="1"/>
    <s v="Global Wood Trimmed Manager's Task Chair, Khaki"/>
    <n v="436.70400000000001"/>
    <n v="6"/>
    <n v="0.2"/>
    <n v="-38.211599999999997"/>
    <x v="4"/>
    <x v="6"/>
  </r>
  <r>
    <s v="US-2014-155544"/>
    <x v="813"/>
    <d v="2014-03-25T00:00:00"/>
    <x v="1"/>
    <s v="GM-14440"/>
    <s v="Gary McGarr"/>
    <x v="0"/>
    <s v="United States"/>
    <x v="270"/>
    <x v="9"/>
    <x v="0"/>
    <s v="FUR-FU-10001473"/>
    <s v="Furniture"/>
    <x v="3"/>
    <s v="DAX Wood Document Frame"/>
    <n v="32.951999999999998"/>
    <n v="3"/>
    <n v="0.2"/>
    <n v="6.5903999999999998"/>
    <x v="4"/>
    <x v="9"/>
  </r>
  <r>
    <s v="US-2014-155544"/>
    <x v="813"/>
    <d v="2014-03-25T00:00:00"/>
    <x v="1"/>
    <s v="GM-14440"/>
    <s v="Gary McGarr"/>
    <x v="0"/>
    <s v="United States"/>
    <x v="270"/>
    <x v="9"/>
    <x v="0"/>
    <s v="FUR-CH-10000422"/>
    <s v="Furniture"/>
    <x v="1"/>
    <s v="Global Highback Leather Tilter in Burgundy"/>
    <n v="218.376"/>
    <n v="3"/>
    <n v="0.2"/>
    <n v="-10.918799999999999"/>
    <x v="4"/>
    <x v="9"/>
  </r>
  <r>
    <s v="US-2015-115238"/>
    <x v="11"/>
    <d v="2015-05-04T00:00:00"/>
    <x v="1"/>
    <s v="JW-15220"/>
    <s v="Jane Waco"/>
    <x v="1"/>
    <s v="United States"/>
    <x v="37"/>
    <x v="20"/>
    <x v="2"/>
    <s v="FUR-FU-10002960"/>
    <s v="Furniture"/>
    <x v="3"/>
    <s v="Eldon 200 Class Desk Accessories, Burgundy"/>
    <n v="31.4"/>
    <n v="5"/>
    <n v="0"/>
    <n v="13.188000000000001"/>
    <x v="4"/>
    <x v="6"/>
  </r>
  <r>
    <s v="US-2015-115238"/>
    <x v="11"/>
    <d v="2015-05-04T00:00:00"/>
    <x v="1"/>
    <s v="JW-15220"/>
    <s v="Jane Waco"/>
    <x v="1"/>
    <s v="United States"/>
    <x v="37"/>
    <x v="20"/>
    <x v="2"/>
    <s v="FUR-FU-10002445"/>
    <s v="Furniture"/>
    <x v="3"/>
    <s v="DAX Two-Tone Rosewood/Black Document Frame, Desktop, 5 x 7"/>
    <n v="9.48"/>
    <n v="1"/>
    <n v="0"/>
    <n v="3.7919999999999998"/>
    <x v="4"/>
    <x v="6"/>
  </r>
  <r>
    <s v="US-2015-115238"/>
    <x v="11"/>
    <d v="2015-05-04T00:00:00"/>
    <x v="1"/>
    <s v="JW-15220"/>
    <s v="Jane Waco"/>
    <x v="1"/>
    <s v="United States"/>
    <x v="37"/>
    <x v="20"/>
    <x v="2"/>
    <s v="FUR-FU-10001025"/>
    <s v="Furniture"/>
    <x v="3"/>
    <s v="Eldon Imˆge Series Desk Accessories, Clear"/>
    <n v="24.3"/>
    <n v="5"/>
    <n v="0"/>
    <n v="10.449"/>
    <x v="4"/>
    <x v="6"/>
  </r>
  <r>
    <s v="CA-2017-132199"/>
    <x v="814"/>
    <d v="2017-05-08T00:00:00"/>
    <x v="1"/>
    <s v="BO-11350"/>
    <s v="Bill Overfelt"/>
    <x v="1"/>
    <s v="United States"/>
    <x v="3"/>
    <x v="3"/>
    <x v="2"/>
    <s v="FUR-FU-10004245"/>
    <s v="Furniture"/>
    <x v="3"/>
    <s v="Career Cubicle Clock, 8 1/4&quot;, Black"/>
    <n v="32.448"/>
    <n v="2"/>
    <n v="0.2"/>
    <n v="7.3007999999999997"/>
    <x v="2"/>
    <x v="7"/>
  </r>
  <r>
    <s v="CA-2017-132199"/>
    <x v="814"/>
    <d v="2017-05-08T00:00:00"/>
    <x v="1"/>
    <s v="BO-11350"/>
    <s v="Bill Overfelt"/>
    <x v="1"/>
    <s v="United States"/>
    <x v="3"/>
    <x v="3"/>
    <x v="2"/>
    <s v="FUR-TA-10003748"/>
    <s v="Furniture"/>
    <x v="2"/>
    <s v="Bevis 36 x 72 Conference Tables"/>
    <n v="373.47"/>
    <n v="5"/>
    <n v="0.4"/>
    <n v="-112.041"/>
    <x v="2"/>
    <x v="7"/>
  </r>
  <r>
    <s v="CA-2016-163174"/>
    <x v="238"/>
    <d v="2016-08-30T00:00:00"/>
    <x v="1"/>
    <s v="XP-21865"/>
    <s v="Xylona Preis"/>
    <x v="0"/>
    <s v="United States"/>
    <x v="342"/>
    <x v="24"/>
    <x v="0"/>
    <s v="FUR-FU-10000308"/>
    <s v="Furniture"/>
    <x v="3"/>
    <s v="Deflect-o Glass Clear Studded Chair Mats"/>
    <n v="186.54"/>
    <n v="3"/>
    <n v="0"/>
    <n v="41.038800000000002"/>
    <x v="4"/>
    <x v="10"/>
  </r>
  <r>
    <s v="CA-2017-147207"/>
    <x v="815"/>
    <d v="2017-01-04T00:00:00"/>
    <x v="0"/>
    <s v="TS-21655"/>
    <s v="Trudy Schmidt"/>
    <x v="0"/>
    <s v="United States"/>
    <x v="116"/>
    <x v="5"/>
    <x v="3"/>
    <s v="FUR-TA-10002958"/>
    <s v="Furniture"/>
    <x v="2"/>
    <s v="Bevis Oval Conference Table, Walnut"/>
    <n v="913.43"/>
    <n v="5"/>
    <n v="0.3"/>
    <n v="-169.637"/>
    <x v="3"/>
    <x v="8"/>
  </r>
  <r>
    <s v="CA-2016-118745"/>
    <x v="354"/>
    <d v="2016-06-16T00:00:00"/>
    <x v="1"/>
    <s v="SV-20365"/>
    <s v="Seth Vernon"/>
    <x v="0"/>
    <s v="United States"/>
    <x v="2"/>
    <x v="2"/>
    <x v="1"/>
    <s v="FUR-TA-10003473"/>
    <s v="Furniture"/>
    <x v="2"/>
    <s v="Bretford Rectangular Conference Table Tops"/>
    <n v="902.71199999999999"/>
    <n v="3"/>
    <n v="0.2"/>
    <n v="33.851700000000001"/>
    <x v="2"/>
    <x v="2"/>
  </r>
  <r>
    <s v="CA-2016-163972"/>
    <x v="816"/>
    <d v="2016-10-21T00:00:00"/>
    <x v="1"/>
    <s v="MG-17890"/>
    <s v="Michael Granlund"/>
    <x v="2"/>
    <s v="United States"/>
    <x v="99"/>
    <x v="2"/>
    <x v="1"/>
    <s v="FUR-BO-10003894"/>
    <s v="Furniture"/>
    <x v="0"/>
    <s v="Safco Value Mate Steel Bookcase, Baked Enamel Finish on Steel, Black"/>
    <n v="120.666"/>
    <n v="2"/>
    <n v="0.15"/>
    <n v="21.294"/>
    <x v="4"/>
    <x v="1"/>
  </r>
  <r>
    <s v="CA-2016-113726"/>
    <x v="243"/>
    <d v="2016-12-01T00:00:00"/>
    <x v="1"/>
    <s v="SC-20680"/>
    <s v="Steve Carroll"/>
    <x v="2"/>
    <s v="United States"/>
    <x v="15"/>
    <x v="13"/>
    <x v="1"/>
    <s v="FUR-FU-10003535"/>
    <s v="Furniture"/>
    <x v="3"/>
    <s v="Howard Miller Distant Time Traveler Alarm Clock"/>
    <n v="82.26"/>
    <n v="3"/>
    <n v="0"/>
    <n v="33.726599999999998"/>
    <x v="1"/>
    <x v="0"/>
  </r>
  <r>
    <s v="CA-2016-163048"/>
    <x v="817"/>
    <d v="2016-02-15T00:00:00"/>
    <x v="1"/>
    <s v="MH-17440"/>
    <s v="Mark Haberlin"/>
    <x v="1"/>
    <s v="United States"/>
    <x v="6"/>
    <x v="5"/>
    <x v="3"/>
    <s v="FUR-CH-10001270"/>
    <s v="Furniture"/>
    <x v="1"/>
    <s v="Harbour Creations Steel Folding Chair"/>
    <n v="241.5"/>
    <n v="4"/>
    <n v="0.3"/>
    <n v="0"/>
    <x v="1"/>
    <x v="11"/>
  </r>
  <r>
    <s v="CA-2017-110625"/>
    <x v="340"/>
    <d v="2017-12-30T00:00:00"/>
    <x v="1"/>
    <s v="JB-16045"/>
    <s v="Julia Barnett"/>
    <x v="2"/>
    <s v="United States"/>
    <x v="343"/>
    <x v="19"/>
    <x v="2"/>
    <s v="FUR-FU-10001473"/>
    <s v="Furniture"/>
    <x v="3"/>
    <s v="DAX Wood Document Frame"/>
    <n v="27.46"/>
    <n v="2"/>
    <n v="0"/>
    <n v="9.8856000000000002"/>
    <x v="1"/>
    <x v="5"/>
  </r>
  <r>
    <s v="CA-2016-142594"/>
    <x v="193"/>
    <d v="2016-12-06T00:00:00"/>
    <x v="0"/>
    <s v="EJ-14155"/>
    <s v="Eva Jacobs"/>
    <x v="0"/>
    <s v="United States"/>
    <x v="20"/>
    <x v="20"/>
    <x v="2"/>
    <s v="FUR-FU-10002045"/>
    <s v="Furniture"/>
    <x v="3"/>
    <s v="Executive Impressions 14&quot;"/>
    <n v="111.15"/>
    <n v="5"/>
    <n v="0"/>
    <n v="48.905999999999999"/>
    <x v="2"/>
    <x v="5"/>
  </r>
  <r>
    <s v="CA-2016-142594"/>
    <x v="193"/>
    <d v="2016-12-06T00:00:00"/>
    <x v="0"/>
    <s v="EJ-14155"/>
    <s v="Eva Jacobs"/>
    <x v="0"/>
    <s v="United States"/>
    <x v="20"/>
    <x v="20"/>
    <x v="2"/>
    <s v="FUR-TA-10001095"/>
    <s v="Furniture"/>
    <x v="2"/>
    <s v="Chromcraft Round Conference Tables"/>
    <n v="366.00900000000001"/>
    <n v="3"/>
    <n v="0.3"/>
    <n v="-47.058300000000003"/>
    <x v="2"/>
    <x v="5"/>
  </r>
  <r>
    <s v="CA-2017-120061"/>
    <x v="575"/>
    <d v="2017-11-07T00:00:00"/>
    <x v="0"/>
    <s v="SR-20425"/>
    <s v="Sharelle Roach"/>
    <x v="2"/>
    <s v="United States"/>
    <x v="76"/>
    <x v="15"/>
    <x v="2"/>
    <s v="FUR-CH-10001973"/>
    <s v="Furniture"/>
    <x v="1"/>
    <s v="Office Star Flex Back Scooter Chair with White Frame"/>
    <n v="155.37200000000001"/>
    <n v="2"/>
    <n v="0.3"/>
    <n v="-35.513599999999997"/>
    <x v="2"/>
    <x v="0"/>
  </r>
  <r>
    <s v="CA-2015-110814"/>
    <x v="482"/>
    <d v="2015-12-09T00:00:00"/>
    <x v="0"/>
    <s v="BD-11635"/>
    <s v="Brian Derr"/>
    <x v="0"/>
    <s v="United States"/>
    <x v="13"/>
    <x v="7"/>
    <x v="2"/>
    <s v="FUR-CH-10003535"/>
    <s v="Furniture"/>
    <x v="1"/>
    <s v="Global Armless Task Chair, Royal Blue"/>
    <n v="164.64599999999999"/>
    <n v="3"/>
    <n v="0.1"/>
    <n v="12.8058"/>
    <x v="4"/>
    <x v="5"/>
  </r>
  <r>
    <s v="CA-2017-140480"/>
    <x v="220"/>
    <d v="2017-07-12T00:00:00"/>
    <x v="1"/>
    <s v="HE-14800"/>
    <s v="Harold Engle"/>
    <x v="1"/>
    <s v="United States"/>
    <x v="19"/>
    <x v="14"/>
    <x v="2"/>
    <s v="FUR-FU-10003247"/>
    <s v="Furniture"/>
    <x v="3"/>
    <s v="36X48 HARDFLOOR CHAIRMAT"/>
    <n v="83.92"/>
    <n v="4"/>
    <n v="0"/>
    <n v="5.8743999999999996"/>
    <x v="4"/>
    <x v="3"/>
  </r>
  <r>
    <s v="CA-2017-140480"/>
    <x v="220"/>
    <d v="2017-07-12T00:00:00"/>
    <x v="1"/>
    <s v="HE-14800"/>
    <s v="Harold Engle"/>
    <x v="1"/>
    <s v="United States"/>
    <x v="19"/>
    <x v="14"/>
    <x v="2"/>
    <s v="FUR-FU-10001057"/>
    <s v="Furniture"/>
    <x v="3"/>
    <s v="Tensor Track Tree Floor Lamp"/>
    <n v="39.979999999999997"/>
    <n v="2"/>
    <n v="0"/>
    <n v="9.1953999999999994"/>
    <x v="4"/>
    <x v="3"/>
  </r>
  <r>
    <s v="CA-2016-130820"/>
    <x v="818"/>
    <d v="2016-11-15T00:00:00"/>
    <x v="3"/>
    <s v="ON-18715"/>
    <s v="Odella Nelson"/>
    <x v="1"/>
    <s v="United States"/>
    <x v="259"/>
    <x v="30"/>
    <x v="0"/>
    <s v="FUR-TA-10001768"/>
    <s v="Furniture"/>
    <x v="2"/>
    <s v="Hon Racetrack Conference Tables"/>
    <n v="630.024"/>
    <n v="4"/>
    <n v="0.4"/>
    <n v="-199.5076"/>
    <x v="7"/>
    <x v="0"/>
  </r>
  <r>
    <s v="CA-2017-132290"/>
    <x v="203"/>
    <d v="2017-03-14T00:00:00"/>
    <x v="1"/>
    <s v="MD-17350"/>
    <s v="Maribeth Dona"/>
    <x v="0"/>
    <s v="United States"/>
    <x v="144"/>
    <x v="5"/>
    <x v="3"/>
    <s v="FUR-TA-10002228"/>
    <s v="Furniture"/>
    <x v="2"/>
    <s v="Bevis Traditional Conference Table Top, Plinth Base"/>
    <n v="933.40800000000002"/>
    <n v="4"/>
    <n v="0.3"/>
    <n v="-173.34719999999999"/>
    <x v="4"/>
    <x v="9"/>
  </r>
  <r>
    <s v="CA-2017-118199"/>
    <x v="808"/>
    <d v="2017-05-11T00:00:00"/>
    <x v="2"/>
    <s v="LB-16795"/>
    <s v="Laurel Beltran"/>
    <x v="2"/>
    <s v="United States"/>
    <x v="15"/>
    <x v="13"/>
    <x v="1"/>
    <s v="FUR-TA-10004154"/>
    <s v="Furniture"/>
    <x v="2"/>
    <s v="Riverside Furniture Oval Coffee Table, Oval End Table, End Table with Drawer"/>
    <n v="286.85000000000002"/>
    <n v="1"/>
    <n v="0"/>
    <n v="63.106999999999999"/>
    <x v="3"/>
    <x v="7"/>
  </r>
  <r>
    <s v="CA-2017-150091"/>
    <x v="176"/>
    <d v="2017-10-16T00:00:00"/>
    <x v="1"/>
    <s v="NP-18670"/>
    <s v="Nora Paige"/>
    <x v="0"/>
    <s v="United States"/>
    <x v="174"/>
    <x v="18"/>
    <x v="2"/>
    <s v="FUR-FU-10004053"/>
    <s v="Furniture"/>
    <x v="3"/>
    <s v="DAX Two-Tone Silver Metal Document Frame"/>
    <n v="40.479999999999997"/>
    <n v="2"/>
    <n v="0"/>
    <n v="17.406400000000001"/>
    <x v="4"/>
    <x v="1"/>
  </r>
  <r>
    <s v="CA-2017-150091"/>
    <x v="176"/>
    <d v="2017-10-16T00:00:00"/>
    <x v="1"/>
    <s v="NP-18670"/>
    <s v="Nora Paige"/>
    <x v="0"/>
    <s v="United States"/>
    <x v="174"/>
    <x v="18"/>
    <x v="2"/>
    <s v="FUR-BO-10003404"/>
    <s v="Furniture"/>
    <x v="0"/>
    <s v="Global Adaptabilites Bookcase, Cherry/Storm Gray Finish"/>
    <n v="2154.9"/>
    <n v="5"/>
    <n v="0"/>
    <n v="129.29400000000001"/>
    <x v="4"/>
    <x v="1"/>
  </r>
  <r>
    <s v="CA-2016-118129"/>
    <x v="645"/>
    <d v="2016-12-21T00:00:00"/>
    <x v="0"/>
    <s v="CL-12565"/>
    <s v="Clay Ludtke"/>
    <x v="0"/>
    <s v="United States"/>
    <x v="288"/>
    <x v="3"/>
    <x v="2"/>
    <s v="FUR-FU-10004904"/>
    <s v="Furniture"/>
    <x v="3"/>
    <s v="Eldon &quot;L&quot; Workstation Diamond Chairmat"/>
    <n v="303.92"/>
    <n v="5"/>
    <n v="0.2"/>
    <n v="-30.391999999999999"/>
    <x v="3"/>
    <x v="5"/>
  </r>
  <r>
    <s v="CA-2017-155621"/>
    <x v="819"/>
    <d v="2017-11-13T00:00:00"/>
    <x v="1"/>
    <s v="KN-16450"/>
    <s v="Kean Nguyen"/>
    <x v="1"/>
    <s v="United States"/>
    <x v="237"/>
    <x v="32"/>
    <x v="2"/>
    <s v="FUR-FU-10003535"/>
    <s v="Furniture"/>
    <x v="3"/>
    <s v="Howard Miller Distant Time Traveler Alarm Clock"/>
    <n v="274.2"/>
    <n v="10"/>
    <n v="0"/>
    <n v="112.422"/>
    <x v="2"/>
    <x v="0"/>
  </r>
  <r>
    <s v="US-2014-127635"/>
    <x v="94"/>
    <d v="2014-09-18T00:00:00"/>
    <x v="0"/>
    <s v="SC-20260"/>
    <s v="Scott Cohen"/>
    <x v="1"/>
    <s v="United States"/>
    <x v="177"/>
    <x v="5"/>
    <x v="3"/>
    <s v="FUR-FU-10000550"/>
    <s v="Furniture"/>
    <x v="3"/>
    <s v="Stacking Trays by OIC"/>
    <n v="9.9600000000000009"/>
    <n v="5"/>
    <n v="0.6"/>
    <n v="-6.7229999999999999"/>
    <x v="4"/>
    <x v="4"/>
  </r>
  <r>
    <s v="CA-2017-125451"/>
    <x v="409"/>
    <d v="2017-10-24T00:00:00"/>
    <x v="2"/>
    <s v="AH-10075"/>
    <s v="Adam Hart"/>
    <x v="1"/>
    <s v="United States"/>
    <x v="236"/>
    <x v="38"/>
    <x v="2"/>
    <s v="FUR-TA-10001039"/>
    <s v="Furniture"/>
    <x v="2"/>
    <s v="KI Adjustable-Height Table"/>
    <n v="240.744"/>
    <n v="4"/>
    <n v="0.3"/>
    <n v="-13.7568"/>
    <x v="5"/>
    <x v="1"/>
  </r>
  <r>
    <s v="CA-2017-125451"/>
    <x v="409"/>
    <d v="2017-10-24T00:00:00"/>
    <x v="2"/>
    <s v="AH-10075"/>
    <s v="Adam Hart"/>
    <x v="1"/>
    <s v="United States"/>
    <x v="236"/>
    <x v="38"/>
    <x v="2"/>
    <s v="FUR-FU-10004963"/>
    <s v="Furniture"/>
    <x v="3"/>
    <s v="Eldon 400 Class Desk Accessories, Black Carbon"/>
    <n v="35"/>
    <n v="4"/>
    <n v="0"/>
    <n v="14.7"/>
    <x v="5"/>
    <x v="1"/>
  </r>
  <r>
    <s v="CA-2017-125451"/>
    <x v="409"/>
    <d v="2017-10-24T00:00:00"/>
    <x v="2"/>
    <s v="AH-10075"/>
    <s v="Adam Hart"/>
    <x v="1"/>
    <s v="United States"/>
    <x v="236"/>
    <x v="38"/>
    <x v="2"/>
    <s v="FUR-FU-10000277"/>
    <s v="Furniture"/>
    <x v="3"/>
    <s v="Deflect-o DuraMat Antistatic Studded Beveled Mat for Medium Pile Carpeting"/>
    <n v="210.68"/>
    <n v="2"/>
    <n v="0"/>
    <n v="50.563200000000002"/>
    <x v="5"/>
    <x v="1"/>
  </r>
  <r>
    <s v="CA-2017-125451"/>
    <x v="409"/>
    <d v="2017-10-24T00:00:00"/>
    <x v="2"/>
    <s v="AH-10075"/>
    <s v="Adam Hart"/>
    <x v="1"/>
    <s v="United States"/>
    <x v="236"/>
    <x v="38"/>
    <x v="2"/>
    <s v="FUR-TA-10004915"/>
    <s v="Furniture"/>
    <x v="2"/>
    <s v="Office Impressions End Table, 20-1/2&quot;H x 24&quot;W x 20&quot;D"/>
    <n v="637.89599999999996"/>
    <n v="3"/>
    <n v="0.3"/>
    <n v="-127.5792"/>
    <x v="5"/>
    <x v="1"/>
  </r>
  <r>
    <s v="CA-2016-125087"/>
    <x v="820"/>
    <d v="2016-04-23T00:00:00"/>
    <x v="1"/>
    <s v="TH-21115"/>
    <s v="Thea Hudgings"/>
    <x v="1"/>
    <s v="United States"/>
    <x v="6"/>
    <x v="5"/>
    <x v="3"/>
    <s v="FUR-CH-10002880"/>
    <s v="Furniture"/>
    <x v="1"/>
    <s v="Global High-Back Leather Tilter, Burgundy"/>
    <n v="344.37200000000001"/>
    <n v="4"/>
    <n v="0.3"/>
    <n v="-93.472399999999993"/>
    <x v="2"/>
    <x v="6"/>
  </r>
  <r>
    <s v="CA-2016-125087"/>
    <x v="820"/>
    <d v="2016-04-23T00:00:00"/>
    <x v="1"/>
    <s v="TH-21115"/>
    <s v="Thea Hudgings"/>
    <x v="1"/>
    <s v="United States"/>
    <x v="6"/>
    <x v="5"/>
    <x v="3"/>
    <s v="FUR-FU-10004748"/>
    <s v="Furniture"/>
    <x v="3"/>
    <s v="Howard Miller 16&quot; Diameter Gallery Wall Clock"/>
    <n v="127.88"/>
    <n v="5"/>
    <n v="0.6"/>
    <n v="-67.137"/>
    <x v="2"/>
    <x v="6"/>
  </r>
  <r>
    <s v="US-2017-118556"/>
    <x v="15"/>
    <d v="2017-06-02T00:00:00"/>
    <x v="0"/>
    <s v="TH-21235"/>
    <s v="Tiffany House"/>
    <x v="1"/>
    <s v="United States"/>
    <x v="9"/>
    <x v="8"/>
    <x v="3"/>
    <s v="FUR-CH-10001146"/>
    <s v="Furniture"/>
    <x v="1"/>
    <s v="Global Task Chair, Black"/>
    <n v="106.869"/>
    <n v="3"/>
    <n v="0.3"/>
    <n v="-29.007300000000001"/>
    <x v="2"/>
    <x v="7"/>
  </r>
  <r>
    <s v="US-2016-164196"/>
    <x v="367"/>
    <d v="2016-11-17T00:00:00"/>
    <x v="1"/>
    <s v="AS-10285"/>
    <s v="Alejandro Savely"/>
    <x v="1"/>
    <s v="United States"/>
    <x v="344"/>
    <x v="6"/>
    <x v="3"/>
    <s v="FUR-TA-10001950"/>
    <s v="Furniture"/>
    <x v="2"/>
    <s v="Balt Solid Wood Round Tables"/>
    <n v="2678.94"/>
    <n v="6"/>
    <n v="0"/>
    <n v="241.1046"/>
    <x v="6"/>
    <x v="0"/>
  </r>
  <r>
    <s v="US-2017-132031"/>
    <x v="748"/>
    <d v="2017-04-27T00:00:00"/>
    <x v="1"/>
    <s v="PN-18775"/>
    <s v="Parhena Norris"/>
    <x v="2"/>
    <s v="United States"/>
    <x v="345"/>
    <x v="9"/>
    <x v="0"/>
    <s v="FUR-BO-10001972"/>
    <s v="Furniture"/>
    <x v="0"/>
    <s v="O'Sullivan 4-Shelf Bookcase in Odessa Pine"/>
    <n v="387.13600000000002"/>
    <n v="4"/>
    <n v="0.2"/>
    <n v="-14.5176"/>
    <x v="4"/>
    <x v="6"/>
  </r>
  <r>
    <s v="US-2017-132031"/>
    <x v="748"/>
    <d v="2017-04-27T00:00:00"/>
    <x v="1"/>
    <s v="PN-18775"/>
    <s v="Parhena Norris"/>
    <x v="2"/>
    <s v="United States"/>
    <x v="345"/>
    <x v="9"/>
    <x v="0"/>
    <s v="FUR-FU-10000193"/>
    <s v="Furniture"/>
    <x v="3"/>
    <s v="Tenex Chairmats For Use with Hard Floors"/>
    <n v="77.951999999999998"/>
    <n v="3"/>
    <n v="0.2"/>
    <n v="-11.6928"/>
    <x v="4"/>
    <x v="6"/>
  </r>
  <r>
    <s v="CA-2017-142391"/>
    <x v="118"/>
    <d v="2017-09-24T00:00:00"/>
    <x v="3"/>
    <s v="PB-19150"/>
    <s v="Philip Brown"/>
    <x v="0"/>
    <s v="United States"/>
    <x v="15"/>
    <x v="13"/>
    <x v="1"/>
    <s v="FUR-FU-10002759"/>
    <s v="Furniture"/>
    <x v="3"/>
    <s v="12-1/2 Diameter Round Wall Clock"/>
    <n v="199.8"/>
    <n v="10"/>
    <n v="0"/>
    <n v="71.927999999999997"/>
    <x v="7"/>
    <x v="4"/>
  </r>
  <r>
    <s v="CA-2016-158841"/>
    <x v="821"/>
    <d v="2016-02-04T00:00:00"/>
    <x v="0"/>
    <s v="SE-20110"/>
    <s v="Sanjit Engle"/>
    <x v="0"/>
    <s v="United States"/>
    <x v="58"/>
    <x v="25"/>
    <x v="0"/>
    <s v="FUR-FU-10001731"/>
    <s v="Furniture"/>
    <x v="3"/>
    <s v="Acrylic Self-Standing Desk Frames"/>
    <n v="18.690000000000001"/>
    <n v="7"/>
    <n v="0"/>
    <n v="7.1021999999999998"/>
    <x v="3"/>
    <x v="11"/>
  </r>
  <r>
    <s v="CA-2015-102316"/>
    <x v="822"/>
    <d v="2015-03-03T00:00:00"/>
    <x v="0"/>
    <s v="DH-13075"/>
    <s v="Dave Hallsten"/>
    <x v="1"/>
    <s v="United States"/>
    <x v="2"/>
    <x v="2"/>
    <x v="1"/>
    <s v="FUR-CH-10003396"/>
    <s v="Furniture"/>
    <x v="1"/>
    <s v="Global Deluxe Steno Chair"/>
    <n v="184.75200000000001"/>
    <n v="3"/>
    <n v="0.2"/>
    <n v="-20.784600000000001"/>
    <x v="3"/>
    <x v="9"/>
  </r>
  <r>
    <s v="CA-2016-109400"/>
    <x v="630"/>
    <d v="2016-05-06T00:00:00"/>
    <x v="1"/>
    <s v="NR-18550"/>
    <s v="Nick Radford"/>
    <x v="0"/>
    <s v="United States"/>
    <x v="45"/>
    <x v="5"/>
    <x v="3"/>
    <s v="FUR-CH-10003298"/>
    <s v="Furniture"/>
    <x v="1"/>
    <s v="Office Star - Contemporary Task Swivel chair with Loop Arms, Charcoal"/>
    <n v="366.74400000000003"/>
    <n v="4"/>
    <n v="0.3"/>
    <n v="-110.0232"/>
    <x v="4"/>
    <x v="7"/>
  </r>
  <r>
    <s v="CA-2016-144645"/>
    <x v="821"/>
    <d v="2016-02-08T00:00:00"/>
    <x v="1"/>
    <s v="NS-18640"/>
    <s v="Noel Staavos"/>
    <x v="1"/>
    <s v="United States"/>
    <x v="6"/>
    <x v="5"/>
    <x v="3"/>
    <s v="FUR-FU-10003601"/>
    <s v="Furniture"/>
    <x v="3"/>
    <s v="Deflect-o RollaMat Studded, Beveled Mat for Medium Pile Carpeting"/>
    <n v="73.784000000000006"/>
    <n v="2"/>
    <n v="0.6"/>
    <n v="-77.473200000000006"/>
    <x v="6"/>
    <x v="11"/>
  </r>
  <r>
    <s v="CA-2017-149720"/>
    <x v="182"/>
    <d v="2017-06-07T00:00:00"/>
    <x v="0"/>
    <s v="EM-14065"/>
    <s v="Erin Mull"/>
    <x v="0"/>
    <s v="United States"/>
    <x v="346"/>
    <x v="5"/>
    <x v="3"/>
    <s v="FUR-FU-10002501"/>
    <s v="Furniture"/>
    <x v="3"/>
    <s v="Nu-Dell Executive Frame"/>
    <n v="30.335999999999999"/>
    <n v="6"/>
    <n v="0.6"/>
    <n v="-17.443200000000001"/>
    <x v="0"/>
    <x v="2"/>
  </r>
  <r>
    <s v="CA-2017-118003"/>
    <x v="423"/>
    <d v="2017-12-10T00:00:00"/>
    <x v="1"/>
    <s v="DO-13645"/>
    <s v="Doug O'Connell"/>
    <x v="0"/>
    <s v="United States"/>
    <x v="309"/>
    <x v="18"/>
    <x v="2"/>
    <s v="FUR-FU-10002506"/>
    <s v="Furniture"/>
    <x v="3"/>
    <s v="Tensor &quot;Hersey Kiss&quot; Styled Floor Lamp"/>
    <n v="12.99"/>
    <n v="1"/>
    <n v="0"/>
    <n v="1.5588"/>
    <x v="6"/>
    <x v="5"/>
  </r>
  <r>
    <s v="CA-2017-118003"/>
    <x v="423"/>
    <d v="2017-12-10T00:00:00"/>
    <x v="1"/>
    <s v="DO-13645"/>
    <s v="Doug O'Connell"/>
    <x v="0"/>
    <s v="United States"/>
    <x v="309"/>
    <x v="18"/>
    <x v="2"/>
    <s v="FUR-CH-10003817"/>
    <s v="Furniture"/>
    <x v="1"/>
    <s v="Global Value Steno Chair, Gray"/>
    <n v="182.22"/>
    <n v="3"/>
    <n v="0"/>
    <n v="45.555"/>
    <x v="6"/>
    <x v="5"/>
  </r>
  <r>
    <s v="CA-2017-118003"/>
    <x v="423"/>
    <d v="2017-12-10T00:00:00"/>
    <x v="1"/>
    <s v="DO-13645"/>
    <s v="Doug O'Connell"/>
    <x v="0"/>
    <s v="United States"/>
    <x v="309"/>
    <x v="18"/>
    <x v="2"/>
    <s v="FUR-CH-10004860"/>
    <s v="Furniture"/>
    <x v="1"/>
    <s v="Global Low Back Tilter Chair"/>
    <n v="302.94"/>
    <n v="3"/>
    <n v="0"/>
    <n v="18.176400000000001"/>
    <x v="6"/>
    <x v="5"/>
  </r>
  <r>
    <s v="CA-2016-141887"/>
    <x v="823"/>
    <d v="2016-01-15T00:00:00"/>
    <x v="1"/>
    <s v="MP-17470"/>
    <s v="Mark Packer"/>
    <x v="2"/>
    <s v="United States"/>
    <x v="29"/>
    <x v="15"/>
    <x v="2"/>
    <s v="FUR-FU-10002268"/>
    <s v="Furniture"/>
    <x v="3"/>
    <s v="Ultra Door Push Plate"/>
    <n v="54.991999999999997"/>
    <n v="14"/>
    <n v="0.2"/>
    <n v="8.9361999999999995"/>
    <x v="4"/>
    <x v="8"/>
  </r>
  <r>
    <s v="CA-2017-161172"/>
    <x v="824"/>
    <d v="2017-03-16T00:00:00"/>
    <x v="3"/>
    <s v="SP-20920"/>
    <s v="Susan Pistek"/>
    <x v="0"/>
    <s v="United States"/>
    <x v="29"/>
    <x v="15"/>
    <x v="2"/>
    <s v="FUR-FU-10003424"/>
    <s v="Furniture"/>
    <x v="3"/>
    <s v="Nu-Dell Oak Frame"/>
    <n v="51.264000000000003"/>
    <n v="6"/>
    <n v="0.2"/>
    <n v="7.6896000000000004"/>
    <x v="7"/>
    <x v="9"/>
  </r>
  <r>
    <s v="CA-2017-137624"/>
    <x v="219"/>
    <d v="2017-11-17T00:00:00"/>
    <x v="1"/>
    <s v="ME-17320"/>
    <s v="Maria Etezadi"/>
    <x v="2"/>
    <s v="United States"/>
    <x v="2"/>
    <x v="2"/>
    <x v="1"/>
    <s v="FUR-CH-10001714"/>
    <s v="Furniture"/>
    <x v="1"/>
    <s v="Global Leather &amp; Oak Executive Chair, Burgundy"/>
    <n v="241.42400000000001"/>
    <n v="2"/>
    <n v="0.2"/>
    <n v="-36.2136"/>
    <x v="1"/>
    <x v="0"/>
  </r>
  <r>
    <s v="CA-2016-156748"/>
    <x v="825"/>
    <d v="2016-12-06T00:00:00"/>
    <x v="1"/>
    <s v="BS-11755"/>
    <s v="Bruce Stewart"/>
    <x v="0"/>
    <s v="United States"/>
    <x v="25"/>
    <x v="17"/>
    <x v="3"/>
    <s v="FUR-CH-10000513"/>
    <s v="Furniture"/>
    <x v="1"/>
    <s v="High-Back Leather Manager's Chair"/>
    <n v="389.97"/>
    <n v="3"/>
    <n v="0"/>
    <n v="35.097299999999997"/>
    <x v="6"/>
    <x v="0"/>
  </r>
  <r>
    <s v="CA-2015-157287"/>
    <x v="826"/>
    <d v="2015-12-23T00:00:00"/>
    <x v="2"/>
    <s v="HR-14830"/>
    <s v="Harold Ryan"/>
    <x v="1"/>
    <s v="United States"/>
    <x v="3"/>
    <x v="3"/>
    <x v="2"/>
    <s v="FUR-CH-10001270"/>
    <s v="Furniture"/>
    <x v="1"/>
    <s v="Harbour Creations Steel Folding Chair"/>
    <n v="422.625"/>
    <n v="7"/>
    <n v="0.3"/>
    <n v="0"/>
    <x v="5"/>
    <x v="5"/>
  </r>
  <r>
    <s v="CA-2016-119074"/>
    <x v="827"/>
    <d v="2016-03-31T00:00:00"/>
    <x v="1"/>
    <s v="DS-13180"/>
    <s v="David Smith"/>
    <x v="1"/>
    <s v="United States"/>
    <x v="29"/>
    <x v="24"/>
    <x v="0"/>
    <s v="FUR-FU-10004053"/>
    <s v="Furniture"/>
    <x v="3"/>
    <s v="DAX Two-Tone Silver Metal Document Frame"/>
    <n v="20.239999999999998"/>
    <n v="1"/>
    <n v="0"/>
    <n v="8.7032000000000007"/>
    <x v="4"/>
    <x v="9"/>
  </r>
  <r>
    <s v="CA-2016-119074"/>
    <x v="827"/>
    <d v="2016-03-31T00:00:00"/>
    <x v="1"/>
    <s v="DS-13180"/>
    <s v="David Smith"/>
    <x v="1"/>
    <s v="United States"/>
    <x v="29"/>
    <x v="24"/>
    <x v="0"/>
    <s v="FUR-FU-10003731"/>
    <s v="Furniture"/>
    <x v="3"/>
    <s v="Eldon Expressions Wood and Plastic Desk Accessories, Oak"/>
    <n v="39.92"/>
    <n v="4"/>
    <n v="0"/>
    <n v="11.1776"/>
    <x v="4"/>
    <x v="9"/>
  </r>
  <r>
    <s v="CA-2015-126186"/>
    <x v="795"/>
    <d v="2015-09-12T00:00:00"/>
    <x v="2"/>
    <s v="GB-14530"/>
    <s v="George Bell"/>
    <x v="1"/>
    <s v="United States"/>
    <x v="14"/>
    <x v="12"/>
    <x v="1"/>
    <s v="FUR-FU-10000073"/>
    <s v="Furniture"/>
    <x v="3"/>
    <s v="Deflect-O Glasstique Clear Desk Accessories"/>
    <n v="24.64"/>
    <n v="4"/>
    <n v="0.2"/>
    <n v="4.0039999999999996"/>
    <x v="5"/>
    <x v="4"/>
  </r>
  <r>
    <s v="CA-2016-102092"/>
    <x v="453"/>
    <d v="2016-12-11T00:00:00"/>
    <x v="2"/>
    <s v="PM-18940"/>
    <s v="Paul MacIntyre"/>
    <x v="0"/>
    <s v="United States"/>
    <x v="76"/>
    <x v="25"/>
    <x v="0"/>
    <s v="FUR-TA-10002530"/>
    <s v="Furniture"/>
    <x v="2"/>
    <s v="Iceberg OfficeWorks 42&quot; Round Tables"/>
    <n v="1056.8599999999999"/>
    <n v="7"/>
    <n v="0"/>
    <n v="158.529"/>
    <x v="3"/>
    <x v="5"/>
  </r>
  <r>
    <s v="CA-2016-132829"/>
    <x v="207"/>
    <d v="2016-12-26T00:00:00"/>
    <x v="0"/>
    <s v="LA-16780"/>
    <s v="Laura Armstrong"/>
    <x v="1"/>
    <s v="United States"/>
    <x v="6"/>
    <x v="5"/>
    <x v="3"/>
    <s v="FUR-FU-10000206"/>
    <s v="Furniture"/>
    <x v="3"/>
    <s v="GE General Purpose, Extra Long Life, Showcase &amp; Floodlight Incandescent Bulbs"/>
    <n v="2.3279999999999998"/>
    <n v="2"/>
    <n v="0.6"/>
    <n v="-0.75660000000000005"/>
    <x v="0"/>
    <x v="5"/>
  </r>
  <r>
    <s v="CA-2016-123540"/>
    <x v="828"/>
    <d v="2016-04-06T00:00:00"/>
    <x v="0"/>
    <s v="DJ-13420"/>
    <s v="Denny Joy"/>
    <x v="1"/>
    <s v="United States"/>
    <x v="79"/>
    <x v="16"/>
    <x v="3"/>
    <s v="FUR-CH-10000847"/>
    <s v="Furniture"/>
    <x v="1"/>
    <s v="Global Executive Mid-Back Manager's Chair"/>
    <n v="1454.9"/>
    <n v="5"/>
    <n v="0"/>
    <n v="378.274"/>
    <x v="4"/>
    <x v="6"/>
  </r>
  <r>
    <s v="US-2017-108315"/>
    <x v="393"/>
    <d v="2017-05-04T00:00:00"/>
    <x v="1"/>
    <s v="MH-18115"/>
    <s v="Mick Hernandez"/>
    <x v="2"/>
    <s v="United States"/>
    <x v="347"/>
    <x v="1"/>
    <x v="0"/>
    <s v="FUR-FU-10000747"/>
    <s v="Furniture"/>
    <x v="3"/>
    <s v="Tenex B1-RE Series Chair Mats for Low Pile Carpets"/>
    <n v="220.70400000000001"/>
    <n v="6"/>
    <n v="0.2"/>
    <n v="-8.2764000000000006"/>
    <x v="4"/>
    <x v="6"/>
  </r>
  <r>
    <s v="CA-2017-106747"/>
    <x v="209"/>
    <d v="2017-07-04T00:00:00"/>
    <x v="2"/>
    <s v="TS-21505"/>
    <s v="Tony Sayre"/>
    <x v="0"/>
    <s v="United States"/>
    <x v="41"/>
    <x v="28"/>
    <x v="2"/>
    <s v="FUR-FU-10004188"/>
    <s v="Furniture"/>
    <x v="3"/>
    <s v="Luxo Professional Combination Clamp-On Lamps"/>
    <n v="102.3"/>
    <n v="1"/>
    <n v="0"/>
    <n v="26.597999999999999"/>
    <x v="5"/>
    <x v="3"/>
  </r>
  <r>
    <s v="CA-2017-146164"/>
    <x v="313"/>
    <d v="2017-12-26T00:00:00"/>
    <x v="1"/>
    <s v="CM-12190"/>
    <s v="Charlotte Melton"/>
    <x v="0"/>
    <s v="United States"/>
    <x v="77"/>
    <x v="11"/>
    <x v="3"/>
    <s v="FUR-TA-10004915"/>
    <s v="Furniture"/>
    <x v="2"/>
    <s v="Office Impressions End Table, 20-1/2&quot;H x 24&quot;W x 20&quot;D"/>
    <n v="607.52"/>
    <n v="2"/>
    <n v="0"/>
    <n v="97.203199999999995"/>
    <x v="4"/>
    <x v="5"/>
  </r>
  <r>
    <s v="CA-2014-130673"/>
    <x v="321"/>
    <d v="2014-05-22T00:00:00"/>
    <x v="0"/>
    <s v="MC-17590"/>
    <s v="Matt Collister"/>
    <x v="1"/>
    <s v="United States"/>
    <x v="348"/>
    <x v="5"/>
    <x v="3"/>
    <s v="FUR-FU-10003489"/>
    <s v="Furniture"/>
    <x v="3"/>
    <s v="Contemporary Borderless Frame"/>
    <n v="10.332000000000001"/>
    <n v="3"/>
    <n v="0.6"/>
    <n v="-5.9409000000000001"/>
    <x v="3"/>
    <x v="7"/>
  </r>
  <r>
    <s v="CA-2017-101700"/>
    <x v="748"/>
    <d v="2017-04-26T00:00:00"/>
    <x v="2"/>
    <s v="SO-20335"/>
    <s v="Sean O'Donnell"/>
    <x v="0"/>
    <s v="United States"/>
    <x v="349"/>
    <x v="12"/>
    <x v="1"/>
    <s v="FUR-FU-10001025"/>
    <s v="Furniture"/>
    <x v="3"/>
    <s v="Eldon Imˆge Series Desk Accessories, Clear"/>
    <n v="11.664"/>
    <n v="3"/>
    <n v="0.2"/>
    <n v="3.3534000000000002"/>
    <x v="0"/>
    <x v="6"/>
  </r>
  <r>
    <s v="CA-2014-151946"/>
    <x v="829"/>
    <d v="2014-06-09T00:00:00"/>
    <x v="1"/>
    <s v="BT-11440"/>
    <s v="Bobby Trafton"/>
    <x v="0"/>
    <s v="United States"/>
    <x v="13"/>
    <x v="7"/>
    <x v="2"/>
    <s v="FUR-FU-10002878"/>
    <s v="Furniture"/>
    <x v="3"/>
    <s v="Seth Thomas 14&quot; Day/Date Wall Clock"/>
    <n v="56.96"/>
    <n v="2"/>
    <n v="0"/>
    <n v="21.075199999999999"/>
    <x v="2"/>
    <x v="2"/>
  </r>
  <r>
    <s v="CA-2014-151946"/>
    <x v="829"/>
    <d v="2014-06-09T00:00:00"/>
    <x v="1"/>
    <s v="BT-11440"/>
    <s v="Bobby Trafton"/>
    <x v="0"/>
    <s v="United States"/>
    <x v="13"/>
    <x v="7"/>
    <x v="2"/>
    <s v="FUR-BO-10003272"/>
    <s v="Furniture"/>
    <x v="0"/>
    <s v="O'Sullivan Living Dimensions 5-Shelf Bookcases"/>
    <n v="353.56799999999998"/>
    <n v="2"/>
    <n v="0.2"/>
    <n v="-44.195999999999998"/>
    <x v="2"/>
    <x v="2"/>
  </r>
  <r>
    <s v="CA-2014-151946"/>
    <x v="829"/>
    <d v="2014-06-09T00:00:00"/>
    <x v="1"/>
    <s v="BT-11440"/>
    <s v="Bobby Trafton"/>
    <x v="0"/>
    <s v="United States"/>
    <x v="13"/>
    <x v="7"/>
    <x v="2"/>
    <s v="FUR-FU-10002191"/>
    <s v="Furniture"/>
    <x v="3"/>
    <s v="G.E. Halogen Desk Lamp Bulbs"/>
    <n v="13.96"/>
    <n v="2"/>
    <n v="0"/>
    <n v="6.7008000000000001"/>
    <x v="2"/>
    <x v="2"/>
  </r>
  <r>
    <s v="CA-2017-117513"/>
    <x v="470"/>
    <d v="2017-03-08T00:00:00"/>
    <x v="1"/>
    <s v="BT-11395"/>
    <s v="Bill Tyler"/>
    <x v="1"/>
    <s v="United States"/>
    <x v="2"/>
    <x v="2"/>
    <x v="1"/>
    <s v="FUR-TA-10001520"/>
    <s v="Furniture"/>
    <x v="2"/>
    <s v="Lesro Sheffield Collection Coffee Table, End Table, Center Table, Corner Table"/>
    <n v="399.67200000000003"/>
    <n v="7"/>
    <n v="0.2"/>
    <n v="-14.9877"/>
    <x v="2"/>
    <x v="9"/>
  </r>
  <r>
    <s v="US-2017-119319"/>
    <x v="200"/>
    <d v="2017-11-09T00:00:00"/>
    <x v="0"/>
    <s v="LC-17050"/>
    <s v="Liz Carlisle"/>
    <x v="0"/>
    <s v="United States"/>
    <x v="144"/>
    <x v="5"/>
    <x v="3"/>
    <s v="FUR-FU-10003878"/>
    <s v="Furniture"/>
    <x v="3"/>
    <s v="Linden 10&quot; Round Wall Clock, Black"/>
    <n v="30.56"/>
    <n v="5"/>
    <n v="0.6"/>
    <n v="-19.864000000000001"/>
    <x v="0"/>
    <x v="0"/>
  </r>
  <r>
    <s v="CA-2015-164084"/>
    <x v="395"/>
    <d v="2015-09-12T00:00:00"/>
    <x v="1"/>
    <s v="AG-10525"/>
    <s v="Andy Gerbode"/>
    <x v="1"/>
    <s v="United States"/>
    <x v="13"/>
    <x v="7"/>
    <x v="2"/>
    <s v="FUR-TA-10003569"/>
    <s v="Furniture"/>
    <x v="2"/>
    <s v="Bretford CR8500 Series Meeting Room Furniture"/>
    <n v="481.17599999999999"/>
    <n v="2"/>
    <n v="0.4"/>
    <n v="-120.294"/>
    <x v="2"/>
    <x v="4"/>
  </r>
  <r>
    <s v="CA-2016-107783"/>
    <x v="830"/>
    <d v="2016-07-29T00:00:00"/>
    <x v="2"/>
    <s v="OT-18730"/>
    <s v="Olvera Toch"/>
    <x v="0"/>
    <s v="United States"/>
    <x v="268"/>
    <x v="3"/>
    <x v="2"/>
    <s v="FUR-BO-10004409"/>
    <s v="Furniture"/>
    <x v="0"/>
    <s v="Safco Value Mate Series Steel Bookcases, Baked Enamel Finish on Steel, Gray"/>
    <n v="177.45"/>
    <n v="5"/>
    <n v="0.5"/>
    <n v="-78.078000000000003"/>
    <x v="5"/>
    <x v="3"/>
  </r>
  <r>
    <s v="CA-2017-159793"/>
    <x v="831"/>
    <d v="2017-08-29T00:00:00"/>
    <x v="1"/>
    <s v="SV-20365"/>
    <s v="Seth Vernon"/>
    <x v="0"/>
    <s v="United States"/>
    <x v="3"/>
    <x v="3"/>
    <x v="2"/>
    <s v="FUR-BO-10001798"/>
    <s v="Furniture"/>
    <x v="0"/>
    <s v="Bush Somerset Collection Bookcase"/>
    <n v="130.97999999999999"/>
    <n v="2"/>
    <n v="0.5"/>
    <n v="-89.066400000000002"/>
    <x v="4"/>
    <x v="10"/>
  </r>
  <r>
    <s v="CA-2017-151281"/>
    <x v="437"/>
    <d v="2017-05-02T00:00:00"/>
    <x v="1"/>
    <s v="HM-14980"/>
    <s v="Henry MacAllister"/>
    <x v="0"/>
    <s v="United States"/>
    <x v="15"/>
    <x v="13"/>
    <x v="1"/>
    <s v="FUR-FU-10000397"/>
    <s v="Furniture"/>
    <x v="3"/>
    <s v="Luxo Economy Swing Arm Lamp"/>
    <n v="139.58000000000001"/>
    <n v="7"/>
    <n v="0"/>
    <n v="39.0824"/>
    <x v="2"/>
    <x v="6"/>
  </r>
  <r>
    <s v="CA-2015-108259"/>
    <x v="428"/>
    <d v="2015-11-15T00:00:00"/>
    <x v="1"/>
    <s v="NS-18640"/>
    <s v="Noel Staavos"/>
    <x v="1"/>
    <s v="United States"/>
    <x v="51"/>
    <x v="30"/>
    <x v="0"/>
    <s v="FUR-FU-10000023"/>
    <s v="Furniture"/>
    <x v="3"/>
    <s v="Eldon Wave Desk Accessories"/>
    <n v="4.7119999999999997"/>
    <n v="1"/>
    <n v="0.2"/>
    <n v="1.4136"/>
    <x v="1"/>
    <x v="0"/>
  </r>
  <r>
    <s v="CA-2016-113341"/>
    <x v="778"/>
    <d v="2016-11-29T00:00:00"/>
    <x v="1"/>
    <s v="MH-17455"/>
    <s v="Mark Hamilton"/>
    <x v="0"/>
    <s v="United States"/>
    <x v="2"/>
    <x v="2"/>
    <x v="1"/>
    <s v="FUR-CH-10004698"/>
    <s v="Furniture"/>
    <x v="1"/>
    <s v="Padded Folding Chairs, Black, 4/Carton"/>
    <n v="194.352"/>
    <n v="3"/>
    <n v="0.2"/>
    <n v="19.435199999999998"/>
    <x v="4"/>
    <x v="0"/>
  </r>
  <r>
    <s v="US-2015-131842"/>
    <x v="482"/>
    <d v="2015-12-08T00:00:00"/>
    <x v="2"/>
    <s v="RR-19525"/>
    <s v="Rick Reed"/>
    <x v="1"/>
    <s v="United States"/>
    <x v="228"/>
    <x v="9"/>
    <x v="0"/>
    <s v="FUR-CH-10004477"/>
    <s v="Furniture"/>
    <x v="1"/>
    <s v="Global Push Button Manager's Chair, Indigo"/>
    <n v="97.424000000000007"/>
    <n v="2"/>
    <n v="0.2"/>
    <n v="10.9602"/>
    <x v="0"/>
    <x v="5"/>
  </r>
  <r>
    <s v="CA-2014-142769"/>
    <x v="624"/>
    <d v="2014-09-13T00:00:00"/>
    <x v="3"/>
    <s v="RP-19390"/>
    <s v="Resi Pšlking"/>
    <x v="0"/>
    <s v="United States"/>
    <x v="15"/>
    <x v="13"/>
    <x v="1"/>
    <s v="FUR-FU-10001918"/>
    <s v="Furniture"/>
    <x v="3"/>
    <s v="C-Line Cubicle Keepers Polyproplyene Holder With Velcro Backings"/>
    <n v="14.19"/>
    <n v="3"/>
    <n v="0"/>
    <n v="5.5340999999999996"/>
    <x v="7"/>
    <x v="4"/>
  </r>
  <r>
    <s v="CA-2017-124765"/>
    <x v="608"/>
    <d v="2017-11-30T00:00:00"/>
    <x v="1"/>
    <s v="HZ-14950"/>
    <s v="Henia Zydlo"/>
    <x v="0"/>
    <s v="United States"/>
    <x v="1"/>
    <x v="1"/>
    <x v="0"/>
    <s v="FUR-BO-10003965"/>
    <s v="Furniture"/>
    <x v="0"/>
    <s v="O'Sullivan Manor Hill 2-Door Library in Brianna Oak"/>
    <n v="723.92"/>
    <n v="5"/>
    <n v="0.2"/>
    <n v="-81.441000000000003"/>
    <x v="2"/>
    <x v="0"/>
  </r>
  <r>
    <s v="CA-2015-131856"/>
    <x v="832"/>
    <d v="2015-05-17T00:00:00"/>
    <x v="1"/>
    <s v="JG-15160"/>
    <s v="James Galang"/>
    <x v="0"/>
    <s v="United States"/>
    <x v="6"/>
    <x v="5"/>
    <x v="3"/>
    <s v="FUR-FU-10000175"/>
    <s v="Furniture"/>
    <x v="3"/>
    <s v="DAX Wood Document Frame."/>
    <n v="21.968"/>
    <n v="4"/>
    <n v="0.6"/>
    <n v="-15.9268"/>
    <x v="2"/>
    <x v="7"/>
  </r>
  <r>
    <s v="CA-2017-126634"/>
    <x v="833"/>
    <d v="2017-04-01T00:00:00"/>
    <x v="0"/>
    <s v="AB-10165"/>
    <s v="Alan Barnes"/>
    <x v="0"/>
    <s v="United States"/>
    <x v="174"/>
    <x v="2"/>
    <x v="1"/>
    <s v="FUR-FU-10004973"/>
    <s v="Furniture"/>
    <x v="3"/>
    <s v="Flat Face Poster Frame"/>
    <n v="94.2"/>
    <n v="5"/>
    <n v="0"/>
    <n v="39.564"/>
    <x v="3"/>
    <x v="9"/>
  </r>
  <r>
    <s v="US-2014-159611"/>
    <x v="421"/>
    <d v="2015-01-01T00:00:00"/>
    <x v="0"/>
    <s v="KB-16315"/>
    <s v="Karl Braun"/>
    <x v="0"/>
    <s v="United States"/>
    <x v="59"/>
    <x v="15"/>
    <x v="2"/>
    <s v="FUR-FU-10004904"/>
    <s v="Furniture"/>
    <x v="3"/>
    <s v="Eldon &quot;L&quot; Workstation Diamond Chairmat"/>
    <n v="182.352"/>
    <n v="3"/>
    <n v="0.2"/>
    <n v="-18.235199999999999"/>
    <x v="2"/>
    <x v="5"/>
  </r>
  <r>
    <s v="CA-2017-163265"/>
    <x v="834"/>
    <d v="2017-02-21T00:00:00"/>
    <x v="1"/>
    <s v="JS-16030"/>
    <s v="Joy Smith"/>
    <x v="0"/>
    <s v="United States"/>
    <x v="42"/>
    <x v="8"/>
    <x v="3"/>
    <s v="FUR-CH-10004063"/>
    <s v="Furniture"/>
    <x v="1"/>
    <s v="Global Deluxe High-Back Manager's Chair"/>
    <n v="600.55799999999999"/>
    <n v="3"/>
    <n v="0.3"/>
    <n v="-8.5793999999999997"/>
    <x v="2"/>
    <x v="11"/>
  </r>
  <r>
    <s v="CA-2017-163265"/>
    <x v="834"/>
    <d v="2017-02-21T00:00:00"/>
    <x v="1"/>
    <s v="JS-16030"/>
    <s v="Joy Smith"/>
    <x v="0"/>
    <s v="United States"/>
    <x v="42"/>
    <x v="8"/>
    <x v="3"/>
    <s v="FUR-FU-10004270"/>
    <s v="Furniture"/>
    <x v="3"/>
    <s v="Executive Impressions 13&quot; Clairmont Wall Clock"/>
    <n v="7.6920000000000002"/>
    <n v="1"/>
    <n v="0.6"/>
    <n v="-3.6537000000000002"/>
    <x v="2"/>
    <x v="11"/>
  </r>
  <r>
    <s v="CA-2017-141705"/>
    <x v="835"/>
    <d v="2017-10-26T00:00:00"/>
    <x v="2"/>
    <s v="PO-18850"/>
    <s v="Patrick O'Brill"/>
    <x v="0"/>
    <s v="United States"/>
    <x v="350"/>
    <x v="5"/>
    <x v="3"/>
    <s v="FUR-TA-10004607"/>
    <s v="Furniture"/>
    <x v="2"/>
    <s v="Hon 2111 Invitation Series Straight Table"/>
    <n v="517.40499999999997"/>
    <n v="5"/>
    <n v="0.3"/>
    <n v="-81.3065"/>
    <x v="3"/>
    <x v="1"/>
  </r>
  <r>
    <s v="CA-2017-127096"/>
    <x v="102"/>
    <d v="2017-09-17T00:00:00"/>
    <x v="0"/>
    <s v="CS-12400"/>
    <s v="Christopher Schild"/>
    <x v="2"/>
    <s v="United States"/>
    <x v="28"/>
    <x v="2"/>
    <x v="1"/>
    <s v="FUR-TA-10003473"/>
    <s v="Furniture"/>
    <x v="2"/>
    <s v="Bretford Rectangular Conference Table Tops"/>
    <n v="300.904"/>
    <n v="1"/>
    <n v="0.2"/>
    <n v="11.283899999999999"/>
    <x v="3"/>
    <x v="4"/>
  </r>
  <r>
    <s v="CA-2017-119284"/>
    <x v="836"/>
    <d v="2017-06-20T00:00:00"/>
    <x v="1"/>
    <s v="TS-21205"/>
    <s v="Thomas Seio"/>
    <x v="1"/>
    <s v="United States"/>
    <x v="228"/>
    <x v="9"/>
    <x v="0"/>
    <s v="FUR-FU-10004351"/>
    <s v="Furniture"/>
    <x v="3"/>
    <s v="Staple-based wall hangings"/>
    <n v="31.167999999999999"/>
    <n v="4"/>
    <n v="0.2"/>
    <n v="9.3504000000000005"/>
    <x v="2"/>
    <x v="2"/>
  </r>
  <r>
    <s v="CA-2017-119284"/>
    <x v="836"/>
    <d v="2017-06-20T00:00:00"/>
    <x v="1"/>
    <s v="TS-21205"/>
    <s v="Thomas Seio"/>
    <x v="1"/>
    <s v="United States"/>
    <x v="228"/>
    <x v="9"/>
    <x v="0"/>
    <s v="FUR-TA-10004152"/>
    <s v="Furniture"/>
    <x v="2"/>
    <s v="Barricks 18&quot; x 48&quot; Non-Folding Utility Table with Bottom Storage Shelf"/>
    <n v="120.96"/>
    <n v="2"/>
    <n v="0.4"/>
    <n v="-28.224"/>
    <x v="2"/>
    <x v="2"/>
  </r>
  <r>
    <s v="CA-2014-146815"/>
    <x v="30"/>
    <d v="2014-09-13T00:00:00"/>
    <x v="1"/>
    <s v="PP-18955"/>
    <s v="Paul Prost"/>
    <x v="2"/>
    <s v="United States"/>
    <x v="13"/>
    <x v="7"/>
    <x v="2"/>
    <s v="FUR-CH-10004289"/>
    <s v="Furniture"/>
    <x v="1"/>
    <s v="Global Super Steno Chair"/>
    <n v="172.76400000000001"/>
    <n v="2"/>
    <n v="0.1"/>
    <n v="13.437200000000001"/>
    <x v="2"/>
    <x v="4"/>
  </r>
  <r>
    <s v="CA-2014-119144"/>
    <x v="627"/>
    <d v="2014-11-18T00:00:00"/>
    <x v="2"/>
    <s v="JD-16150"/>
    <s v="Justin Deggeller"/>
    <x v="1"/>
    <s v="United States"/>
    <x v="2"/>
    <x v="2"/>
    <x v="1"/>
    <s v="FUR-BO-10004015"/>
    <s v="Furniture"/>
    <x v="0"/>
    <s v="Bush Andora Bookcase, Maple/Graphite Gray Finish"/>
    <n v="305.97449999999998"/>
    <n v="3"/>
    <n v="0.15"/>
    <n v="25.197900000000001"/>
    <x v="3"/>
    <x v="0"/>
  </r>
  <r>
    <s v="CA-2014-105648"/>
    <x v="749"/>
    <d v="2014-03-07T00:00:00"/>
    <x v="1"/>
    <s v="EJ-14155"/>
    <s v="Eva Jacobs"/>
    <x v="0"/>
    <s v="United States"/>
    <x v="53"/>
    <x v="2"/>
    <x v="1"/>
    <s v="FUR-TA-10002958"/>
    <s v="Furniture"/>
    <x v="2"/>
    <s v="Bevis Oval Conference Table, Walnut"/>
    <n v="626.35199999999998"/>
    <n v="3"/>
    <n v="0.2"/>
    <n v="-23.488199999999999"/>
    <x v="4"/>
    <x v="9"/>
  </r>
  <r>
    <s v="US-2015-145422"/>
    <x v="62"/>
    <d v="2015-12-07T00:00:00"/>
    <x v="1"/>
    <s v="PW-19240"/>
    <s v="Pierre Wener"/>
    <x v="0"/>
    <s v="United States"/>
    <x v="28"/>
    <x v="2"/>
    <x v="1"/>
    <s v="FUR-BO-10002213"/>
    <s v="Furniture"/>
    <x v="0"/>
    <s v="Sauder Forest Hills Library, Woodland Oak Finish"/>
    <n v="359.49900000000002"/>
    <n v="3"/>
    <n v="0.15"/>
    <n v="-29.605799999999999"/>
    <x v="4"/>
    <x v="5"/>
  </r>
  <r>
    <s v="CA-2016-120824"/>
    <x v="21"/>
    <d v="2016-06-16T00:00:00"/>
    <x v="0"/>
    <s v="AW-10930"/>
    <s v="Arthur Wiediger"/>
    <x v="2"/>
    <s v="United States"/>
    <x v="6"/>
    <x v="5"/>
    <x v="3"/>
    <s v="FUR-FU-10001424"/>
    <s v="Furniture"/>
    <x v="3"/>
    <s v="Dax Clear Box Frame"/>
    <n v="6.984"/>
    <n v="2"/>
    <n v="0.6"/>
    <n v="-4.5396000000000001"/>
    <x v="4"/>
    <x v="2"/>
  </r>
  <r>
    <s v="CA-2016-120824"/>
    <x v="21"/>
    <d v="2016-06-16T00:00:00"/>
    <x v="0"/>
    <s v="AW-10930"/>
    <s v="Arthur Wiediger"/>
    <x v="2"/>
    <s v="United States"/>
    <x v="6"/>
    <x v="5"/>
    <x v="3"/>
    <s v="FUR-CH-10000229"/>
    <s v="Furniture"/>
    <x v="1"/>
    <s v="Global Enterprise Series Seating High-Back Swivel/Tilt Chairs"/>
    <n v="379.37200000000001"/>
    <n v="2"/>
    <n v="0.3"/>
    <n v="-119.2312"/>
    <x v="4"/>
    <x v="2"/>
  </r>
  <r>
    <s v="CA-2015-103870"/>
    <x v="7"/>
    <d v="2015-12-31T00:00:00"/>
    <x v="1"/>
    <s v="SP-20860"/>
    <s v="Sung Pak"/>
    <x v="1"/>
    <s v="United States"/>
    <x v="34"/>
    <x v="9"/>
    <x v="0"/>
    <s v="FUR-FU-10002030"/>
    <s v="Furniture"/>
    <x v="3"/>
    <s v="Executive Impressions 14&quot; Contract Wall Clock with Quartz Movement"/>
    <n v="53.351999999999997"/>
    <n v="3"/>
    <n v="0.2"/>
    <n v="16.005600000000001"/>
    <x v="4"/>
    <x v="5"/>
  </r>
  <r>
    <s v="CA-2015-103870"/>
    <x v="7"/>
    <d v="2015-12-31T00:00:00"/>
    <x v="1"/>
    <s v="SP-20860"/>
    <s v="Sung Pak"/>
    <x v="1"/>
    <s v="United States"/>
    <x v="34"/>
    <x v="9"/>
    <x v="0"/>
    <s v="FUR-BO-10002853"/>
    <s v="Furniture"/>
    <x v="0"/>
    <s v="O'Sullivan 5-Shelf Heavy-Duty Bookcases"/>
    <n v="131.10400000000001"/>
    <n v="2"/>
    <n v="0.2"/>
    <n v="8.1940000000000008"/>
    <x v="4"/>
    <x v="5"/>
  </r>
  <r>
    <s v="CA-2017-116988"/>
    <x v="419"/>
    <d v="2017-06-29T00:00:00"/>
    <x v="0"/>
    <s v="PW-19030"/>
    <s v="Pauline Webber"/>
    <x v="1"/>
    <s v="United States"/>
    <x v="15"/>
    <x v="13"/>
    <x v="1"/>
    <s v="FUR-FU-10001290"/>
    <s v="Furniture"/>
    <x v="3"/>
    <s v="Executive Impressions Supervisor Wall Clock"/>
    <n v="126.3"/>
    <n v="3"/>
    <n v="0"/>
    <n v="40.415999999999997"/>
    <x v="3"/>
    <x v="2"/>
  </r>
  <r>
    <s v="US-2015-144771"/>
    <x v="837"/>
    <d v="2015-10-04T00:00:00"/>
    <x v="2"/>
    <s v="CK-12205"/>
    <s v="Chloris Kastensmidt"/>
    <x v="0"/>
    <s v="United States"/>
    <x v="351"/>
    <x v="36"/>
    <x v="1"/>
    <s v="FUR-FU-10000629"/>
    <s v="Furniture"/>
    <x v="3"/>
    <s v="9-3/4 Diameter Round Wall Clock"/>
    <n v="11.032"/>
    <n v="1"/>
    <n v="0.2"/>
    <n v="3.0337999999999998"/>
    <x v="3"/>
    <x v="1"/>
  </r>
  <r>
    <s v="CA-2017-128076"/>
    <x v="611"/>
    <d v="2017-02-07T00:00:00"/>
    <x v="1"/>
    <s v="BO-11350"/>
    <s v="Bill Overfelt"/>
    <x v="1"/>
    <s v="United States"/>
    <x v="53"/>
    <x v="2"/>
    <x v="1"/>
    <s v="FUR-FU-10000293"/>
    <s v="Furniture"/>
    <x v="3"/>
    <s v="Eldon Antistatic Chair Mats for Low to Medium Pile Carpets"/>
    <n v="210.58"/>
    <n v="2"/>
    <n v="0"/>
    <n v="12.6348"/>
    <x v="2"/>
    <x v="11"/>
  </r>
  <r>
    <s v="CA-2016-114307"/>
    <x v="249"/>
    <d v="2016-07-26T00:00:00"/>
    <x v="1"/>
    <s v="MF-17665"/>
    <s v="Maureen Fritzler"/>
    <x v="1"/>
    <s v="United States"/>
    <x v="11"/>
    <x v="32"/>
    <x v="2"/>
    <s v="FUR-FU-10000794"/>
    <s v="Furniture"/>
    <x v="3"/>
    <s v="Eldon Stackable Tray, Side-Load, Legal, Smoke"/>
    <n v="27.42"/>
    <n v="3"/>
    <n v="0"/>
    <n v="9.3228000000000009"/>
    <x v="4"/>
    <x v="3"/>
  </r>
  <r>
    <s v="CA-2016-151148"/>
    <x v="51"/>
    <d v="2016-09-13T00:00:00"/>
    <x v="3"/>
    <s v="PO-19180"/>
    <s v="Philisse Overcash"/>
    <x v="2"/>
    <s v="United States"/>
    <x v="74"/>
    <x v="12"/>
    <x v="1"/>
    <s v="FUR-CH-10002304"/>
    <s v="Furniture"/>
    <x v="1"/>
    <s v="Global Stack Chair without Arms, Black"/>
    <n v="83.135999999999996"/>
    <n v="4"/>
    <n v="0.2"/>
    <n v="5.1959999999999997"/>
    <x v="5"/>
    <x v="4"/>
  </r>
  <r>
    <s v="CA-2016-102813"/>
    <x v="192"/>
    <d v="2016-07-03T00:00:00"/>
    <x v="2"/>
    <s v="EA-14035"/>
    <s v="Erin Ashbrook"/>
    <x v="1"/>
    <s v="United States"/>
    <x v="156"/>
    <x v="5"/>
    <x v="3"/>
    <s v="FUR-CH-10000665"/>
    <s v="Furniture"/>
    <x v="1"/>
    <s v="Global Airflow Leather Mesh Back Chair, Black"/>
    <n v="528.42999999999995"/>
    <n v="5"/>
    <n v="0.3"/>
    <n v="0"/>
    <x v="5"/>
    <x v="3"/>
  </r>
  <r>
    <s v="CA-2017-135377"/>
    <x v="838"/>
    <d v="2017-12-18T00:00:00"/>
    <x v="1"/>
    <s v="BP-11095"/>
    <s v="Bart Pistole"/>
    <x v="1"/>
    <s v="United States"/>
    <x v="13"/>
    <x v="7"/>
    <x v="2"/>
    <s v="FUR-BO-10004015"/>
    <s v="Furniture"/>
    <x v="0"/>
    <s v="Bush Andora Bookcase, Maple/Graphite Gray Finish"/>
    <n v="287.976"/>
    <n v="3"/>
    <n v="0.2"/>
    <n v="7.1993999999999998"/>
    <x v="2"/>
    <x v="5"/>
  </r>
  <r>
    <s v="CA-2015-133585"/>
    <x v="822"/>
    <d v="2015-03-04T00:00:00"/>
    <x v="2"/>
    <s v="CM-12715"/>
    <s v="Craig Molinari"/>
    <x v="1"/>
    <s v="United States"/>
    <x v="6"/>
    <x v="5"/>
    <x v="3"/>
    <s v="FUR-BO-10001811"/>
    <s v="Furniture"/>
    <x v="0"/>
    <s v="Atlantic Metals Mobile 5-Shelf Bookcases, Custom Colors"/>
    <n v="1227.9983999999999"/>
    <n v="6"/>
    <n v="0.32"/>
    <n v="-36.117600000000003"/>
    <x v="0"/>
    <x v="9"/>
  </r>
  <r>
    <s v="CA-2016-116911"/>
    <x v="839"/>
    <d v="2016-09-20T00:00:00"/>
    <x v="1"/>
    <s v="JD-16150"/>
    <s v="Justin Deggeller"/>
    <x v="1"/>
    <s v="United States"/>
    <x v="352"/>
    <x v="42"/>
    <x v="1"/>
    <s v="FUR-TA-10003473"/>
    <s v="Furniture"/>
    <x v="2"/>
    <s v="Bretford Rectangular Conference Table Tops"/>
    <n v="1128.3900000000001"/>
    <n v="3"/>
    <n v="0"/>
    <n v="259.52969999999999"/>
    <x v="2"/>
    <x v="4"/>
  </r>
  <r>
    <s v="CA-2017-126914"/>
    <x v="836"/>
    <d v="2017-06-19T00:00:00"/>
    <x v="1"/>
    <s v="JE-15715"/>
    <s v="Joe Elijah"/>
    <x v="0"/>
    <s v="United States"/>
    <x v="91"/>
    <x v="30"/>
    <x v="0"/>
    <s v="FUR-CH-10000847"/>
    <s v="Furniture"/>
    <x v="1"/>
    <s v="Global Executive Mid-Back Manager's Chair"/>
    <n v="698.35199999999998"/>
    <n v="3"/>
    <n v="0.2"/>
    <n v="52.376399999999997"/>
    <x v="4"/>
    <x v="2"/>
  </r>
  <r>
    <s v="CA-2017-126914"/>
    <x v="836"/>
    <d v="2017-06-19T00:00:00"/>
    <x v="1"/>
    <s v="JE-15715"/>
    <s v="Joe Elijah"/>
    <x v="0"/>
    <s v="United States"/>
    <x v="91"/>
    <x v="30"/>
    <x v="0"/>
    <s v="FUR-BO-10000468"/>
    <s v="Furniture"/>
    <x v="0"/>
    <s v="O'Sullivan 2-Shelf Heavy-Duty Bookcases"/>
    <n v="77.727999999999994"/>
    <n v="2"/>
    <n v="0.2"/>
    <n v="-3.8864000000000001"/>
    <x v="4"/>
    <x v="2"/>
  </r>
  <r>
    <s v="CA-2016-140935"/>
    <x v="480"/>
    <d v="2016-11-12T00:00:00"/>
    <x v="2"/>
    <s v="AB-10015"/>
    <s v="Aaron Bergman"/>
    <x v="0"/>
    <s v="United States"/>
    <x v="258"/>
    <x v="37"/>
    <x v="3"/>
    <s v="FUR-BO-10003966"/>
    <s v="Furniture"/>
    <x v="0"/>
    <s v="Sauder Facets Collection Library, Sky Alder Finish"/>
    <n v="341.96"/>
    <n v="2"/>
    <n v="0"/>
    <n v="54.7136"/>
    <x v="3"/>
    <x v="0"/>
  </r>
  <r>
    <s v="CA-2016-113082"/>
    <x v="51"/>
    <d v="2016-09-16T00:00:00"/>
    <x v="1"/>
    <s v="MC-17590"/>
    <s v="Matt Collister"/>
    <x v="1"/>
    <s v="United States"/>
    <x v="353"/>
    <x v="7"/>
    <x v="2"/>
    <s v="FUR-FU-10002813"/>
    <s v="Furniture"/>
    <x v="3"/>
    <s v="DAX Contemporary Wood Frame with Silver Metal Mat, Desktop, 11 x 14 Size"/>
    <n v="40.479999999999997"/>
    <n v="2"/>
    <n v="0"/>
    <n v="14.572800000000001"/>
    <x v="4"/>
    <x v="4"/>
  </r>
  <r>
    <s v="CA-2015-127754"/>
    <x v="155"/>
    <d v="2015-07-31T00:00:00"/>
    <x v="1"/>
    <s v="CK-12760"/>
    <s v="Cyma Kinney"/>
    <x v="1"/>
    <s v="United States"/>
    <x v="110"/>
    <x v="22"/>
    <x v="1"/>
    <s v="FUR-CH-10003199"/>
    <s v="Furniture"/>
    <x v="1"/>
    <s v="Office Star - Contemporary Task Swivel Chair"/>
    <n v="266.35199999999998"/>
    <n v="3"/>
    <n v="0.2"/>
    <n v="13.317600000000001"/>
    <x v="2"/>
    <x v="3"/>
  </r>
  <r>
    <s v="CA-2015-145324"/>
    <x v="840"/>
    <d v="2015-11-19T00:00:00"/>
    <x v="1"/>
    <s v="DH-13675"/>
    <s v="Duane Huffman"/>
    <x v="2"/>
    <s v="United States"/>
    <x v="95"/>
    <x v="25"/>
    <x v="0"/>
    <s v="FUR-FU-10002759"/>
    <s v="Furniture"/>
    <x v="3"/>
    <s v="12-1/2 Diameter Round Wall Clock"/>
    <n v="39.96"/>
    <n v="2"/>
    <n v="0"/>
    <n v="14.3856"/>
    <x v="4"/>
    <x v="0"/>
  </r>
  <r>
    <s v="CA-2015-140718"/>
    <x v="473"/>
    <d v="2015-07-04T00:00:00"/>
    <x v="2"/>
    <s v="FA-14230"/>
    <s v="Frank Atkinson"/>
    <x v="1"/>
    <s v="United States"/>
    <x v="168"/>
    <x v="30"/>
    <x v="0"/>
    <s v="FUR-FU-10000076"/>
    <s v="Furniture"/>
    <x v="3"/>
    <s v="24-Hour Round Wall Clock"/>
    <n v="159.84"/>
    <n v="10"/>
    <n v="0.2"/>
    <n v="45.954000000000001"/>
    <x v="3"/>
    <x v="3"/>
  </r>
  <r>
    <s v="CA-2015-125934"/>
    <x v="795"/>
    <d v="2015-09-18T00:00:00"/>
    <x v="1"/>
    <s v="SN-20560"/>
    <s v="Skye Norling"/>
    <x v="2"/>
    <s v="United States"/>
    <x v="309"/>
    <x v="18"/>
    <x v="2"/>
    <s v="FUR-FU-10002107"/>
    <s v="Furniture"/>
    <x v="3"/>
    <s v="Eldon Pizzaz Desk Accessories"/>
    <n v="8.92"/>
    <n v="4"/>
    <n v="0"/>
    <n v="3.9247999999999998"/>
    <x v="1"/>
    <x v="4"/>
  </r>
  <r>
    <s v="CA-2014-120411"/>
    <x v="23"/>
    <d v="2014-09-23T00:00:00"/>
    <x v="2"/>
    <s v="SB-20185"/>
    <s v="Sarah Brown"/>
    <x v="0"/>
    <s v="United States"/>
    <x v="9"/>
    <x v="8"/>
    <x v="3"/>
    <s v="FUR-BO-10004218"/>
    <s v="Furniture"/>
    <x v="0"/>
    <s v="Bush Heritage Pine Collection 5-Shelf Bookcase, Albany Pine Finish, *Special Order"/>
    <n v="493.43"/>
    <n v="5"/>
    <n v="0.3"/>
    <n v="-70.489999999999995"/>
    <x v="0"/>
    <x v="4"/>
  </r>
  <r>
    <s v="CA-2017-101805"/>
    <x v="451"/>
    <d v="2017-12-06T00:00:00"/>
    <x v="1"/>
    <s v="SH-19975"/>
    <s v="Sally Hughsby"/>
    <x v="1"/>
    <s v="United States"/>
    <x v="15"/>
    <x v="13"/>
    <x v="1"/>
    <s v="FUR-FU-10000023"/>
    <s v="Furniture"/>
    <x v="3"/>
    <s v="Eldon Wave Desk Accessories"/>
    <n v="70.680000000000007"/>
    <n v="12"/>
    <n v="0"/>
    <n v="31.0992"/>
    <x v="2"/>
    <x v="5"/>
  </r>
  <r>
    <s v="CA-2017-103968"/>
    <x v="451"/>
    <d v="2017-12-07T00:00:00"/>
    <x v="1"/>
    <s v="ML-17755"/>
    <s v="Max Ludwig"/>
    <x v="2"/>
    <s v="United States"/>
    <x v="354"/>
    <x v="2"/>
    <x v="1"/>
    <s v="FUR-FU-10003394"/>
    <s v="Furniture"/>
    <x v="3"/>
    <s v="Tenex &quot;The Solids&quot; Textured Chair Mats"/>
    <n v="629.64"/>
    <n v="9"/>
    <n v="0"/>
    <n v="107.03879999999999"/>
    <x v="6"/>
    <x v="5"/>
  </r>
  <r>
    <s v="CA-2016-162159"/>
    <x v="751"/>
    <d v="2016-09-18T00:00:00"/>
    <x v="2"/>
    <s v="CR-12625"/>
    <s v="Corey Roper"/>
    <x v="2"/>
    <s v="United States"/>
    <x v="29"/>
    <x v="24"/>
    <x v="0"/>
    <s v="FUR-CH-10001146"/>
    <s v="Furniture"/>
    <x v="1"/>
    <s v="Global Value Mid-Back Manager's Chair, Gray"/>
    <n v="121.78"/>
    <n v="2"/>
    <n v="0"/>
    <n v="30.445"/>
    <x v="3"/>
    <x v="4"/>
  </r>
  <r>
    <s v="CA-2015-111038"/>
    <x v="239"/>
    <d v="2015-12-06T00:00:00"/>
    <x v="1"/>
    <s v="LC-16960"/>
    <s v="Lindsay Castell"/>
    <x v="2"/>
    <s v="United States"/>
    <x v="53"/>
    <x v="2"/>
    <x v="1"/>
    <s v="FUR-CH-10003973"/>
    <s v="Furniture"/>
    <x v="1"/>
    <s v="GuestStacker Chair with Chrome Finish Legs"/>
    <n v="2676.672"/>
    <n v="9"/>
    <n v="0.2"/>
    <n v="267.66719999999998"/>
    <x v="2"/>
    <x v="5"/>
  </r>
  <r>
    <s v="CA-2014-124723"/>
    <x v="31"/>
    <d v="2014-08-12T00:00:00"/>
    <x v="1"/>
    <s v="GZ-14470"/>
    <s v="Gary Zandusky"/>
    <x v="0"/>
    <s v="United States"/>
    <x v="303"/>
    <x v="5"/>
    <x v="3"/>
    <s v="FUR-TA-10001307"/>
    <s v="Furniture"/>
    <x v="2"/>
    <s v="SAFCO PlanMaster Heigh-Adjustable Drafting Table Base, 43w x 30d x 30-37h, Black"/>
    <n v="489.23"/>
    <n v="2"/>
    <n v="0.3"/>
    <n v="41.933999999999997"/>
    <x v="1"/>
    <x v="10"/>
  </r>
  <r>
    <s v="CA-2016-167241"/>
    <x v="404"/>
    <d v="2016-08-22T00:00:00"/>
    <x v="1"/>
    <s v="BD-11320"/>
    <s v="Bill Donatelli"/>
    <x v="0"/>
    <s v="United States"/>
    <x v="2"/>
    <x v="2"/>
    <x v="1"/>
    <s v="FUR-FU-10004071"/>
    <s v="Furniture"/>
    <x v="3"/>
    <s v="Luxo Professional Magnifying Clamp-On Fluorescent Lamps"/>
    <n v="312.02999999999997"/>
    <n v="3"/>
    <n v="0"/>
    <n v="43.684199999999997"/>
    <x v="1"/>
    <x v="10"/>
  </r>
  <r>
    <s v="CA-2016-150483"/>
    <x v="841"/>
    <d v="2016-06-04T00:00:00"/>
    <x v="1"/>
    <s v="BP-11290"/>
    <s v="Beth Paige"/>
    <x v="0"/>
    <s v="United States"/>
    <x v="42"/>
    <x v="8"/>
    <x v="3"/>
    <s v="FUR-FU-10001379"/>
    <s v="Furniture"/>
    <x v="3"/>
    <s v="Executive Impressions 16-1/2&quot; Circular Wall Clock"/>
    <n v="32.064"/>
    <n v="3"/>
    <n v="0.6"/>
    <n v="-12.8256"/>
    <x v="4"/>
    <x v="7"/>
  </r>
  <r>
    <s v="CA-2016-150483"/>
    <x v="841"/>
    <d v="2016-06-04T00:00:00"/>
    <x v="1"/>
    <s v="BP-11290"/>
    <s v="Beth Paige"/>
    <x v="0"/>
    <s v="United States"/>
    <x v="42"/>
    <x v="8"/>
    <x v="3"/>
    <s v="FUR-CH-10000422"/>
    <s v="Furniture"/>
    <x v="1"/>
    <s v="Global Highback Leather Tilter in Burgundy"/>
    <n v="191.07900000000001"/>
    <n v="3"/>
    <n v="0.3"/>
    <n v="-38.215800000000002"/>
    <x v="4"/>
    <x v="7"/>
  </r>
  <r>
    <s v="CA-2014-160276"/>
    <x v="842"/>
    <d v="2014-04-08T00:00:00"/>
    <x v="1"/>
    <s v="AH-10690"/>
    <s v="Anna HŠberlin"/>
    <x v="1"/>
    <s v="United States"/>
    <x v="304"/>
    <x v="25"/>
    <x v="0"/>
    <s v="FUR-FU-10003192"/>
    <s v="Furniture"/>
    <x v="3"/>
    <s v="Luxo Adjustable Task Clamp Lamp"/>
    <n v="177.68"/>
    <n v="2"/>
    <n v="0"/>
    <n v="46.196800000000003"/>
    <x v="6"/>
    <x v="6"/>
  </r>
  <r>
    <s v="CA-2016-145709"/>
    <x v="803"/>
    <d v="2016-10-08T00:00:00"/>
    <x v="1"/>
    <s v="AH-10690"/>
    <s v="Anna HŠberlin"/>
    <x v="1"/>
    <s v="United States"/>
    <x v="355"/>
    <x v="1"/>
    <x v="0"/>
    <s v="FUR-FU-10002885"/>
    <s v="Furniture"/>
    <x v="3"/>
    <s v="Magna Visual Magnetic Picture Hangers"/>
    <n v="11.568"/>
    <n v="3"/>
    <n v="0.2"/>
    <n v="2.6027999999999998"/>
    <x v="4"/>
    <x v="1"/>
  </r>
  <r>
    <s v="CA-2016-168032"/>
    <x v="772"/>
    <d v="2016-02-03T00:00:00"/>
    <x v="1"/>
    <s v="DF-13135"/>
    <s v="David Flashing"/>
    <x v="0"/>
    <s v="United States"/>
    <x v="88"/>
    <x v="8"/>
    <x v="3"/>
    <s v="FUR-TA-10004256"/>
    <s v="Furniture"/>
    <x v="2"/>
    <s v="Bretford ÒJust In TimeÓ Height-Adjustable Multi-Task Work Tables"/>
    <n v="626.1"/>
    <n v="3"/>
    <n v="0.5"/>
    <n v="-538.44600000000003"/>
    <x v="4"/>
    <x v="8"/>
  </r>
  <r>
    <s v="US-2015-168704"/>
    <x v="315"/>
    <d v="2015-04-17T00:00:00"/>
    <x v="1"/>
    <s v="FP-14320"/>
    <s v="Frank Preis"/>
    <x v="0"/>
    <s v="United States"/>
    <x v="156"/>
    <x v="5"/>
    <x v="3"/>
    <s v="FUR-TA-10000688"/>
    <s v="Furniture"/>
    <x v="2"/>
    <s v="Chromcraft Bull-Nose Wood Round Conference Table Top, Wood Base"/>
    <n v="609.98"/>
    <n v="4"/>
    <n v="0.3"/>
    <n v="-113.282"/>
    <x v="4"/>
    <x v="6"/>
  </r>
  <r>
    <s v="US-2015-168704"/>
    <x v="315"/>
    <d v="2015-04-17T00:00:00"/>
    <x v="1"/>
    <s v="FP-14320"/>
    <s v="Frank Preis"/>
    <x v="0"/>
    <s v="United States"/>
    <x v="156"/>
    <x v="5"/>
    <x v="3"/>
    <s v="FUR-TA-10002530"/>
    <s v="Furniture"/>
    <x v="2"/>
    <s v="Iceberg OfficeWorks 42&quot; Round Tables"/>
    <n v="211.37200000000001"/>
    <n v="2"/>
    <n v="0.3"/>
    <n v="-45.293999999999997"/>
    <x v="4"/>
    <x v="6"/>
  </r>
  <r>
    <s v="CA-2017-143252"/>
    <x v="186"/>
    <d v="2017-12-24T00:00:00"/>
    <x v="1"/>
    <s v="HE-14800"/>
    <s v="Harold Engle"/>
    <x v="1"/>
    <s v="United States"/>
    <x v="79"/>
    <x v="16"/>
    <x v="3"/>
    <s v="FUR-FU-10001057"/>
    <s v="Furniture"/>
    <x v="3"/>
    <s v="Tensor Track Tree Floor Lamp"/>
    <n v="99.95"/>
    <n v="5"/>
    <n v="0"/>
    <n v="22.988499999999998"/>
    <x v="6"/>
    <x v="5"/>
  </r>
  <r>
    <s v="CA-2016-102134"/>
    <x v="269"/>
    <d v="2016-03-19T00:00:00"/>
    <x v="1"/>
    <s v="SP-20545"/>
    <s v="Sibella Parks"/>
    <x v="1"/>
    <s v="United States"/>
    <x v="356"/>
    <x v="16"/>
    <x v="3"/>
    <s v="FUR-FU-10003724"/>
    <s v="Furniture"/>
    <x v="3"/>
    <s v="Westinghouse Clip-On Gooseneck Lamps"/>
    <n v="16.739999999999998"/>
    <n v="2"/>
    <n v="0"/>
    <n v="4.3524000000000003"/>
    <x v="2"/>
    <x v="9"/>
  </r>
  <r>
    <s v="CA-2017-111717"/>
    <x v="843"/>
    <d v="2017-10-16T00:00:00"/>
    <x v="1"/>
    <s v="SW-20245"/>
    <s v="Scot Wooten"/>
    <x v="0"/>
    <s v="United States"/>
    <x v="14"/>
    <x v="8"/>
    <x v="3"/>
    <s v="FUR-CH-10001545"/>
    <s v="Furniture"/>
    <x v="1"/>
    <s v="Hon Comfortask Task/Swivel Chairs"/>
    <n v="239.358"/>
    <n v="3"/>
    <n v="0.3"/>
    <n v="-47.871600000000001"/>
    <x v="6"/>
    <x v="1"/>
  </r>
  <r>
    <s v="CA-2017-150910"/>
    <x v="313"/>
    <d v="2017-12-28T00:00:00"/>
    <x v="1"/>
    <s v="JL-15130"/>
    <s v="Jack Lebron"/>
    <x v="0"/>
    <s v="United States"/>
    <x v="38"/>
    <x v="9"/>
    <x v="0"/>
    <s v="FUR-TA-10002903"/>
    <s v="Furniture"/>
    <x v="2"/>
    <s v="Bevis Round Bullnose 29&quot; High Table Top"/>
    <n v="934.95600000000002"/>
    <n v="6"/>
    <n v="0.4"/>
    <n v="-249.32159999999999"/>
    <x v="6"/>
    <x v="5"/>
  </r>
  <r>
    <s v="CA-2014-156790"/>
    <x v="98"/>
    <d v="2014-08-10T00:00:00"/>
    <x v="0"/>
    <s v="VG-21790"/>
    <s v="Vivek Gonzalez"/>
    <x v="0"/>
    <s v="United States"/>
    <x v="51"/>
    <x v="1"/>
    <x v="0"/>
    <s v="FUR-BO-10000468"/>
    <s v="Furniture"/>
    <x v="0"/>
    <s v="O'Sullivan 2-Shelf Heavy-Duty Bookcases"/>
    <n v="155.45599999999999"/>
    <n v="4"/>
    <n v="0.2"/>
    <n v="-7.7728000000000002"/>
    <x v="3"/>
    <x v="10"/>
  </r>
  <r>
    <s v="CA-2017-105620"/>
    <x v="19"/>
    <d v="2017-12-28T00:00:00"/>
    <x v="2"/>
    <s v="JH-15430"/>
    <s v="Jennifer Halladay"/>
    <x v="0"/>
    <s v="United States"/>
    <x v="173"/>
    <x v="1"/>
    <x v="0"/>
    <s v="FUR-FU-10004963"/>
    <s v="Furniture"/>
    <x v="3"/>
    <s v="Eldon 400 Class Desk Accessories, Black Carbon"/>
    <n v="21"/>
    <n v="3"/>
    <n v="0.2"/>
    <n v="5.7750000000000004"/>
    <x v="0"/>
    <x v="5"/>
  </r>
  <r>
    <s v="CA-2017-150266"/>
    <x v="608"/>
    <d v="2017-11-30T00:00:00"/>
    <x v="1"/>
    <s v="RO-19780"/>
    <s v="Rose O'Brian"/>
    <x v="0"/>
    <s v="United States"/>
    <x v="6"/>
    <x v="5"/>
    <x v="3"/>
    <s v="FUR-CH-10002126"/>
    <s v="Furniture"/>
    <x v="1"/>
    <s v="Hon Deluxe Fabric Upholstered Stacking Chairs"/>
    <n v="853.93"/>
    <n v="5"/>
    <n v="0.3"/>
    <n v="-24.398"/>
    <x v="2"/>
    <x v="0"/>
  </r>
  <r>
    <s v="CA-2016-157280"/>
    <x v="541"/>
    <d v="2016-11-07T00:00:00"/>
    <x v="2"/>
    <s v="LW-17125"/>
    <s v="Liz Willingham"/>
    <x v="0"/>
    <s v="United States"/>
    <x v="304"/>
    <x v="25"/>
    <x v="0"/>
    <s v="FUR-FU-10004665"/>
    <s v="Furniture"/>
    <x v="3"/>
    <s v="3M Polarizing Task Lamp with Clamp Arm, Light Gray"/>
    <n v="273.95999999999998"/>
    <n v="2"/>
    <n v="0"/>
    <n v="71.229600000000005"/>
    <x v="3"/>
    <x v="0"/>
  </r>
  <r>
    <s v="CA-2016-157280"/>
    <x v="541"/>
    <d v="2016-11-07T00:00:00"/>
    <x v="2"/>
    <s v="LW-17125"/>
    <s v="Liz Willingham"/>
    <x v="0"/>
    <s v="United States"/>
    <x v="304"/>
    <x v="25"/>
    <x v="0"/>
    <s v="FUR-FU-10003806"/>
    <s v="Furniture"/>
    <x v="3"/>
    <s v="Tenex Chairmat w/ Average Lip, 45&quot; x 53&quot;"/>
    <n v="756.8"/>
    <n v="5"/>
    <n v="0"/>
    <n v="75.680000000000007"/>
    <x v="3"/>
    <x v="0"/>
  </r>
  <r>
    <s v="CA-2016-134180"/>
    <x v="361"/>
    <d v="2016-11-07T00:00:00"/>
    <x v="1"/>
    <s v="JP-16135"/>
    <s v="Julie Prescott"/>
    <x v="2"/>
    <s v="United States"/>
    <x v="3"/>
    <x v="3"/>
    <x v="2"/>
    <s v="FUR-CH-10004886"/>
    <s v="Furniture"/>
    <x v="1"/>
    <s v="Bevis Steel Folding Chairs"/>
    <n v="470.15499999999997"/>
    <n v="7"/>
    <n v="0.3"/>
    <n v="-13.433"/>
    <x v="4"/>
    <x v="0"/>
  </r>
  <r>
    <s v="CA-2017-122308"/>
    <x v="781"/>
    <d v="2017-03-28T00:00:00"/>
    <x v="1"/>
    <s v="MV-17485"/>
    <s v="Mark Van Huff"/>
    <x v="0"/>
    <s v="United States"/>
    <x v="13"/>
    <x v="7"/>
    <x v="2"/>
    <s v="FUR-CH-10000665"/>
    <s v="Furniture"/>
    <x v="1"/>
    <s v="Global Airflow Leather Mesh Back Chair, Black"/>
    <n v="271.76400000000001"/>
    <n v="2"/>
    <n v="0.1"/>
    <n v="60.392000000000003"/>
    <x v="4"/>
    <x v="9"/>
  </r>
  <r>
    <s v="CA-2017-159226"/>
    <x v="844"/>
    <d v="2017-04-27T00:00:00"/>
    <x v="0"/>
    <s v="RL-19615"/>
    <s v="Rob Lucas"/>
    <x v="0"/>
    <s v="United States"/>
    <x v="2"/>
    <x v="2"/>
    <x v="1"/>
    <s v="FUR-BO-10004709"/>
    <s v="Furniture"/>
    <x v="0"/>
    <s v="Bush Westfield Collection Bookcases, Medium Cherry Finish"/>
    <n v="344.98099999999999"/>
    <n v="7"/>
    <n v="0.15"/>
    <n v="28.4102"/>
    <x v="3"/>
    <x v="6"/>
  </r>
  <r>
    <s v="CA-2017-156622"/>
    <x v="68"/>
    <d v="2017-11-26T00:00:00"/>
    <x v="2"/>
    <s v="JP-15460"/>
    <s v="Jennifer Patt"/>
    <x v="1"/>
    <s v="United States"/>
    <x v="144"/>
    <x v="5"/>
    <x v="3"/>
    <s v="FUR-TA-10003008"/>
    <s v="Furniture"/>
    <x v="2"/>
    <s v="Lesro Round Back Collection Coffee Table, End Table"/>
    <n v="127.785"/>
    <n v="1"/>
    <n v="0.3"/>
    <n v="-31.0335"/>
    <x v="0"/>
    <x v="0"/>
  </r>
  <r>
    <s v="CA-2016-110898"/>
    <x v="845"/>
    <d v="2016-03-12T00:00:00"/>
    <x v="1"/>
    <s v="LC-16870"/>
    <s v="Lena Cacioppo"/>
    <x v="0"/>
    <s v="United States"/>
    <x v="9"/>
    <x v="8"/>
    <x v="3"/>
    <s v="FUR-FU-10003773"/>
    <s v="Furniture"/>
    <x v="3"/>
    <s v="Eldon Cleatmat Plus Chair Mats for High Pile Carpets"/>
    <n v="159.04"/>
    <n v="5"/>
    <n v="0.6"/>
    <n v="-194.82400000000001"/>
    <x v="6"/>
    <x v="9"/>
  </r>
  <r>
    <s v="CA-2016-110898"/>
    <x v="845"/>
    <d v="2016-03-12T00:00:00"/>
    <x v="1"/>
    <s v="LC-16870"/>
    <s v="Lena Cacioppo"/>
    <x v="0"/>
    <s v="United States"/>
    <x v="9"/>
    <x v="8"/>
    <x v="3"/>
    <s v="FUR-TA-10000849"/>
    <s v="Furniture"/>
    <x v="2"/>
    <s v="Bevis Rectangular Conference Tables"/>
    <n v="145.97999999999999"/>
    <n v="2"/>
    <n v="0.5"/>
    <n v="-99.266400000000004"/>
    <x v="6"/>
    <x v="9"/>
  </r>
  <r>
    <s v="CA-2015-123092"/>
    <x v="62"/>
    <d v="2015-12-07T00:00:00"/>
    <x v="1"/>
    <s v="JG-15115"/>
    <s v="Jack Garza"/>
    <x v="0"/>
    <s v="United States"/>
    <x v="51"/>
    <x v="30"/>
    <x v="0"/>
    <s v="FUR-FU-10000222"/>
    <s v="Furniture"/>
    <x v="3"/>
    <s v="Seth Thomas 16&quot; Steel Case Clock"/>
    <n v="77.951999999999998"/>
    <n v="3"/>
    <n v="0.2"/>
    <n v="12.667199999999999"/>
    <x v="4"/>
    <x v="5"/>
  </r>
  <r>
    <s v="US-2015-128587"/>
    <x v="37"/>
    <d v="2015-12-30T00:00:00"/>
    <x v="1"/>
    <s v="HM-14860"/>
    <s v="Harry Marie"/>
    <x v="1"/>
    <s v="United States"/>
    <x v="76"/>
    <x v="23"/>
    <x v="3"/>
    <s v="FUR-FU-10003026"/>
    <s v="Furniture"/>
    <x v="3"/>
    <s v="Eldon Regeneration Recycled Desk Accessories, Black"/>
    <n v="9.68"/>
    <n v="2"/>
    <n v="0"/>
    <n v="3.7751999999999999"/>
    <x v="6"/>
    <x v="5"/>
  </r>
  <r>
    <s v="CA-2017-159100"/>
    <x v="259"/>
    <d v="2017-10-21T00:00:00"/>
    <x v="1"/>
    <s v="VP-21760"/>
    <s v="Victoria Pisteka"/>
    <x v="1"/>
    <s v="United States"/>
    <x v="11"/>
    <x v="9"/>
    <x v="0"/>
    <s v="FUR-TA-10001950"/>
    <s v="Furniture"/>
    <x v="2"/>
    <s v="Balt Solid Wood Round Tables"/>
    <n v="1875.258"/>
    <n v="7"/>
    <n v="0.4"/>
    <n v="-968.88329999999996"/>
    <x v="2"/>
    <x v="1"/>
  </r>
  <r>
    <s v="CA-2017-137785"/>
    <x v="846"/>
    <d v="2017-05-17T00:00:00"/>
    <x v="1"/>
    <s v="MH-18115"/>
    <s v="Mick Hernandez"/>
    <x v="2"/>
    <s v="United States"/>
    <x v="3"/>
    <x v="3"/>
    <x v="2"/>
    <s v="FUR-CH-10001482"/>
    <s v="Furniture"/>
    <x v="1"/>
    <s v="Office Star - Mesh Screen back chair with Vinyl seat"/>
    <n v="458.43"/>
    <n v="5"/>
    <n v="0.3"/>
    <n v="-124.431"/>
    <x v="4"/>
    <x v="7"/>
  </r>
  <r>
    <s v="CA-2017-107825"/>
    <x v="414"/>
    <d v="2017-11-18T00:00:00"/>
    <x v="3"/>
    <s v="NB-18655"/>
    <s v="Nona Balk"/>
    <x v="1"/>
    <s v="United States"/>
    <x v="79"/>
    <x v="16"/>
    <x v="3"/>
    <s v="FUR-FU-10000206"/>
    <s v="Furniture"/>
    <x v="3"/>
    <s v="GE General Purpose, Extra Long Life, Showcase &amp; Floodlight Incandescent Bulbs"/>
    <n v="5.82"/>
    <n v="2"/>
    <n v="0"/>
    <n v="2.7353999999999998"/>
    <x v="7"/>
    <x v="0"/>
  </r>
  <r>
    <s v="CA-2016-121447"/>
    <x v="629"/>
    <d v="2016-02-22T00:00:00"/>
    <x v="2"/>
    <s v="EA-14035"/>
    <s v="Erin Ashbrook"/>
    <x v="1"/>
    <s v="United States"/>
    <x v="13"/>
    <x v="7"/>
    <x v="2"/>
    <s v="FUR-FU-10001861"/>
    <s v="Furniture"/>
    <x v="3"/>
    <s v="Floodlight Indoor Halogen Bulbs, 1 Bulb per Pack, 60 Watts"/>
    <n v="135.80000000000001"/>
    <n v="7"/>
    <n v="0"/>
    <n v="66.542000000000002"/>
    <x v="5"/>
    <x v="11"/>
  </r>
  <r>
    <s v="CA-2014-100706"/>
    <x v="439"/>
    <d v="2014-12-18T00:00:00"/>
    <x v="0"/>
    <s v="LE-16810"/>
    <s v="Laurel Elliston"/>
    <x v="0"/>
    <s v="United States"/>
    <x v="76"/>
    <x v="25"/>
    <x v="0"/>
    <s v="FUR-FU-10002268"/>
    <s v="Furniture"/>
    <x v="3"/>
    <s v="Ultra Door Push Plate"/>
    <n v="29.46"/>
    <n v="6"/>
    <n v="0"/>
    <n v="9.7218"/>
    <x v="3"/>
    <x v="5"/>
  </r>
  <r>
    <s v="US-2016-141880"/>
    <x v="847"/>
    <d v="2016-08-23T00:00:00"/>
    <x v="2"/>
    <s v="TC-21475"/>
    <s v="Tony Chapman"/>
    <x v="2"/>
    <s v="United States"/>
    <x v="200"/>
    <x v="12"/>
    <x v="1"/>
    <s v="FUR-FU-10001979"/>
    <s v="Furniture"/>
    <x v="3"/>
    <s v="Dana Halogen Swing-Arm Architect Lamp"/>
    <n v="98.328000000000003"/>
    <n v="3"/>
    <n v="0.2"/>
    <n v="9.8328000000000007"/>
    <x v="5"/>
    <x v="10"/>
  </r>
  <r>
    <s v="CA-2015-165799"/>
    <x v="330"/>
    <d v="2015-07-02T00:00:00"/>
    <x v="2"/>
    <s v="SG-20470"/>
    <s v="Sheri Gordon"/>
    <x v="0"/>
    <s v="United States"/>
    <x v="13"/>
    <x v="7"/>
    <x v="2"/>
    <s v="FUR-CH-10001482"/>
    <s v="Furniture"/>
    <x v="1"/>
    <s v="Office Star - Mesh Screen back chair with Vinyl seat"/>
    <n v="117.88200000000001"/>
    <n v="1"/>
    <n v="0.1"/>
    <n v="1.3098000000000001"/>
    <x v="0"/>
    <x v="2"/>
  </r>
  <r>
    <s v="CA-2016-102127"/>
    <x v="517"/>
    <d v="2016-07-02T00:00:00"/>
    <x v="1"/>
    <s v="VP-21760"/>
    <s v="Victoria Pisteka"/>
    <x v="1"/>
    <s v="United States"/>
    <x v="13"/>
    <x v="7"/>
    <x v="2"/>
    <s v="FUR-FU-10003976"/>
    <s v="Furniture"/>
    <x v="3"/>
    <s v="DAX Executive Solid Wood Document Frame, Desktop or Hang, Mahogany, 5 x 7"/>
    <n v="37.74"/>
    <n v="3"/>
    <n v="0"/>
    <n v="12.8316"/>
    <x v="6"/>
    <x v="2"/>
  </r>
  <r>
    <s v="US-2016-152415"/>
    <x v="334"/>
    <d v="2016-09-22T00:00:00"/>
    <x v="1"/>
    <s v="PO-18865"/>
    <s v="Patrick O'Donnell"/>
    <x v="0"/>
    <s v="United States"/>
    <x v="357"/>
    <x v="20"/>
    <x v="2"/>
    <s v="FUR-FU-10002597"/>
    <s v="Furniture"/>
    <x v="3"/>
    <s v="C-Line Magnetic Cubicle Keepers, Clear Polypropylene"/>
    <n v="14.82"/>
    <n v="3"/>
    <n v="0"/>
    <n v="6.2244000000000002"/>
    <x v="2"/>
    <x v="4"/>
  </r>
  <r>
    <s v="US-2016-152415"/>
    <x v="334"/>
    <d v="2016-09-22T00:00:00"/>
    <x v="1"/>
    <s v="PO-18865"/>
    <s v="Patrick O'Donnell"/>
    <x v="0"/>
    <s v="United States"/>
    <x v="357"/>
    <x v="20"/>
    <x v="2"/>
    <s v="FUR-FU-10004864"/>
    <s v="Furniture"/>
    <x v="3"/>
    <s v="Howard Miller 14-1/2&quot; Diameter Chrome Round Wall Clock"/>
    <n v="191.82"/>
    <n v="3"/>
    <n v="0"/>
    <n v="61.382399999999997"/>
    <x v="2"/>
    <x v="4"/>
  </r>
  <r>
    <s v="CA-2017-128041"/>
    <x v="449"/>
    <d v="2017-09-01T00:00:00"/>
    <x v="3"/>
    <s v="RW-19540"/>
    <s v="Rick Wilson"/>
    <x v="1"/>
    <s v="United States"/>
    <x v="15"/>
    <x v="13"/>
    <x v="1"/>
    <s v="FUR-TA-10002607"/>
    <s v="Furniture"/>
    <x v="2"/>
    <s v="KI Conference Tables"/>
    <n v="283.56"/>
    <n v="4"/>
    <n v="0"/>
    <n v="45.369599999999998"/>
    <x v="7"/>
    <x v="4"/>
  </r>
  <r>
    <s v="CA-2017-105823"/>
    <x v="848"/>
    <d v="2017-06-26T00:00:00"/>
    <x v="1"/>
    <s v="RB-19465"/>
    <s v="Rick Bensley"/>
    <x v="2"/>
    <s v="United States"/>
    <x v="25"/>
    <x v="17"/>
    <x v="3"/>
    <s v="FUR-CH-10000454"/>
    <s v="Furniture"/>
    <x v="1"/>
    <s v="Hon Deluxe Fabric Upholstered Stacking Chairs, Rounded Back"/>
    <n v="487.96"/>
    <n v="2"/>
    <n v="0"/>
    <n v="146.38800000000001"/>
    <x v="4"/>
    <x v="2"/>
  </r>
  <r>
    <s v="CA-2014-138177"/>
    <x v="539"/>
    <d v="2014-09-24T00:00:00"/>
    <x v="1"/>
    <s v="ND-18460"/>
    <s v="Neil Ducich"/>
    <x v="1"/>
    <s v="United States"/>
    <x v="262"/>
    <x v="22"/>
    <x v="1"/>
    <s v="FUR-TA-10004607"/>
    <s v="Furniture"/>
    <x v="2"/>
    <s v="Hon 2111 Invitation Series Straight Table"/>
    <n v="73.915000000000006"/>
    <n v="1"/>
    <n v="0.5"/>
    <n v="-45.827300000000001"/>
    <x v="2"/>
    <x v="4"/>
  </r>
  <r>
    <s v="CA-2014-114335"/>
    <x v="849"/>
    <d v="2014-10-03T00:00:00"/>
    <x v="1"/>
    <s v="XP-21865"/>
    <s v="Xylona Preis"/>
    <x v="0"/>
    <s v="United States"/>
    <x v="358"/>
    <x v="1"/>
    <x v="0"/>
    <s v="FUR-FU-10000277"/>
    <s v="Furniture"/>
    <x v="3"/>
    <s v="Deflect-o DuraMat Antistatic Studded Beveled Mat for Medium Pile Carpeting"/>
    <n v="337.08800000000002"/>
    <n v="4"/>
    <n v="0.2"/>
    <n v="16.854399999999998"/>
    <x v="2"/>
    <x v="4"/>
  </r>
  <r>
    <s v="CA-2015-160227"/>
    <x v="46"/>
    <d v="2015-11-04T00:00:00"/>
    <x v="2"/>
    <s v="ED-13885"/>
    <s v="Emily Ducich"/>
    <x v="2"/>
    <s v="United States"/>
    <x v="13"/>
    <x v="7"/>
    <x v="2"/>
    <s v="FUR-CH-10002073"/>
    <s v="Furniture"/>
    <x v="1"/>
    <s v="Hon Olson Stacker Chairs"/>
    <n v="2621.3220000000001"/>
    <n v="11"/>
    <n v="0.1"/>
    <n v="553.39020000000005"/>
    <x v="3"/>
    <x v="0"/>
  </r>
  <r>
    <s v="CA-2015-149097"/>
    <x v="798"/>
    <d v="2015-10-24T00:00:00"/>
    <x v="1"/>
    <s v="SV-20785"/>
    <s v="Stewart Visinsky"/>
    <x v="0"/>
    <s v="United States"/>
    <x v="2"/>
    <x v="2"/>
    <x v="1"/>
    <s v="FUR-FU-10003424"/>
    <s v="Furniture"/>
    <x v="3"/>
    <s v="Nu-Dell Oak Frame"/>
    <n v="74.760000000000005"/>
    <n v="7"/>
    <n v="0"/>
    <n v="23.923200000000001"/>
    <x v="4"/>
    <x v="1"/>
  </r>
  <r>
    <s v="CA-2015-149097"/>
    <x v="798"/>
    <d v="2015-10-24T00:00:00"/>
    <x v="1"/>
    <s v="SV-20785"/>
    <s v="Stewart Visinsky"/>
    <x v="0"/>
    <s v="United States"/>
    <x v="2"/>
    <x v="2"/>
    <x v="1"/>
    <s v="FUR-TA-10001086"/>
    <s v="Furniture"/>
    <x v="2"/>
    <s v="SAFCO PlanMaster Boards, 60w x 37-1/2d, White Melamine"/>
    <n v="364.77600000000001"/>
    <n v="3"/>
    <n v="0.2"/>
    <n v="27.3582"/>
    <x v="4"/>
    <x v="1"/>
  </r>
  <r>
    <s v="CA-2016-132304"/>
    <x v="184"/>
    <d v="2016-06-18T00:00:00"/>
    <x v="1"/>
    <s v="AR-10825"/>
    <s v="Anthony Rawles"/>
    <x v="1"/>
    <s v="United States"/>
    <x v="15"/>
    <x v="13"/>
    <x v="1"/>
    <s v="FUR-TA-10004619"/>
    <s v="Furniture"/>
    <x v="2"/>
    <s v="Hon Non-Folding Utility Tables"/>
    <n v="1115.17"/>
    <n v="7"/>
    <n v="0"/>
    <n v="334.55099999999999"/>
    <x v="4"/>
    <x v="2"/>
  </r>
  <r>
    <s v="CA-2016-106278"/>
    <x v="227"/>
    <d v="2016-09-05T00:00:00"/>
    <x v="0"/>
    <s v="BM-11140"/>
    <s v="Becky Martin"/>
    <x v="0"/>
    <s v="United States"/>
    <x v="67"/>
    <x v="13"/>
    <x v="1"/>
    <s v="FUR-CH-10003061"/>
    <s v="Furniture"/>
    <x v="1"/>
    <s v="Global Leather Task Chair, Black"/>
    <n v="215.976"/>
    <n v="3"/>
    <n v="0.2"/>
    <n v="-2.6997"/>
    <x v="0"/>
    <x v="4"/>
  </r>
  <r>
    <s v="CA-2017-147550"/>
    <x v="423"/>
    <d v="2017-12-05T00:00:00"/>
    <x v="2"/>
    <s v="KE-16420"/>
    <s v="Katrina Edelman"/>
    <x v="1"/>
    <s v="United States"/>
    <x v="3"/>
    <x v="3"/>
    <x v="2"/>
    <s v="FUR-FU-10001918"/>
    <s v="Furniture"/>
    <x v="3"/>
    <s v="C-Line Cubicle Keepers Polyproplyene Holder With Velcro Backings"/>
    <n v="11.352"/>
    <n v="3"/>
    <n v="0.2"/>
    <n v="2.6960999999999999"/>
    <x v="5"/>
    <x v="5"/>
  </r>
  <r>
    <s v="CA-2016-108105"/>
    <x v="285"/>
    <d v="2016-02-23T00:00:00"/>
    <x v="1"/>
    <s v="GW-14605"/>
    <s v="Giulietta Weimer"/>
    <x v="0"/>
    <s v="United States"/>
    <x v="0"/>
    <x v="0"/>
    <x v="0"/>
    <s v="FUR-FU-10003773"/>
    <s v="Furniture"/>
    <x v="3"/>
    <s v="Eldon Cleatmat Plus Chair Mats for High Pile Carpets"/>
    <n v="318.08"/>
    <n v="4"/>
    <n v="0"/>
    <n v="34.988799999999998"/>
    <x v="1"/>
    <x v="11"/>
  </r>
  <r>
    <s v="CA-2016-143406"/>
    <x v="73"/>
    <d v="2016-09-30T00:00:00"/>
    <x v="1"/>
    <s v="LR-17035"/>
    <s v="Lisa Ryan"/>
    <x v="1"/>
    <s v="United States"/>
    <x v="6"/>
    <x v="5"/>
    <x v="3"/>
    <s v="FUR-CH-10000513"/>
    <s v="Furniture"/>
    <x v="1"/>
    <s v="High-Back Leather Manager's Chair"/>
    <n v="454.96499999999997"/>
    <n v="5"/>
    <n v="0.3"/>
    <n v="-136.48949999999999"/>
    <x v="4"/>
    <x v="4"/>
  </r>
  <r>
    <s v="CA-2015-162950"/>
    <x v="741"/>
    <d v="2015-07-03T00:00:00"/>
    <x v="0"/>
    <s v="DW-13585"/>
    <s v="Dorothy Wardle"/>
    <x v="1"/>
    <s v="United States"/>
    <x v="8"/>
    <x v="15"/>
    <x v="2"/>
    <s v="FUR-BO-10001918"/>
    <s v="Furniture"/>
    <x v="0"/>
    <s v="Sauder Forest Hills Library with Doors, Woodland Oak Finish"/>
    <n v="482.94"/>
    <n v="6"/>
    <n v="0.5"/>
    <n v="-376.69319999999999"/>
    <x v="2"/>
    <x v="2"/>
  </r>
  <r>
    <s v="CA-2015-163181"/>
    <x v="86"/>
    <d v="2015-11-12T00:00:00"/>
    <x v="1"/>
    <s v="AB-10105"/>
    <s v="Adrian Barton"/>
    <x v="0"/>
    <s v="United States"/>
    <x v="6"/>
    <x v="5"/>
    <x v="3"/>
    <s v="FUR-FU-10000193"/>
    <s v="Furniture"/>
    <x v="3"/>
    <s v="Tenex Chairmats For Use with Hard Floors"/>
    <n v="64.959999999999994"/>
    <n v="5"/>
    <n v="0.6"/>
    <n v="-84.447999999999993"/>
    <x v="2"/>
    <x v="0"/>
  </r>
  <r>
    <s v="CA-2017-153045"/>
    <x v="850"/>
    <d v="2017-01-24T00:00:00"/>
    <x v="0"/>
    <s v="NS-18505"/>
    <s v="Neola Schneider"/>
    <x v="0"/>
    <s v="United States"/>
    <x v="3"/>
    <x v="3"/>
    <x v="2"/>
    <s v="FUR-FU-10002759"/>
    <s v="Furniture"/>
    <x v="3"/>
    <s v="12-1/2 Diameter Round Wall Clock"/>
    <n v="31.968"/>
    <n v="2"/>
    <n v="0.2"/>
    <n v="6.3936000000000002"/>
    <x v="2"/>
    <x v="8"/>
  </r>
  <r>
    <s v="CA-2017-153045"/>
    <x v="850"/>
    <d v="2017-01-24T00:00:00"/>
    <x v="0"/>
    <s v="NS-18505"/>
    <s v="Neola Schneider"/>
    <x v="0"/>
    <s v="United States"/>
    <x v="3"/>
    <x v="3"/>
    <x v="2"/>
    <s v="FUR-CH-10000309"/>
    <s v="Furniture"/>
    <x v="1"/>
    <s v="Global Comet Stacking Arm Chair"/>
    <n v="887.27099999999996"/>
    <n v="3"/>
    <n v="0.3"/>
    <n v="-63.3765"/>
    <x v="2"/>
    <x v="8"/>
  </r>
  <r>
    <s v="CA-2016-128916"/>
    <x v="851"/>
    <d v="2016-08-20T00:00:00"/>
    <x v="0"/>
    <s v="MA-17560"/>
    <s v="Matt Abelman"/>
    <x v="2"/>
    <s v="United States"/>
    <x v="6"/>
    <x v="5"/>
    <x v="3"/>
    <s v="FUR-FU-10001940"/>
    <s v="Furniture"/>
    <x v="3"/>
    <s v="Staple-based wall hangings"/>
    <n v="9.5519999999999996"/>
    <n v="3"/>
    <n v="0.6"/>
    <n v="-3.8208000000000002"/>
    <x v="3"/>
    <x v="10"/>
  </r>
  <r>
    <s v="CA-2016-128916"/>
    <x v="851"/>
    <d v="2016-08-20T00:00:00"/>
    <x v="0"/>
    <s v="MA-17560"/>
    <s v="Matt Abelman"/>
    <x v="2"/>
    <s v="United States"/>
    <x v="6"/>
    <x v="5"/>
    <x v="3"/>
    <s v="FUR-FU-10000320"/>
    <s v="Furniture"/>
    <x v="3"/>
    <s v="OIC Stacking Trays"/>
    <n v="5.3440000000000003"/>
    <n v="4"/>
    <n v="0.6"/>
    <n v="-2.1375999999999999"/>
    <x v="3"/>
    <x v="10"/>
  </r>
  <r>
    <s v="CA-2016-130911"/>
    <x v="852"/>
    <d v="2016-03-26T00:00:00"/>
    <x v="0"/>
    <s v="DC-12850"/>
    <s v="Dan Campbell"/>
    <x v="0"/>
    <s v="United States"/>
    <x v="59"/>
    <x v="15"/>
    <x v="2"/>
    <s v="FUR-BO-10004357"/>
    <s v="Furniture"/>
    <x v="0"/>
    <s v="O'Sullivan Living Dimensions 3-Shelf Bookcases"/>
    <n v="301.47000000000003"/>
    <n v="3"/>
    <n v="0.5"/>
    <n v="-241.17599999999999"/>
    <x v="3"/>
    <x v="9"/>
  </r>
  <r>
    <s v="CA-2017-100055"/>
    <x v="15"/>
    <d v="2017-06-01T00:00:00"/>
    <x v="1"/>
    <s v="MD-17860"/>
    <s v="Michael Dominguez"/>
    <x v="1"/>
    <s v="United States"/>
    <x v="359"/>
    <x v="32"/>
    <x v="2"/>
    <s v="FUR-FU-10001473"/>
    <s v="Furniture"/>
    <x v="3"/>
    <s v="DAX Wood Document Frame"/>
    <n v="27.46"/>
    <n v="2"/>
    <n v="0"/>
    <n v="9.8856000000000002"/>
    <x v="4"/>
    <x v="7"/>
  </r>
  <r>
    <s v="CA-2016-132990"/>
    <x v="853"/>
    <d v="2016-08-03T00:00:00"/>
    <x v="0"/>
    <s v="KM-16660"/>
    <s v="Khloe Miller"/>
    <x v="0"/>
    <s v="United States"/>
    <x v="3"/>
    <x v="3"/>
    <x v="2"/>
    <s v="FUR-FU-10004864"/>
    <s v="Furniture"/>
    <x v="3"/>
    <s v="Eldon 500 Class Desk Accessories"/>
    <n v="19.312000000000001"/>
    <n v="2"/>
    <n v="0.2"/>
    <n v="3.1381999999999999"/>
    <x v="3"/>
    <x v="10"/>
  </r>
  <r>
    <s v="CA-2016-160108"/>
    <x v="6"/>
    <d v="2016-12-12T00:00:00"/>
    <x v="1"/>
    <s v="AG-10900"/>
    <s v="Arthur Gainer"/>
    <x v="0"/>
    <s v="United States"/>
    <x v="360"/>
    <x v="16"/>
    <x v="3"/>
    <s v="FUR-BO-10003450"/>
    <s v="Furniture"/>
    <x v="0"/>
    <s v="Bush Westfield Collection Bookcases, Dark Cherry Finish"/>
    <n v="405.86"/>
    <n v="7"/>
    <n v="0"/>
    <n v="32.468800000000002"/>
    <x v="4"/>
    <x v="5"/>
  </r>
  <r>
    <s v="CA-2016-160108"/>
    <x v="6"/>
    <d v="2016-12-12T00:00:00"/>
    <x v="1"/>
    <s v="AG-10900"/>
    <s v="Arthur Gainer"/>
    <x v="0"/>
    <s v="United States"/>
    <x v="360"/>
    <x v="16"/>
    <x v="3"/>
    <s v="FUR-CH-10002335"/>
    <s v="Furniture"/>
    <x v="1"/>
    <s v="Hon GuestStacker Chair"/>
    <n v="680.01"/>
    <n v="3"/>
    <n v="0"/>
    <n v="176.80260000000001"/>
    <x v="4"/>
    <x v="5"/>
  </r>
  <r>
    <s v="US-2016-155768"/>
    <x v="193"/>
    <d v="2016-12-01T00:00:00"/>
    <x v="3"/>
    <s v="LB-16795"/>
    <s v="Laurel Beltran"/>
    <x v="2"/>
    <s v="United States"/>
    <x v="299"/>
    <x v="2"/>
    <x v="1"/>
    <s v="FUR-FU-10000448"/>
    <s v="Furniture"/>
    <x v="3"/>
    <s v="Tenex Chairmats For Use With Carpeted Floors"/>
    <n v="31.96"/>
    <n v="2"/>
    <n v="0"/>
    <n v="1.5980000000000001"/>
    <x v="7"/>
    <x v="5"/>
  </r>
  <r>
    <s v="CA-2017-156776"/>
    <x v="854"/>
    <d v="2017-08-11T00:00:00"/>
    <x v="1"/>
    <s v="JL-15505"/>
    <s v="Jeremy Lonsdale"/>
    <x v="0"/>
    <s v="United States"/>
    <x v="327"/>
    <x v="2"/>
    <x v="1"/>
    <s v="FUR-FU-10004848"/>
    <s v="Furniture"/>
    <x v="3"/>
    <s v="Howard Miller 13-3/4&quot; Diameter Brushed Chrome Round Wall Clock"/>
    <n v="51.75"/>
    <n v="1"/>
    <n v="0"/>
    <n v="15.525"/>
    <x v="4"/>
    <x v="10"/>
  </r>
  <r>
    <s v="CA-2017-156776"/>
    <x v="854"/>
    <d v="2017-08-11T00:00:00"/>
    <x v="1"/>
    <s v="JL-15505"/>
    <s v="Jeremy Lonsdale"/>
    <x v="0"/>
    <s v="United States"/>
    <x v="327"/>
    <x v="2"/>
    <x v="1"/>
    <s v="FUR-CH-10002317"/>
    <s v="Furniture"/>
    <x v="1"/>
    <s v="Global Enterprise Series Seating Low-Back Swivel/Tilt Chairs"/>
    <n v="207.184"/>
    <n v="1"/>
    <n v="0.2"/>
    <n v="25.898"/>
    <x v="4"/>
    <x v="10"/>
  </r>
  <r>
    <s v="CA-2014-103310"/>
    <x v="769"/>
    <d v="2014-05-15T00:00:00"/>
    <x v="1"/>
    <s v="GM-14680"/>
    <s v="Greg Matthias"/>
    <x v="0"/>
    <s v="United States"/>
    <x v="124"/>
    <x v="2"/>
    <x v="1"/>
    <s v="FUR-CH-10002320"/>
    <s v="Furniture"/>
    <x v="1"/>
    <s v="Hon Pagoda Stacking Chairs"/>
    <n v="256.78399999999999"/>
    <n v="1"/>
    <n v="0.2"/>
    <n v="32.097999999999999"/>
    <x v="2"/>
    <x v="7"/>
  </r>
  <r>
    <s v="CA-2016-152688"/>
    <x v="816"/>
    <d v="2016-10-20T00:00:00"/>
    <x v="2"/>
    <s v="NR-18550"/>
    <s v="Nick Radford"/>
    <x v="0"/>
    <s v="United States"/>
    <x v="361"/>
    <x v="18"/>
    <x v="2"/>
    <s v="FUR-BO-10001337"/>
    <s v="Furniture"/>
    <x v="0"/>
    <s v="O'Sullivan Living Dimensions 2-Shelf Bookcases"/>
    <n v="120.98"/>
    <n v="1"/>
    <n v="0"/>
    <n v="12.098000000000001"/>
    <x v="0"/>
    <x v="1"/>
  </r>
  <r>
    <s v="CA-2014-144071"/>
    <x v="489"/>
    <d v="2014-12-15T00:00:00"/>
    <x v="1"/>
    <s v="DJ-13420"/>
    <s v="Denny Joy"/>
    <x v="1"/>
    <s v="United States"/>
    <x v="28"/>
    <x v="2"/>
    <x v="1"/>
    <s v="FUR-FU-10000397"/>
    <s v="Furniture"/>
    <x v="3"/>
    <s v="Luxo Economy Swing Arm Lamp"/>
    <n v="39.880000000000003"/>
    <n v="2"/>
    <n v="0"/>
    <n v="11.166399999999999"/>
    <x v="1"/>
    <x v="5"/>
  </r>
  <r>
    <s v="CA-2014-144071"/>
    <x v="489"/>
    <d v="2014-12-15T00:00:00"/>
    <x v="1"/>
    <s v="DJ-13420"/>
    <s v="Denny Joy"/>
    <x v="1"/>
    <s v="United States"/>
    <x v="28"/>
    <x v="2"/>
    <x v="1"/>
    <s v="FUR-FU-10000758"/>
    <s v="Furniture"/>
    <x v="3"/>
    <s v="DAX Natural Wood-Tone Poster Frame"/>
    <n v="79.44"/>
    <n v="3"/>
    <n v="0"/>
    <n v="28.598400000000002"/>
    <x v="1"/>
    <x v="5"/>
  </r>
  <r>
    <s v="US-2015-164238"/>
    <x v="793"/>
    <d v="2015-08-20T00:00:00"/>
    <x v="1"/>
    <s v="JW-15955"/>
    <s v="Joni Wasserman"/>
    <x v="0"/>
    <s v="United States"/>
    <x v="3"/>
    <x v="3"/>
    <x v="2"/>
    <s v="FUR-BO-10000780"/>
    <s v="Furniture"/>
    <x v="0"/>
    <s v="O'Sullivan Plantations 2-Door Library in Landvery Oak"/>
    <n v="301.47000000000003"/>
    <n v="3"/>
    <n v="0.5"/>
    <n v="-204.99959999999999"/>
    <x v="4"/>
    <x v="10"/>
  </r>
  <r>
    <s v="CA-2017-103212"/>
    <x v="540"/>
    <d v="2017-10-14T00:00:00"/>
    <x v="2"/>
    <s v="MH-18025"/>
    <s v="Michelle Huthwaite"/>
    <x v="0"/>
    <s v="United States"/>
    <x v="120"/>
    <x v="35"/>
    <x v="0"/>
    <s v="FUR-TA-10003473"/>
    <s v="Furniture"/>
    <x v="2"/>
    <s v="Bretford Rectangular Conference Table Tops"/>
    <n v="1504.52"/>
    <n v="4"/>
    <n v="0"/>
    <n v="346.03960000000001"/>
    <x v="5"/>
    <x v="1"/>
  </r>
  <r>
    <s v="CA-2016-126732"/>
    <x v="227"/>
    <d v="2016-09-06T00:00:00"/>
    <x v="1"/>
    <s v="LR-16915"/>
    <s v="Lena Radford"/>
    <x v="0"/>
    <s v="United States"/>
    <x v="2"/>
    <x v="2"/>
    <x v="1"/>
    <s v="FUR-FU-10001889"/>
    <s v="Furniture"/>
    <x v="3"/>
    <s v="Ultra Door Pull Handle"/>
    <n v="94.68"/>
    <n v="9"/>
    <n v="0"/>
    <n v="31.244399999999999"/>
    <x v="4"/>
    <x v="4"/>
  </r>
  <r>
    <s v="CA-2016-126732"/>
    <x v="227"/>
    <d v="2016-09-06T00:00:00"/>
    <x v="1"/>
    <s v="LR-16915"/>
    <s v="Lena Radford"/>
    <x v="0"/>
    <s v="United States"/>
    <x v="2"/>
    <x v="2"/>
    <x v="1"/>
    <s v="FUR-TA-10001539"/>
    <s v="Furniture"/>
    <x v="2"/>
    <s v="Chromcraft Rectangular Conference Tables"/>
    <n v="568.72799999999995"/>
    <n v="3"/>
    <n v="0.2"/>
    <n v="28.436399999999999"/>
    <x v="4"/>
    <x v="4"/>
  </r>
  <r>
    <s v="CA-2017-138156"/>
    <x v="441"/>
    <d v="2017-02-14T00:00:00"/>
    <x v="2"/>
    <s v="MM-17260"/>
    <s v="Magdelene Morse"/>
    <x v="0"/>
    <s v="United States"/>
    <x v="29"/>
    <x v="15"/>
    <x v="2"/>
    <s v="FUR-FU-10003601"/>
    <s v="Furniture"/>
    <x v="3"/>
    <s v="Deflect-o RollaMat Studded, Beveled Mat for Medium Pile Carpeting"/>
    <n v="147.56800000000001"/>
    <n v="2"/>
    <n v="0.2"/>
    <n v="-3.6892"/>
    <x v="0"/>
    <x v="11"/>
  </r>
  <r>
    <s v="CA-2014-113271"/>
    <x v="855"/>
    <d v="2014-07-14T00:00:00"/>
    <x v="1"/>
    <s v="DS-13030"/>
    <s v="Darrin Sayre"/>
    <x v="2"/>
    <s v="United States"/>
    <x v="28"/>
    <x v="2"/>
    <x v="1"/>
    <s v="FUR-BO-10004218"/>
    <s v="Furniture"/>
    <x v="0"/>
    <s v="Bush Heritage Pine Collection 5-Shelf Bookcase, Albany Pine Finish, *Special Order"/>
    <n v="119.833"/>
    <n v="1"/>
    <n v="0.15"/>
    <n v="7.0490000000000004"/>
    <x v="2"/>
    <x v="3"/>
  </r>
  <r>
    <s v="CA-2014-168368"/>
    <x v="651"/>
    <d v="2014-02-15T00:00:00"/>
    <x v="0"/>
    <s v="GA-14725"/>
    <s v="Guy Armstrong"/>
    <x v="0"/>
    <s v="United States"/>
    <x v="11"/>
    <x v="23"/>
    <x v="3"/>
    <s v="FUR-CH-10001146"/>
    <s v="Furniture"/>
    <x v="1"/>
    <s v="Global Value Mid-Back Manager's Chair, Gray"/>
    <n v="60.89"/>
    <n v="1"/>
    <n v="0"/>
    <n v="15.2225"/>
    <x v="4"/>
    <x v="11"/>
  </r>
  <r>
    <s v="CA-2014-168368"/>
    <x v="651"/>
    <d v="2014-02-15T00:00:00"/>
    <x v="0"/>
    <s v="GA-14725"/>
    <s v="Guy Armstrong"/>
    <x v="0"/>
    <s v="United States"/>
    <x v="11"/>
    <x v="23"/>
    <x v="3"/>
    <s v="FUR-FU-10002298"/>
    <s v="Furniture"/>
    <x v="3"/>
    <s v="Rubbermaid ClusterMat Chairmats, Mat Size- 66&quot; x 60&quot;, Lip 20&quot; x 11&quot; -90 Degree Angle"/>
    <n v="332.94"/>
    <n v="3"/>
    <n v="0"/>
    <n v="53.270400000000002"/>
    <x v="4"/>
    <x v="11"/>
  </r>
  <r>
    <s v="CA-2017-111388"/>
    <x v="113"/>
    <d v="2017-09-02T00:00:00"/>
    <x v="3"/>
    <s v="SU-20665"/>
    <s v="Stephanie Ulpright"/>
    <x v="2"/>
    <s v="United States"/>
    <x v="15"/>
    <x v="13"/>
    <x v="1"/>
    <s v="FUR-CH-10003061"/>
    <s v="Furniture"/>
    <x v="1"/>
    <s v="Global Leather Task Chair, Black"/>
    <n v="215.976"/>
    <n v="3"/>
    <n v="0.2"/>
    <n v="-2.6997"/>
    <x v="7"/>
    <x v="4"/>
  </r>
  <r>
    <s v="CA-2015-124499"/>
    <x v="856"/>
    <d v="2015-10-13T00:00:00"/>
    <x v="1"/>
    <s v="FM-14380"/>
    <s v="Fred McMath"/>
    <x v="0"/>
    <s v="United States"/>
    <x v="25"/>
    <x v="17"/>
    <x v="3"/>
    <s v="FUR-CH-10000513"/>
    <s v="Furniture"/>
    <x v="1"/>
    <s v="High-Back Leather Manager's Chair"/>
    <n v="389.97"/>
    <n v="3"/>
    <n v="0"/>
    <n v="35.097299999999997"/>
    <x v="4"/>
    <x v="1"/>
  </r>
  <r>
    <s v="CA-2014-125759"/>
    <x v="857"/>
    <d v="2014-02-09T00:00:00"/>
    <x v="2"/>
    <s v="NM-18445"/>
    <s v="Nathan Mautz"/>
    <x v="2"/>
    <s v="United States"/>
    <x v="111"/>
    <x v="34"/>
    <x v="1"/>
    <s v="FUR-FU-10002111"/>
    <s v="Furniture"/>
    <x v="3"/>
    <s v="Master Caster Door Stop, Large Brown"/>
    <n v="14.56"/>
    <n v="2"/>
    <n v="0"/>
    <n v="5.5327999999999999"/>
    <x v="5"/>
    <x v="11"/>
  </r>
  <r>
    <s v="CA-2015-151869"/>
    <x v="4"/>
    <d v="2015-09-25T00:00:00"/>
    <x v="3"/>
    <s v="CS-11950"/>
    <s v="Carlos Soltero"/>
    <x v="0"/>
    <s v="United States"/>
    <x v="234"/>
    <x v="7"/>
    <x v="2"/>
    <s v="FUR-CH-10001545"/>
    <s v="Furniture"/>
    <x v="1"/>
    <s v="Hon Comfortask Task/Swivel Chairs"/>
    <n v="102.58199999999999"/>
    <n v="1"/>
    <n v="0.1"/>
    <n v="6.8388"/>
    <x v="7"/>
    <x v="4"/>
  </r>
  <r>
    <s v="CA-2016-100510"/>
    <x v="858"/>
    <d v="2016-05-17T00:00:00"/>
    <x v="1"/>
    <s v="HM-14860"/>
    <s v="Harry Marie"/>
    <x v="1"/>
    <s v="United States"/>
    <x v="13"/>
    <x v="7"/>
    <x v="2"/>
    <s v="FUR-FU-10000320"/>
    <s v="Furniture"/>
    <x v="3"/>
    <s v="OIC Stacking Trays"/>
    <n v="10.02"/>
    <n v="3"/>
    <n v="0"/>
    <n v="4.4088000000000003"/>
    <x v="2"/>
    <x v="7"/>
  </r>
  <r>
    <s v="CA-2017-122539"/>
    <x v="451"/>
    <d v="2017-12-05T00:00:00"/>
    <x v="1"/>
    <s v="SC-20305"/>
    <s v="Sean Christensen"/>
    <x v="0"/>
    <s v="United States"/>
    <x v="3"/>
    <x v="3"/>
    <x v="2"/>
    <s v="FUR-CH-10003379"/>
    <s v="Furniture"/>
    <x v="1"/>
    <s v="Global Commerce Series High-Back Swivel/Tilt Chairs"/>
    <n v="398.97199999999998"/>
    <n v="2"/>
    <n v="0.3"/>
    <n v="-28.498000000000001"/>
    <x v="4"/>
    <x v="5"/>
  </r>
  <r>
    <s v="CA-2016-166772"/>
    <x v="649"/>
    <d v="2016-09-24T00:00:00"/>
    <x v="1"/>
    <s v="HJ-14875"/>
    <s v="Heather Jas"/>
    <x v="2"/>
    <s v="United States"/>
    <x v="15"/>
    <x v="13"/>
    <x v="1"/>
    <s v="FUR-BO-10002853"/>
    <s v="Furniture"/>
    <x v="0"/>
    <s v="O'Sullivan 5-Shelf Heavy-Duty Bookcases"/>
    <n v="163.88"/>
    <n v="2"/>
    <n v="0"/>
    <n v="40.97"/>
    <x v="4"/>
    <x v="4"/>
  </r>
  <r>
    <s v="CA-2014-161032"/>
    <x v="356"/>
    <d v="2014-11-23T00:00:00"/>
    <x v="1"/>
    <s v="MK-17905"/>
    <s v="Michael Kennedy"/>
    <x v="1"/>
    <s v="United States"/>
    <x v="20"/>
    <x v="16"/>
    <x v="3"/>
    <s v="FUR-CH-10001482"/>
    <s v="Furniture"/>
    <x v="1"/>
    <s v="Office Star - Mesh Screen back chair with Vinyl seat"/>
    <n v="392.94"/>
    <n v="3"/>
    <n v="0"/>
    <n v="43.223399999999998"/>
    <x v="2"/>
    <x v="0"/>
  </r>
  <r>
    <s v="CA-2015-102778"/>
    <x v="32"/>
    <d v="2015-11-24T00:00:00"/>
    <x v="2"/>
    <s v="JH-15820"/>
    <s v="John Huston"/>
    <x v="0"/>
    <s v="United States"/>
    <x v="91"/>
    <x v="30"/>
    <x v="0"/>
    <s v="FUR-FU-10000087"/>
    <s v="Furniture"/>
    <x v="3"/>
    <s v="Executive Impressions 14&quot; Two-Color Numerals Wall Clock"/>
    <n v="18.175999999999998"/>
    <n v="1"/>
    <n v="0.2"/>
    <n v="4.7712000000000003"/>
    <x v="0"/>
    <x v="0"/>
  </r>
  <r>
    <s v="CA-2017-154011"/>
    <x v="744"/>
    <d v="2017-06-26T00:00:00"/>
    <x v="1"/>
    <s v="DB-13270"/>
    <s v="Deborah Brumfield"/>
    <x v="2"/>
    <s v="United States"/>
    <x v="144"/>
    <x v="5"/>
    <x v="3"/>
    <s v="FUR-TA-10000688"/>
    <s v="Furniture"/>
    <x v="2"/>
    <s v="Chromcraft Bull-Nose Wood Round Conference Table Top, Wood Base"/>
    <n v="457.48500000000001"/>
    <n v="3"/>
    <n v="0.3"/>
    <n v="-84.961500000000001"/>
    <x v="1"/>
    <x v="2"/>
  </r>
  <r>
    <s v="US-2017-165456"/>
    <x v="147"/>
    <d v="2017-12-03T00:00:00"/>
    <x v="2"/>
    <s v="TB-21625"/>
    <s v="Trudy Brown"/>
    <x v="0"/>
    <s v="United States"/>
    <x v="3"/>
    <x v="3"/>
    <x v="2"/>
    <s v="FUR-CH-10003981"/>
    <s v="Furniture"/>
    <x v="1"/>
    <s v="Global Commerce Series Low-Back Swivel/Tilt Chairs"/>
    <n v="1079.316"/>
    <n v="6"/>
    <n v="0.3"/>
    <n v="-15.418799999999999"/>
    <x v="0"/>
    <x v="0"/>
  </r>
  <r>
    <s v="CA-2017-161340"/>
    <x v="15"/>
    <d v="2017-06-01T00:00:00"/>
    <x v="1"/>
    <s v="AM-10360"/>
    <s v="Alice McCarthy"/>
    <x v="1"/>
    <s v="United States"/>
    <x v="59"/>
    <x v="15"/>
    <x v="2"/>
    <s v="FUR-BO-10004709"/>
    <s v="Furniture"/>
    <x v="0"/>
    <s v="Bush Westfield Collection Bookcases, Medium Cherry Finish"/>
    <n v="115.96"/>
    <n v="4"/>
    <n v="0.5"/>
    <n v="-64.937600000000003"/>
    <x v="4"/>
    <x v="7"/>
  </r>
  <r>
    <s v="US-2015-163433"/>
    <x v="8"/>
    <d v="2015-04-22T00:00:00"/>
    <x v="0"/>
    <s v="MP-17965"/>
    <s v="Michael Paige"/>
    <x v="1"/>
    <s v="United States"/>
    <x v="362"/>
    <x v="5"/>
    <x v="3"/>
    <s v="FUR-CH-10000225"/>
    <s v="Furniture"/>
    <x v="1"/>
    <s v="Global Geo Office Task Chair, Gray"/>
    <n v="56.686"/>
    <n v="1"/>
    <n v="0.3"/>
    <n v="-20.245000000000001"/>
    <x v="4"/>
    <x v="6"/>
  </r>
  <r>
    <s v="US-2017-108343"/>
    <x v="96"/>
    <d v="2017-07-25T00:00:00"/>
    <x v="1"/>
    <s v="AR-10825"/>
    <s v="Anthony Rawles"/>
    <x v="1"/>
    <s v="United States"/>
    <x v="13"/>
    <x v="7"/>
    <x v="2"/>
    <s v="FUR-CH-10002780"/>
    <s v="Furniture"/>
    <x v="1"/>
    <s v="Office Star - Task Chair with Contemporary Loop Arms"/>
    <n v="163.76400000000001"/>
    <n v="2"/>
    <n v="0.1"/>
    <n v="25.474399999999999"/>
    <x v="2"/>
    <x v="3"/>
  </r>
  <r>
    <s v="US-2017-108343"/>
    <x v="96"/>
    <d v="2017-07-25T00:00:00"/>
    <x v="1"/>
    <s v="AR-10825"/>
    <s v="Anthony Rawles"/>
    <x v="1"/>
    <s v="United States"/>
    <x v="13"/>
    <x v="7"/>
    <x v="2"/>
    <s v="FUR-FU-10000747"/>
    <s v="Furniture"/>
    <x v="3"/>
    <s v="Tenex B1-RE Series Chair Mats for Low Pile Carpets"/>
    <n v="183.92"/>
    <n v="4"/>
    <n v="0"/>
    <n v="31.266400000000001"/>
    <x v="2"/>
    <x v="3"/>
  </r>
  <r>
    <s v="US-2016-111563"/>
    <x v="114"/>
    <d v="2016-11-08T00:00:00"/>
    <x v="1"/>
    <s v="SM-20005"/>
    <s v="Sally Matthias"/>
    <x v="0"/>
    <s v="United States"/>
    <x v="6"/>
    <x v="5"/>
    <x v="3"/>
    <s v="FUR-FU-10002445"/>
    <s v="Furniture"/>
    <x v="3"/>
    <s v="DAX Two-Tone Rosewood/Black Document Frame, Desktop, 5 x 7"/>
    <n v="11.375999999999999"/>
    <n v="3"/>
    <n v="0.6"/>
    <n v="-5.6879999999999997"/>
    <x v="4"/>
    <x v="0"/>
  </r>
  <r>
    <s v="US-2016-111563"/>
    <x v="114"/>
    <d v="2016-11-08T00:00:00"/>
    <x v="1"/>
    <s v="SM-20005"/>
    <s v="Sally Matthias"/>
    <x v="0"/>
    <s v="United States"/>
    <x v="6"/>
    <x v="5"/>
    <x v="3"/>
    <s v="FUR-FU-10000723"/>
    <s v="Furniture"/>
    <x v="3"/>
    <s v="Deflect-o EconoMat Studded, No Bevel Mat for Low Pile Carpeting"/>
    <n v="66.111999999999995"/>
    <n v="4"/>
    <n v="0.6"/>
    <n v="-84.2928"/>
    <x v="4"/>
    <x v="0"/>
  </r>
  <r>
    <s v="CA-2017-121853"/>
    <x v="204"/>
    <d v="2017-09-29T00:00:00"/>
    <x v="1"/>
    <s v="DB-13660"/>
    <s v="Duane Benoit"/>
    <x v="0"/>
    <s v="United States"/>
    <x v="2"/>
    <x v="2"/>
    <x v="1"/>
    <s v="FUR-CH-10003973"/>
    <s v="Furniture"/>
    <x v="1"/>
    <s v="GuestStacker Chair with Chrome Finish Legs"/>
    <n v="594.81600000000003"/>
    <n v="2"/>
    <n v="0.2"/>
    <n v="59.4816"/>
    <x v="6"/>
    <x v="4"/>
  </r>
  <r>
    <s v="US-2017-130687"/>
    <x v="87"/>
    <d v="2017-09-10T00:00:00"/>
    <x v="2"/>
    <s v="PF-19225"/>
    <s v="Phillip Flathmann"/>
    <x v="0"/>
    <s v="United States"/>
    <x v="71"/>
    <x v="13"/>
    <x v="1"/>
    <s v="FUR-FU-10004053"/>
    <s v="Furniture"/>
    <x v="3"/>
    <s v="DAX Two-Tone Silver Metal Document Frame"/>
    <n v="80.959999999999994"/>
    <n v="4"/>
    <n v="0"/>
    <n v="34.812800000000003"/>
    <x v="0"/>
    <x v="4"/>
  </r>
  <r>
    <s v="CA-2017-110198"/>
    <x v="806"/>
    <d v="2017-05-02T00:00:00"/>
    <x v="2"/>
    <s v="AG-10900"/>
    <s v="Arthur Gainer"/>
    <x v="0"/>
    <s v="United States"/>
    <x v="97"/>
    <x v="1"/>
    <x v="0"/>
    <s v="FUR-BO-10001798"/>
    <s v="Furniture"/>
    <x v="0"/>
    <s v="Bush Somerset Collection Bookcase"/>
    <n v="314.35199999999998"/>
    <n v="3"/>
    <n v="0.2"/>
    <n v="-15.717599999999999"/>
    <x v="5"/>
    <x v="7"/>
  </r>
  <r>
    <s v="CA-2017-109085"/>
    <x v="506"/>
    <d v="2017-02-20T00:00:00"/>
    <x v="2"/>
    <s v="CK-12325"/>
    <s v="Christine Kargatis"/>
    <x v="2"/>
    <s v="United States"/>
    <x v="8"/>
    <x v="15"/>
    <x v="2"/>
    <s v="FUR-TA-10001086"/>
    <s v="Furniture"/>
    <x v="2"/>
    <s v="SAFCO PlanMaster Boards, 60w x 37-1/2d, White Melamine"/>
    <n v="455.97"/>
    <n v="5"/>
    <n v="0.4"/>
    <n v="-106.393"/>
    <x v="0"/>
    <x v="11"/>
  </r>
  <r>
    <s v="CA-2017-109085"/>
    <x v="506"/>
    <d v="2017-02-20T00:00:00"/>
    <x v="2"/>
    <s v="CK-12325"/>
    <s v="Christine Kargatis"/>
    <x v="2"/>
    <s v="United States"/>
    <x v="8"/>
    <x v="15"/>
    <x v="2"/>
    <s v="FUR-FU-10004973"/>
    <s v="Furniture"/>
    <x v="3"/>
    <s v="Flat Face Poster Frame"/>
    <n v="30.143999999999998"/>
    <n v="2"/>
    <n v="0.2"/>
    <n v="8.2896000000000001"/>
    <x v="0"/>
    <x v="11"/>
  </r>
  <r>
    <s v="CA-2017-109085"/>
    <x v="506"/>
    <d v="2017-02-20T00:00:00"/>
    <x v="2"/>
    <s v="CK-12325"/>
    <s v="Christine Kargatis"/>
    <x v="2"/>
    <s v="United States"/>
    <x v="8"/>
    <x v="15"/>
    <x v="2"/>
    <s v="FUR-CH-10003981"/>
    <s v="Furniture"/>
    <x v="1"/>
    <s v="Global Commerce Series Low-Back Swivel/Tilt Chairs"/>
    <n v="899.43"/>
    <n v="5"/>
    <n v="0.3"/>
    <n v="-12.849"/>
    <x v="0"/>
    <x v="11"/>
  </r>
  <r>
    <s v="CA-2016-114860"/>
    <x v="286"/>
    <d v="2016-12-28T00:00:00"/>
    <x v="1"/>
    <s v="DN-13690"/>
    <s v="Duane Noonan"/>
    <x v="0"/>
    <s v="United States"/>
    <x v="363"/>
    <x v="2"/>
    <x v="1"/>
    <s v="FUR-FU-10000277"/>
    <s v="Furniture"/>
    <x v="3"/>
    <s v="Deflect-o DuraMat Antistatic Studded Beveled Mat for Medium Pile Carpeting"/>
    <n v="842.72"/>
    <n v="8"/>
    <n v="0"/>
    <n v="202.25280000000001"/>
    <x v="6"/>
    <x v="5"/>
  </r>
  <r>
    <s v="CA-2016-114860"/>
    <x v="286"/>
    <d v="2016-12-28T00:00:00"/>
    <x v="1"/>
    <s v="DN-13690"/>
    <s v="Duane Noonan"/>
    <x v="0"/>
    <s v="United States"/>
    <x v="363"/>
    <x v="2"/>
    <x v="1"/>
    <s v="FUR-FU-10001934"/>
    <s v="Furniture"/>
    <x v="3"/>
    <s v="Magnifier Swing Arm Lamp"/>
    <n v="41.96"/>
    <n v="2"/>
    <n v="0"/>
    <n v="10.909599999999999"/>
    <x v="6"/>
    <x v="5"/>
  </r>
  <r>
    <s v="CA-2016-159009"/>
    <x v="348"/>
    <d v="2016-09-27T00:00:00"/>
    <x v="1"/>
    <s v="DP-13105"/>
    <s v="Dave Poirier"/>
    <x v="1"/>
    <s v="United States"/>
    <x v="15"/>
    <x v="13"/>
    <x v="1"/>
    <s v="FUR-CH-10003396"/>
    <s v="Furniture"/>
    <x v="1"/>
    <s v="Global Deluxe Steno Chair"/>
    <n v="184.75200000000001"/>
    <n v="3"/>
    <n v="0.2"/>
    <n v="-20.784600000000001"/>
    <x v="4"/>
    <x v="4"/>
  </r>
  <r>
    <s v="CA-2017-148411"/>
    <x v="118"/>
    <d v="2017-09-26T00:00:00"/>
    <x v="2"/>
    <s v="RO-19780"/>
    <s v="Rose O'Brian"/>
    <x v="0"/>
    <s v="United States"/>
    <x v="9"/>
    <x v="8"/>
    <x v="3"/>
    <s v="FUR-CH-10003973"/>
    <s v="Furniture"/>
    <x v="1"/>
    <s v="GuestStacker Chair with Chrome Finish Legs"/>
    <n v="520.46400000000006"/>
    <n v="2"/>
    <n v="0.3"/>
    <n v="-14.8704"/>
    <x v="3"/>
    <x v="4"/>
  </r>
  <r>
    <s v="CA-2016-168046"/>
    <x v="859"/>
    <d v="2016-01-28T00:00:00"/>
    <x v="0"/>
    <s v="JD-15895"/>
    <s v="Jonathan Doherty"/>
    <x v="1"/>
    <s v="United States"/>
    <x v="13"/>
    <x v="7"/>
    <x v="2"/>
    <s v="FUR-TA-10001095"/>
    <s v="Furniture"/>
    <x v="2"/>
    <s v="Chromcraft Round Conference Tables"/>
    <n v="313.72199999999998"/>
    <n v="3"/>
    <n v="0.4"/>
    <n v="-99.345299999999995"/>
    <x v="0"/>
    <x v="8"/>
  </r>
  <r>
    <s v="CA-2016-168046"/>
    <x v="859"/>
    <d v="2016-01-28T00:00:00"/>
    <x v="0"/>
    <s v="JD-15895"/>
    <s v="Jonathan Doherty"/>
    <x v="1"/>
    <s v="United States"/>
    <x v="13"/>
    <x v="7"/>
    <x v="2"/>
    <s v="FUR-FU-10000747"/>
    <s v="Furniture"/>
    <x v="3"/>
    <s v="Tenex B1-RE Series Chair Mats for Low Pile Carpets"/>
    <n v="45.98"/>
    <n v="1"/>
    <n v="0"/>
    <n v="7.8166000000000002"/>
    <x v="0"/>
    <x v="8"/>
  </r>
  <r>
    <s v="CA-2017-111591"/>
    <x v="555"/>
    <d v="2017-03-25T00:00:00"/>
    <x v="1"/>
    <s v="PS-18970"/>
    <s v="Paul Stevenson"/>
    <x v="2"/>
    <s v="United States"/>
    <x v="15"/>
    <x v="13"/>
    <x v="1"/>
    <s v="FUR-FU-10002364"/>
    <s v="Furniture"/>
    <x v="3"/>
    <s v="Eldon Expressions Wood Desk Accessories, Oak"/>
    <n v="22.14"/>
    <n v="3"/>
    <n v="0"/>
    <n v="6.4206000000000003"/>
    <x v="4"/>
    <x v="9"/>
  </r>
  <r>
    <s v="CA-2017-113460"/>
    <x v="388"/>
    <d v="2017-11-09T00:00:00"/>
    <x v="0"/>
    <s v="KN-16390"/>
    <s v="Katherine Nockton"/>
    <x v="1"/>
    <s v="United States"/>
    <x v="218"/>
    <x v="32"/>
    <x v="2"/>
    <s v="FUR-CH-10000422"/>
    <s v="Furniture"/>
    <x v="1"/>
    <s v="Global Highback Leather Tilter in Burgundy"/>
    <n v="272.97000000000003"/>
    <n v="3"/>
    <n v="0"/>
    <n v="43.675199999999997"/>
    <x v="3"/>
    <x v="0"/>
  </r>
  <r>
    <s v="CA-2015-111339"/>
    <x v="860"/>
    <d v="2015-05-31T00:00:00"/>
    <x v="2"/>
    <s v="VP-21760"/>
    <s v="Victoria Pisteka"/>
    <x v="1"/>
    <s v="United States"/>
    <x v="29"/>
    <x v="15"/>
    <x v="2"/>
    <s v="FUR-FU-10002506"/>
    <s v="Furniture"/>
    <x v="3"/>
    <s v="Tensor &quot;Hersey Kiss&quot; Styled Floor Lamp"/>
    <n v="41.567999999999998"/>
    <n v="4"/>
    <n v="0.2"/>
    <n v="-4.1567999999999996"/>
    <x v="3"/>
    <x v="7"/>
  </r>
  <r>
    <s v="CA-2015-111339"/>
    <x v="860"/>
    <d v="2015-05-31T00:00:00"/>
    <x v="2"/>
    <s v="VP-21760"/>
    <s v="Victoria Pisteka"/>
    <x v="1"/>
    <s v="United States"/>
    <x v="29"/>
    <x v="15"/>
    <x v="2"/>
    <s v="FUR-CH-10000863"/>
    <s v="Furniture"/>
    <x v="1"/>
    <s v="Novimex Swivel Fabric Task Chair"/>
    <n v="317.05799999999999"/>
    <n v="3"/>
    <n v="0.3"/>
    <n v="-86.058599999999998"/>
    <x v="3"/>
    <x v="7"/>
  </r>
  <r>
    <s v="CA-2014-154158"/>
    <x v="520"/>
    <d v="2014-12-27T00:00:00"/>
    <x v="0"/>
    <s v="CC-12670"/>
    <s v="Craig Carreira"/>
    <x v="0"/>
    <s v="United States"/>
    <x v="26"/>
    <x v="1"/>
    <x v="0"/>
    <s v="FUR-CH-10004698"/>
    <s v="Furniture"/>
    <x v="1"/>
    <s v="Padded Folding Chairs, Black, 4/Carton"/>
    <n v="64.784000000000006"/>
    <n v="1"/>
    <n v="0.2"/>
    <n v="6.4783999999999997"/>
    <x v="4"/>
    <x v="5"/>
  </r>
  <r>
    <s v="CA-2017-163097"/>
    <x v="60"/>
    <d v="2017-08-31T00:00:00"/>
    <x v="1"/>
    <s v="SF-20200"/>
    <s v="Sarah Foster"/>
    <x v="0"/>
    <s v="United States"/>
    <x v="81"/>
    <x v="22"/>
    <x v="1"/>
    <s v="FUR-FU-10004973"/>
    <s v="Furniture"/>
    <x v="3"/>
    <s v="Flat Face Poster Frame"/>
    <n v="120.57599999999999"/>
    <n v="8"/>
    <n v="0.2"/>
    <n v="33.1584"/>
    <x v="4"/>
    <x v="10"/>
  </r>
  <r>
    <s v="CA-2015-130848"/>
    <x v="551"/>
    <d v="2015-10-25T00:00:00"/>
    <x v="3"/>
    <s v="DG-13300"/>
    <s v="Deirdre Greer"/>
    <x v="1"/>
    <s v="United States"/>
    <x v="22"/>
    <x v="12"/>
    <x v="1"/>
    <s v="FUR-CH-10000422"/>
    <s v="Furniture"/>
    <x v="1"/>
    <s v="Global Highback Leather Tilter in Burgundy"/>
    <n v="582.33600000000001"/>
    <n v="8"/>
    <n v="0.2"/>
    <n v="-29.116800000000001"/>
    <x v="7"/>
    <x v="1"/>
  </r>
  <r>
    <s v="CA-2014-125997"/>
    <x v="23"/>
    <d v="2014-09-23T00:00:00"/>
    <x v="2"/>
    <s v="MW-18220"/>
    <s v="Mitch Webber"/>
    <x v="0"/>
    <s v="United States"/>
    <x v="13"/>
    <x v="7"/>
    <x v="2"/>
    <s v="FUR-CH-10001394"/>
    <s v="Furniture"/>
    <x v="1"/>
    <s v="Global Leather Executive Chair"/>
    <n v="631.78200000000004"/>
    <n v="2"/>
    <n v="0.1"/>
    <n v="140.39599999999999"/>
    <x v="0"/>
    <x v="4"/>
  </r>
  <r>
    <s v="CA-2014-125997"/>
    <x v="23"/>
    <d v="2014-09-23T00:00:00"/>
    <x v="2"/>
    <s v="MW-18220"/>
    <s v="Mitch Webber"/>
    <x v="0"/>
    <s v="United States"/>
    <x v="13"/>
    <x v="7"/>
    <x v="2"/>
    <s v="FUR-BO-10002213"/>
    <s v="Furniture"/>
    <x v="0"/>
    <s v="DMI Eclipse Executive Suite Bookcases"/>
    <n v="801.56799999999998"/>
    <n v="2"/>
    <n v="0.2"/>
    <n v="-10.019600000000001"/>
    <x v="0"/>
    <x v="4"/>
  </r>
  <r>
    <s v="CA-2014-159814"/>
    <x v="861"/>
    <d v="2014-06-28T00:00:00"/>
    <x v="1"/>
    <s v="LP-17080"/>
    <s v="Liz Pelletier"/>
    <x v="0"/>
    <s v="United States"/>
    <x v="104"/>
    <x v="22"/>
    <x v="1"/>
    <s v="FUR-FU-10001731"/>
    <s v="Furniture"/>
    <x v="3"/>
    <s v="Acrylic Self-Standing Desk Frames"/>
    <n v="4.2720000000000002"/>
    <n v="2"/>
    <n v="0.2"/>
    <n v="0.96120000000000005"/>
    <x v="4"/>
    <x v="2"/>
  </r>
  <r>
    <s v="CA-2016-105459"/>
    <x v="577"/>
    <d v="2016-08-17T00:00:00"/>
    <x v="0"/>
    <s v="NP-18700"/>
    <s v="Nora Preis"/>
    <x v="0"/>
    <s v="United States"/>
    <x v="13"/>
    <x v="7"/>
    <x v="2"/>
    <s v="FUR-TA-10001095"/>
    <s v="Furniture"/>
    <x v="2"/>
    <s v="Chromcraft Round Conference Tables"/>
    <n v="209.148"/>
    <n v="2"/>
    <n v="0.4"/>
    <n v="-66.230199999999996"/>
    <x v="2"/>
    <x v="10"/>
  </r>
  <r>
    <s v="CA-2017-162789"/>
    <x v="320"/>
    <d v="2017-09-24T00:00:00"/>
    <x v="0"/>
    <s v="LC-17140"/>
    <s v="Logan Currie"/>
    <x v="0"/>
    <s v="United States"/>
    <x v="13"/>
    <x v="7"/>
    <x v="2"/>
    <s v="FUR-FU-10004864"/>
    <s v="Furniture"/>
    <x v="3"/>
    <s v="Eldon 500 Class Desk Accessories"/>
    <n v="12.07"/>
    <n v="1"/>
    <n v="0"/>
    <n v="3.9830999999999999"/>
    <x v="3"/>
    <x v="4"/>
  </r>
  <r>
    <s v="US-2017-110149"/>
    <x v="247"/>
    <d v="2017-12-13T00:00:00"/>
    <x v="2"/>
    <s v="WB-21850"/>
    <s v="William Brown"/>
    <x v="0"/>
    <s v="United States"/>
    <x v="3"/>
    <x v="3"/>
    <x v="2"/>
    <s v="FUR-FU-10001475"/>
    <s v="Furniture"/>
    <x v="3"/>
    <s v="Contract Clock, 14&quot;, Brown"/>
    <n v="87.92"/>
    <n v="5"/>
    <n v="0.2"/>
    <n v="15.385999999999999"/>
    <x v="0"/>
    <x v="5"/>
  </r>
  <r>
    <s v="CA-2015-164777"/>
    <x v="369"/>
    <d v="2015-01-29T00:00:00"/>
    <x v="2"/>
    <s v="SC-20305"/>
    <s v="Sean Christensen"/>
    <x v="0"/>
    <s v="United States"/>
    <x v="2"/>
    <x v="2"/>
    <x v="1"/>
    <s v="FUR-CH-10002024"/>
    <s v="Furniture"/>
    <x v="1"/>
    <s v="HON 5400 Series Task Chairs for Big and Tall"/>
    <n v="2803.92"/>
    <n v="5"/>
    <n v="0.2"/>
    <n v="0"/>
    <x v="3"/>
    <x v="8"/>
  </r>
  <r>
    <s v="CA-2015-127824"/>
    <x v="862"/>
    <d v="2015-10-22T00:00:00"/>
    <x v="1"/>
    <s v="JC-15775"/>
    <s v="John Castell"/>
    <x v="0"/>
    <s v="United States"/>
    <x v="15"/>
    <x v="13"/>
    <x v="1"/>
    <s v="FUR-FU-10002505"/>
    <s v="Furniture"/>
    <x v="3"/>
    <s v="Eldon 100 Class Desk Accessories"/>
    <n v="10.11"/>
    <n v="3"/>
    <n v="0"/>
    <n v="3.2351999999999999"/>
    <x v="4"/>
    <x v="1"/>
  </r>
  <r>
    <s v="CA-2014-116246"/>
    <x v="639"/>
    <d v="2014-09-17T00:00:00"/>
    <x v="0"/>
    <s v="LW-17215"/>
    <s v="Luke Weiss"/>
    <x v="0"/>
    <s v="United States"/>
    <x v="13"/>
    <x v="7"/>
    <x v="2"/>
    <s v="FUR-CH-10002024"/>
    <s v="Furniture"/>
    <x v="1"/>
    <s v="HON 5400 Series Task Chairs for Big and Tall"/>
    <n v="3785.2919999999999"/>
    <n v="6"/>
    <n v="0.1"/>
    <n v="420.58800000000002"/>
    <x v="2"/>
    <x v="4"/>
  </r>
  <r>
    <s v="CA-2014-167486"/>
    <x v="863"/>
    <d v="2014-12-01T00:00:00"/>
    <x v="1"/>
    <s v="JO-15145"/>
    <s v="Jack O'Briant"/>
    <x v="1"/>
    <s v="United States"/>
    <x v="252"/>
    <x v="7"/>
    <x v="2"/>
    <s v="FUR-FU-10003268"/>
    <s v="Furniture"/>
    <x v="3"/>
    <s v="Eldon Radial Chair Mat for Low to Medium Pile Carpets"/>
    <n v="199.9"/>
    <n v="5"/>
    <n v="0"/>
    <n v="39.979999999999997"/>
    <x v="4"/>
    <x v="0"/>
  </r>
  <r>
    <s v="CA-2014-152100"/>
    <x v="89"/>
    <d v="2014-05-16T00:00:00"/>
    <x v="1"/>
    <s v="VW-21775"/>
    <s v="Victoria Wilson"/>
    <x v="1"/>
    <s v="United States"/>
    <x v="156"/>
    <x v="5"/>
    <x v="3"/>
    <s v="FUR-CH-10000015"/>
    <s v="Furniture"/>
    <x v="1"/>
    <s v="Hon Multipurpose Stacking Arm Chairs"/>
    <n v="1212.96"/>
    <n v="8"/>
    <n v="0.3"/>
    <n v="-69.311999999999998"/>
    <x v="2"/>
    <x v="7"/>
  </r>
  <r>
    <s v="CA-2015-166219"/>
    <x v="797"/>
    <d v="2015-09-01T00:00:00"/>
    <x v="1"/>
    <s v="BP-11185"/>
    <s v="Ben Peterman"/>
    <x v="1"/>
    <s v="United States"/>
    <x v="144"/>
    <x v="5"/>
    <x v="3"/>
    <s v="FUR-TA-10004607"/>
    <s v="Furniture"/>
    <x v="2"/>
    <s v="Hon 2111 Invitation Series Straight Table"/>
    <n v="103.48099999999999"/>
    <n v="1"/>
    <n v="0.3"/>
    <n v="-16.261299999999999"/>
    <x v="4"/>
    <x v="10"/>
  </r>
  <r>
    <s v="CA-2017-136882"/>
    <x v="706"/>
    <d v="2017-06-03T00:00:00"/>
    <x v="1"/>
    <s v="DN-13690"/>
    <s v="Duane Noonan"/>
    <x v="0"/>
    <s v="United States"/>
    <x v="169"/>
    <x v="37"/>
    <x v="3"/>
    <s v="FUR-FU-10003664"/>
    <s v="Furniture"/>
    <x v="3"/>
    <s v="Electrix Architect's Clamp-On Swing Arm Lamp, Black"/>
    <n v="477.3"/>
    <n v="5"/>
    <n v="0"/>
    <n v="138.417"/>
    <x v="1"/>
    <x v="7"/>
  </r>
  <r>
    <s v="US-2017-109610"/>
    <x v="608"/>
    <d v="2017-11-30T00:00:00"/>
    <x v="0"/>
    <s v="BS-11590"/>
    <s v="Brendan Sweed"/>
    <x v="1"/>
    <s v="United States"/>
    <x v="74"/>
    <x v="0"/>
    <x v="0"/>
    <s v="FUR-CH-10001854"/>
    <s v="Furniture"/>
    <x v="1"/>
    <s v="Office Star - Professional Matrix Back Chair with 2-to-1 Synchro Tilt and Mesh Fabric Seat"/>
    <n v="701.96"/>
    <n v="2"/>
    <n v="0"/>
    <n v="168.47040000000001"/>
    <x v="2"/>
    <x v="0"/>
  </r>
  <r>
    <s v="CA-2016-126858"/>
    <x v="185"/>
    <d v="2016-11-23T00:00:00"/>
    <x v="1"/>
    <s v="JM-15265"/>
    <s v="Janet Molinari"/>
    <x v="1"/>
    <s v="United States"/>
    <x v="15"/>
    <x v="13"/>
    <x v="1"/>
    <s v="FUR-FU-10000448"/>
    <s v="Furniture"/>
    <x v="3"/>
    <s v="Tenex Chairmats For Use With Carpeted Floors"/>
    <n v="31.96"/>
    <n v="2"/>
    <n v="0"/>
    <n v="1.5980000000000001"/>
    <x v="4"/>
    <x v="0"/>
  </r>
  <r>
    <s v="CA-2017-102925"/>
    <x v="864"/>
    <d v="2017-11-10T00:00:00"/>
    <x v="0"/>
    <s v="CD-12280"/>
    <s v="Christina DeMoss"/>
    <x v="0"/>
    <s v="United States"/>
    <x v="13"/>
    <x v="7"/>
    <x v="2"/>
    <s v="FUR-TA-10003469"/>
    <s v="Furniture"/>
    <x v="2"/>
    <s v="Balt Split Level Computer Training Table"/>
    <n v="166.5"/>
    <n v="2"/>
    <n v="0.4"/>
    <n v="-66.599999999999994"/>
    <x v="2"/>
    <x v="0"/>
  </r>
  <r>
    <s v="CA-2017-102925"/>
    <x v="864"/>
    <d v="2017-11-10T00:00:00"/>
    <x v="0"/>
    <s v="CD-12280"/>
    <s v="Christina DeMoss"/>
    <x v="0"/>
    <s v="United States"/>
    <x v="13"/>
    <x v="7"/>
    <x v="2"/>
    <s v="FUR-CH-10004875"/>
    <s v="Furniture"/>
    <x v="1"/>
    <s v="Harbour Creations 67200 Series Stacking Chairs"/>
    <n v="128.124"/>
    <n v="2"/>
    <n v="0.1"/>
    <n v="24.2012"/>
    <x v="2"/>
    <x v="0"/>
  </r>
  <r>
    <s v="CA-2017-102925"/>
    <x v="864"/>
    <d v="2017-11-10T00:00:00"/>
    <x v="0"/>
    <s v="CD-12280"/>
    <s v="Christina DeMoss"/>
    <x v="0"/>
    <s v="United States"/>
    <x v="13"/>
    <x v="7"/>
    <x v="2"/>
    <s v="FUR-FU-10004245"/>
    <s v="Furniture"/>
    <x v="3"/>
    <s v="Career Cubicle Clock, 8 1/4&quot;, Black"/>
    <n v="101.4"/>
    <n v="5"/>
    <n v="0"/>
    <n v="38.531999999999996"/>
    <x v="2"/>
    <x v="0"/>
  </r>
  <r>
    <s v="CA-2015-100818"/>
    <x v="151"/>
    <d v="2015-06-05T00:00:00"/>
    <x v="0"/>
    <s v="JM-15265"/>
    <s v="Janet Molinari"/>
    <x v="1"/>
    <s v="United States"/>
    <x v="9"/>
    <x v="8"/>
    <x v="3"/>
    <s v="FUR-FU-10002703"/>
    <s v="Furniture"/>
    <x v="3"/>
    <s v="Tenex Traditional Chairmats for Hard Floors, Average Lip, 36&quot; x 48&quot;"/>
    <n v="51.56"/>
    <n v="2"/>
    <n v="0.6"/>
    <n v="-61.872"/>
    <x v="2"/>
    <x v="7"/>
  </r>
  <r>
    <s v="CA-2016-164770"/>
    <x v="674"/>
    <d v="2016-12-04T00:00:00"/>
    <x v="0"/>
    <s v="MY-18295"/>
    <s v="Muhammed Yedwab"/>
    <x v="1"/>
    <s v="United States"/>
    <x v="6"/>
    <x v="5"/>
    <x v="3"/>
    <s v="FUR-BO-10003893"/>
    <s v="Furniture"/>
    <x v="0"/>
    <s v="Sauder Camden County Collection Library"/>
    <n v="781.86400000000003"/>
    <n v="10"/>
    <n v="0.32"/>
    <n v="-137.976"/>
    <x v="3"/>
    <x v="5"/>
  </r>
  <r>
    <s v="CA-2017-130505"/>
    <x v="176"/>
    <d v="2017-10-12T00:00:00"/>
    <x v="3"/>
    <s v="NF-18385"/>
    <s v="Natalie Fritzler"/>
    <x v="0"/>
    <s v="United States"/>
    <x v="167"/>
    <x v="47"/>
    <x v="2"/>
    <s v="FUR-TA-10001932"/>
    <s v="Furniture"/>
    <x v="2"/>
    <s v="Chromcraft 48&quot; x 96&quot; Racetrack Double Pedestal Table"/>
    <n v="673.34400000000005"/>
    <n v="3"/>
    <n v="0.3"/>
    <n v="-76.953599999999994"/>
    <x v="7"/>
    <x v="1"/>
  </r>
  <r>
    <s v="CA-2016-105207"/>
    <x v="865"/>
    <d v="2016-01-08T00:00:00"/>
    <x v="1"/>
    <s v="BO-11350"/>
    <s v="Bill Overfelt"/>
    <x v="1"/>
    <s v="United States"/>
    <x v="364"/>
    <x v="37"/>
    <x v="3"/>
    <s v="FUR-TA-10000617"/>
    <s v="Furniture"/>
    <x v="2"/>
    <s v="Hon Practical Foundations 30 x 60 Training Table, Light Gray/Charcoal"/>
    <n v="1592.85"/>
    <n v="7"/>
    <n v="0"/>
    <n v="350.42700000000002"/>
    <x v="2"/>
    <x v="8"/>
  </r>
  <r>
    <s v="CA-2016-149237"/>
    <x v="205"/>
    <d v="2016-05-30T00:00:00"/>
    <x v="1"/>
    <s v="CM-12235"/>
    <s v="Chris McAfee"/>
    <x v="0"/>
    <s v="United States"/>
    <x v="79"/>
    <x v="16"/>
    <x v="3"/>
    <s v="FUR-FU-10002088"/>
    <s v="Furniture"/>
    <x v="3"/>
    <s v="Nu-Dell Float Frame 11 x 14 1/2"/>
    <n v="26.94"/>
    <n v="3"/>
    <n v="0"/>
    <n v="11.3148"/>
    <x v="4"/>
    <x v="7"/>
  </r>
  <r>
    <s v="US-2015-158589"/>
    <x v="141"/>
    <d v="2015-11-24T00:00:00"/>
    <x v="1"/>
    <s v="KW-16570"/>
    <s v="Kelly Williams"/>
    <x v="0"/>
    <s v="United States"/>
    <x v="28"/>
    <x v="2"/>
    <x v="1"/>
    <s v="FUR-FU-10001546"/>
    <s v="Furniture"/>
    <x v="3"/>
    <s v="Dana Swing-Arm Lamps"/>
    <n v="32.04"/>
    <n v="3"/>
    <n v="0"/>
    <n v="8.01"/>
    <x v="4"/>
    <x v="0"/>
  </r>
  <r>
    <s v="CA-2017-142461"/>
    <x v="703"/>
    <d v="2017-06-03T00:00:00"/>
    <x v="0"/>
    <s v="KT-16480"/>
    <s v="Kean Thornton"/>
    <x v="0"/>
    <s v="United States"/>
    <x v="144"/>
    <x v="5"/>
    <x v="3"/>
    <s v="FUR-BO-10001811"/>
    <s v="Furniture"/>
    <x v="0"/>
    <s v="Atlantic Metals Mobile 5-Shelf Bookcases, Custom Colors"/>
    <n v="204.66640000000001"/>
    <n v="1"/>
    <n v="0.32"/>
    <n v="-6.0195999999999996"/>
    <x v="4"/>
    <x v="7"/>
  </r>
  <r>
    <s v="CA-2017-156958"/>
    <x v="446"/>
    <d v="2017-12-06T00:00:00"/>
    <x v="2"/>
    <s v="PB-18805"/>
    <s v="Patrick Bzostek"/>
    <x v="2"/>
    <s v="United States"/>
    <x v="15"/>
    <x v="13"/>
    <x v="1"/>
    <s v="FUR-FU-10003268"/>
    <s v="Furniture"/>
    <x v="3"/>
    <s v="Eldon Radial Chair Mat for Low to Medium Pile Carpets"/>
    <n v="199.9"/>
    <n v="5"/>
    <n v="0"/>
    <n v="39.979999999999997"/>
    <x v="5"/>
    <x v="5"/>
  </r>
  <r>
    <s v="CA-2016-116596"/>
    <x v="78"/>
    <d v="2016-10-31T00:00:00"/>
    <x v="1"/>
    <s v="BW-11200"/>
    <s v="Ben Wallace"/>
    <x v="0"/>
    <s v="United States"/>
    <x v="13"/>
    <x v="7"/>
    <x v="2"/>
    <s v="FUR-CH-10000553"/>
    <s v="Furniture"/>
    <x v="1"/>
    <s v="Metal Folding Chairs, Beige, 4/Carton"/>
    <n v="427.64400000000001"/>
    <n v="14"/>
    <n v="0.1"/>
    <n v="80.777199999999993"/>
    <x v="4"/>
    <x v="1"/>
  </r>
  <r>
    <s v="CA-2017-124191"/>
    <x v="235"/>
    <d v="2017-06-14T00:00:00"/>
    <x v="0"/>
    <s v="TS-21610"/>
    <s v="Troy Staebel"/>
    <x v="0"/>
    <s v="United States"/>
    <x v="9"/>
    <x v="8"/>
    <x v="3"/>
    <s v="FUR-FU-10002364"/>
    <s v="Furniture"/>
    <x v="3"/>
    <s v="Eldon Expressions Wood Desk Accessories, Oak"/>
    <n v="8.8559999999999999"/>
    <n v="3"/>
    <n v="0.6"/>
    <n v="-6.8634000000000004"/>
    <x v="3"/>
    <x v="2"/>
  </r>
  <r>
    <s v="CA-2016-148747"/>
    <x v="228"/>
    <d v="2016-09-27T00:00:00"/>
    <x v="2"/>
    <s v="AS-10045"/>
    <s v="Aaron Smayling"/>
    <x v="1"/>
    <s v="United States"/>
    <x v="28"/>
    <x v="2"/>
    <x v="1"/>
    <s v="FUR-BO-10002613"/>
    <s v="Furniture"/>
    <x v="0"/>
    <s v="Atlantic Metals Mobile 4-Shelf Bookcases, Custom Colors"/>
    <n v="477.666"/>
    <n v="2"/>
    <n v="0.15"/>
    <n v="84.293999999999997"/>
    <x v="3"/>
    <x v="4"/>
  </r>
  <r>
    <s v="CA-2015-135727"/>
    <x v="866"/>
    <d v="2015-05-16T00:00:00"/>
    <x v="0"/>
    <s v="PS-18970"/>
    <s v="Paul Stevenson"/>
    <x v="2"/>
    <s v="United States"/>
    <x v="43"/>
    <x v="22"/>
    <x v="1"/>
    <s v="FUR-CH-10004540"/>
    <s v="Furniture"/>
    <x v="1"/>
    <s v="Global Chrome Stack Chair"/>
    <n v="191.96799999999999"/>
    <n v="7"/>
    <n v="0.2"/>
    <n v="16.7972"/>
    <x v="2"/>
    <x v="7"/>
  </r>
  <r>
    <s v="CA-2015-135251"/>
    <x v="867"/>
    <d v="2015-08-10T00:00:00"/>
    <x v="1"/>
    <s v="RP-19270"/>
    <s v="Rachel Payne"/>
    <x v="1"/>
    <s v="United States"/>
    <x v="6"/>
    <x v="5"/>
    <x v="3"/>
    <s v="FUR-BO-10003965"/>
    <s v="Furniture"/>
    <x v="0"/>
    <s v="O'Sullivan Manor Hill 2-Door Library in Brianna Oak"/>
    <n v="369.19920000000002"/>
    <n v="3"/>
    <n v="0.32"/>
    <n v="-114.01739999999999"/>
    <x v="4"/>
    <x v="10"/>
  </r>
  <r>
    <s v="CA-2016-125724"/>
    <x v="710"/>
    <d v="2016-09-27T00:00:00"/>
    <x v="1"/>
    <s v="SM-20950"/>
    <s v="Suzanne McNair"/>
    <x v="1"/>
    <s v="United States"/>
    <x v="131"/>
    <x v="12"/>
    <x v="1"/>
    <s v="FUR-FU-10000246"/>
    <s v="Furniture"/>
    <x v="3"/>
    <s v="Aluminum Document Frame"/>
    <n v="68.432000000000002"/>
    <n v="7"/>
    <n v="0.2"/>
    <n v="8.5540000000000003"/>
    <x v="2"/>
    <x v="4"/>
  </r>
  <r>
    <s v="CA-2015-111612"/>
    <x v="44"/>
    <d v="2015-12-02T00:00:00"/>
    <x v="1"/>
    <s v="EB-14110"/>
    <s v="Eugene Barchas"/>
    <x v="0"/>
    <s v="United States"/>
    <x v="29"/>
    <x v="15"/>
    <x v="2"/>
    <s v="FUR-FU-10003799"/>
    <s v="Furniture"/>
    <x v="3"/>
    <s v="Seth Thomas 13 1/2&quot; Wall Clock"/>
    <n v="71.12"/>
    <n v="5"/>
    <n v="0.2"/>
    <n v="9.7789999999999999"/>
    <x v="4"/>
    <x v="0"/>
  </r>
  <r>
    <s v="CA-2014-103086"/>
    <x v="868"/>
    <d v="2014-10-19T00:00:00"/>
    <x v="0"/>
    <s v="EB-14170"/>
    <s v="Evan Bailliet"/>
    <x v="0"/>
    <s v="United States"/>
    <x v="6"/>
    <x v="5"/>
    <x v="3"/>
    <s v="FUR-FU-10004586"/>
    <s v="Furniture"/>
    <x v="3"/>
    <s v="G.E. Longer-Life Indoor Recessed Floodlight Bulbs"/>
    <n v="5.3120000000000003"/>
    <n v="2"/>
    <n v="0.6"/>
    <n v="-1.5935999999999999"/>
    <x v="3"/>
    <x v="1"/>
  </r>
  <r>
    <s v="CA-2016-129280"/>
    <x v="869"/>
    <d v="2016-05-05T00:00:00"/>
    <x v="2"/>
    <s v="SM-20905"/>
    <s v="Susan MacKendrick"/>
    <x v="0"/>
    <s v="United States"/>
    <x v="19"/>
    <x v="15"/>
    <x v="2"/>
    <s v="FUR-FU-10001876"/>
    <s v="Furniture"/>
    <x v="3"/>
    <s v="Computer Room Manger, 14&quot;"/>
    <n v="51.968000000000004"/>
    <n v="2"/>
    <n v="0.2"/>
    <n v="10.393599999999999"/>
    <x v="3"/>
    <x v="7"/>
  </r>
  <r>
    <s v="CA-2014-130428"/>
    <x v="870"/>
    <d v="2014-03-31T00:00:00"/>
    <x v="3"/>
    <s v="TG-21640"/>
    <s v="Trudy Glocke"/>
    <x v="0"/>
    <s v="United States"/>
    <x v="26"/>
    <x v="1"/>
    <x v="0"/>
    <s v="FUR-CH-10002965"/>
    <s v="Furniture"/>
    <x v="1"/>
    <s v="Global Leather Highback Executive Chair with Pneumatic Height Adjustment, Black"/>
    <n v="1125.4880000000001"/>
    <n v="7"/>
    <n v="0.2"/>
    <n v="98.480199999999996"/>
    <x v="7"/>
    <x v="9"/>
  </r>
  <r>
    <s v="CA-2015-148495"/>
    <x v="871"/>
    <d v="2015-08-13T00:00:00"/>
    <x v="3"/>
    <s v="SF-20065"/>
    <s v="Sandra Flanagan"/>
    <x v="0"/>
    <s v="United States"/>
    <x v="135"/>
    <x v="2"/>
    <x v="1"/>
    <s v="FUR-FU-10001889"/>
    <s v="Furniture"/>
    <x v="3"/>
    <s v="Ultra Door Pull Handle"/>
    <n v="31.56"/>
    <n v="3"/>
    <n v="0"/>
    <n v="10.4148"/>
    <x v="7"/>
    <x v="10"/>
  </r>
  <r>
    <s v="CA-2015-143147"/>
    <x v="753"/>
    <d v="2015-05-28T00:00:00"/>
    <x v="0"/>
    <s v="PS-18760"/>
    <s v="Pamela Stobb"/>
    <x v="0"/>
    <s v="United States"/>
    <x v="21"/>
    <x v="5"/>
    <x v="3"/>
    <s v="FUR-CH-10000863"/>
    <s v="Furniture"/>
    <x v="1"/>
    <s v="Novimex Swivel Fabric Task Chair"/>
    <n v="105.68600000000001"/>
    <n v="1"/>
    <n v="0.3"/>
    <n v="-28.686199999999999"/>
    <x v="3"/>
    <x v="7"/>
  </r>
  <r>
    <s v="CA-2015-143147"/>
    <x v="753"/>
    <d v="2015-05-28T00:00:00"/>
    <x v="0"/>
    <s v="PS-18760"/>
    <s v="Pamela Stobb"/>
    <x v="0"/>
    <s v="United States"/>
    <x v="21"/>
    <x v="5"/>
    <x v="3"/>
    <s v="FUR-CH-10004754"/>
    <s v="Furniture"/>
    <x v="1"/>
    <s v="Global Stack Chair with Arms, Black"/>
    <n v="104.93"/>
    <n v="5"/>
    <n v="0.3"/>
    <n v="-4.4969999999999999"/>
    <x v="3"/>
    <x v="7"/>
  </r>
  <r>
    <s v="CA-2017-152975"/>
    <x v="732"/>
    <d v="2017-09-16T00:00:00"/>
    <x v="2"/>
    <s v="RB-19705"/>
    <s v="Roger Barcio"/>
    <x v="2"/>
    <s v="United States"/>
    <x v="13"/>
    <x v="7"/>
    <x v="2"/>
    <s v="FUR-CH-10003298"/>
    <s v="Furniture"/>
    <x v="1"/>
    <s v="Office Star - Contemporary Task Swivel chair with Loop Arms, Charcoal"/>
    <n v="589.41"/>
    <n v="5"/>
    <n v="0.1"/>
    <n v="-6.5490000000000004"/>
    <x v="3"/>
    <x v="4"/>
  </r>
  <r>
    <s v="CA-2017-116127"/>
    <x v="542"/>
    <d v="2017-06-27T00:00:00"/>
    <x v="0"/>
    <s v="SB-20185"/>
    <s v="Sarah Brown"/>
    <x v="0"/>
    <s v="United States"/>
    <x v="13"/>
    <x v="7"/>
    <x v="2"/>
    <s v="FUR-BO-10002213"/>
    <s v="Furniture"/>
    <x v="0"/>
    <s v="DMI Eclipse Executive Suite Bookcases"/>
    <n v="400.78399999999999"/>
    <n v="1"/>
    <n v="0.2"/>
    <n v="-5.0098000000000003"/>
    <x v="3"/>
    <x v="2"/>
  </r>
  <r>
    <s v="US-2016-105452"/>
    <x v="830"/>
    <d v="2016-08-01T00:00:00"/>
    <x v="1"/>
    <s v="BF-11005"/>
    <s v="Barry Franz"/>
    <x v="2"/>
    <s v="United States"/>
    <x v="102"/>
    <x v="5"/>
    <x v="3"/>
    <s v="FUR-FU-10003691"/>
    <s v="Furniture"/>
    <x v="3"/>
    <s v="Eldon Image Series Desk Accessories, Ebony"/>
    <n v="24.7"/>
    <n v="5"/>
    <n v="0.6"/>
    <n v="-9.8800000000000008"/>
    <x v="4"/>
    <x v="3"/>
  </r>
  <r>
    <s v="US-2016-105452"/>
    <x v="830"/>
    <d v="2016-08-01T00:00:00"/>
    <x v="1"/>
    <s v="BF-11005"/>
    <s v="Barry Franz"/>
    <x v="2"/>
    <s v="United States"/>
    <x v="102"/>
    <x v="5"/>
    <x v="3"/>
    <s v="FUR-FU-10003806"/>
    <s v="Furniture"/>
    <x v="3"/>
    <s v="Tenex Chairmat w/ Average Lip, 45&quot; x 53&quot;"/>
    <n v="302.72000000000003"/>
    <n v="5"/>
    <n v="0.6"/>
    <n v="-378.4"/>
    <x v="4"/>
    <x v="3"/>
  </r>
  <r>
    <s v="CA-2015-149517"/>
    <x v="208"/>
    <d v="2015-09-23T00:00:00"/>
    <x v="1"/>
    <s v="FC-14245"/>
    <s v="Frank Carlisle"/>
    <x v="2"/>
    <s v="United States"/>
    <x v="155"/>
    <x v="2"/>
    <x v="1"/>
    <s v="FUR-FU-10003464"/>
    <s v="Furniture"/>
    <x v="3"/>
    <s v="Seth Thomas 8 1/2&quot; Cubicle Clock"/>
    <n v="60.84"/>
    <n v="3"/>
    <n v="0"/>
    <n v="19.468800000000002"/>
    <x v="4"/>
    <x v="4"/>
  </r>
  <r>
    <s v="CA-2016-129861"/>
    <x v="9"/>
    <d v="2016-06-23T00:00:00"/>
    <x v="1"/>
    <s v="DM-13345"/>
    <s v="Denise Monton"/>
    <x v="1"/>
    <s v="United States"/>
    <x v="77"/>
    <x v="7"/>
    <x v="2"/>
    <s v="FUR-TA-10003715"/>
    <s v="Furniture"/>
    <x v="2"/>
    <s v="Hon 2111 Invitation Series Corner Table"/>
    <n v="376.86599999999999"/>
    <n v="3"/>
    <n v="0.4"/>
    <n v="-213.5574"/>
    <x v="6"/>
    <x v="2"/>
  </r>
  <r>
    <s v="CA-2016-130638"/>
    <x v="872"/>
    <d v="2016-05-19T00:00:00"/>
    <x v="0"/>
    <s v="SC-20095"/>
    <s v="Sanjit Chand"/>
    <x v="0"/>
    <s v="United States"/>
    <x v="2"/>
    <x v="2"/>
    <x v="1"/>
    <s v="FUR-FU-10002116"/>
    <s v="Furniture"/>
    <x v="3"/>
    <s v="Tenex Carpeted, Granite-Look or Clear Contemporary Contour Shape Chair Mats"/>
    <n v="282.83999999999997"/>
    <n v="4"/>
    <n v="0"/>
    <n v="19.7988"/>
    <x v="0"/>
    <x v="7"/>
  </r>
  <r>
    <s v="CA-2017-137449"/>
    <x v="656"/>
    <d v="2017-06-30T00:00:00"/>
    <x v="2"/>
    <s v="ME-17725"/>
    <s v="Max Engle"/>
    <x v="0"/>
    <s v="United States"/>
    <x v="144"/>
    <x v="5"/>
    <x v="3"/>
    <s v="FUR-TA-10002855"/>
    <s v="Furniture"/>
    <x v="2"/>
    <s v="Bevis Round Conference Table Top &amp; Single Column Base"/>
    <n v="307.31400000000002"/>
    <n v="3"/>
    <n v="0.3"/>
    <n v="-39.511800000000001"/>
    <x v="5"/>
    <x v="2"/>
  </r>
  <r>
    <s v="CA-2017-137449"/>
    <x v="656"/>
    <d v="2017-06-30T00:00:00"/>
    <x v="2"/>
    <s v="ME-17725"/>
    <s v="Max Engle"/>
    <x v="0"/>
    <s v="United States"/>
    <x v="144"/>
    <x v="5"/>
    <x v="3"/>
    <s v="FUR-BO-10000780"/>
    <s v="Furniture"/>
    <x v="0"/>
    <s v="O'Sullivan Plantations 2-Door Library in Landvery Oak"/>
    <n v="409.99919999999997"/>
    <n v="3"/>
    <n v="0.32"/>
    <n v="-96.470399999999998"/>
    <x v="5"/>
    <x v="2"/>
  </r>
  <r>
    <s v="CA-2014-151330"/>
    <x v="873"/>
    <d v="2014-10-17T00:00:00"/>
    <x v="2"/>
    <s v="TC-21295"/>
    <s v="Toby Carlisle"/>
    <x v="0"/>
    <s v="United States"/>
    <x v="114"/>
    <x v="20"/>
    <x v="2"/>
    <s v="FUR-CH-10000749"/>
    <s v="Furniture"/>
    <x v="1"/>
    <s v="Office Star - Ergonomic Mid Back Chair with 2-Way Adjustable Arms"/>
    <n v="1628.82"/>
    <n v="9"/>
    <n v="0"/>
    <n v="260.6112"/>
    <x v="0"/>
    <x v="1"/>
  </r>
  <r>
    <s v="CA-2014-124702"/>
    <x v="356"/>
    <d v="2014-11-25T00:00:00"/>
    <x v="1"/>
    <s v="MH-17785"/>
    <s v="Maya Herman"/>
    <x v="1"/>
    <s v="United States"/>
    <x v="15"/>
    <x v="13"/>
    <x v="1"/>
    <s v="FUR-FU-10003553"/>
    <s v="Furniture"/>
    <x v="3"/>
    <s v="Howard Miller 13-1/2&quot; Diameter Rosebrook Wall Clock"/>
    <n v="137.54"/>
    <n v="2"/>
    <n v="0"/>
    <n v="55.015999999999998"/>
    <x v="1"/>
    <x v="0"/>
  </r>
  <r>
    <s v="CA-2014-124702"/>
    <x v="356"/>
    <d v="2014-11-25T00:00:00"/>
    <x v="1"/>
    <s v="MH-17785"/>
    <s v="Maya Herman"/>
    <x v="1"/>
    <s v="United States"/>
    <x v="15"/>
    <x v="13"/>
    <x v="1"/>
    <s v="FUR-TA-10003008"/>
    <s v="Furniture"/>
    <x v="2"/>
    <s v="Lesro Round Back Collection Coffee Table, End Table"/>
    <n v="730.2"/>
    <n v="4"/>
    <n v="0"/>
    <n v="94.926000000000002"/>
    <x v="1"/>
    <x v="0"/>
  </r>
  <r>
    <s v="CA-2015-116638"/>
    <x v="874"/>
    <d v="2015-01-31T00:00:00"/>
    <x v="0"/>
    <s v="JH-15985"/>
    <s v="Joseph Holt"/>
    <x v="0"/>
    <s v="United States"/>
    <x v="41"/>
    <x v="30"/>
    <x v="0"/>
    <s v="FUR-TA-10000198"/>
    <s v="Furniture"/>
    <x v="2"/>
    <s v="Chromcraft Bull-Nose Wood Oval Conference Tables &amp; Bases"/>
    <n v="4297.6440000000002"/>
    <n v="13"/>
    <n v="0.4"/>
    <n v="-1862.3124"/>
    <x v="0"/>
    <x v="8"/>
  </r>
  <r>
    <s v="CA-2014-104563"/>
    <x v="600"/>
    <d v="2014-03-12T00:00:00"/>
    <x v="1"/>
    <s v="CM-12715"/>
    <s v="Craig Molinari"/>
    <x v="1"/>
    <s v="United States"/>
    <x v="15"/>
    <x v="13"/>
    <x v="1"/>
    <s v="FUR-CH-10002780"/>
    <s v="Furniture"/>
    <x v="1"/>
    <s v="Office Star - Task Chair with Contemporary Loop Arms"/>
    <n v="436.70400000000001"/>
    <n v="6"/>
    <n v="0.2"/>
    <n v="21.8352"/>
    <x v="2"/>
    <x v="9"/>
  </r>
  <r>
    <s v="CA-2014-104563"/>
    <x v="600"/>
    <d v="2014-03-12T00:00:00"/>
    <x v="1"/>
    <s v="CM-12715"/>
    <s v="Craig Molinari"/>
    <x v="1"/>
    <s v="United States"/>
    <x v="15"/>
    <x v="13"/>
    <x v="1"/>
    <s v="FUR-CH-10004495"/>
    <s v="Furniture"/>
    <x v="1"/>
    <s v="Global Leather and Oak Executive Chair, Black"/>
    <n v="481.56799999999998"/>
    <n v="2"/>
    <n v="0.2"/>
    <n v="54.176400000000001"/>
    <x v="2"/>
    <x v="9"/>
  </r>
  <r>
    <s v="CA-2016-107104"/>
    <x v="675"/>
    <d v="2016-11-30T00:00:00"/>
    <x v="1"/>
    <s v="MS-17365"/>
    <s v="Maribeth Schnelling"/>
    <x v="0"/>
    <s v="United States"/>
    <x v="2"/>
    <x v="2"/>
    <x v="1"/>
    <s v="FUR-BO-10002213"/>
    <s v="Furniture"/>
    <x v="0"/>
    <s v="DMI Eclipse Executive Suite Bookcases"/>
    <n v="3406.6640000000002"/>
    <n v="8"/>
    <n v="0.15"/>
    <n v="160.31360000000001"/>
    <x v="4"/>
    <x v="0"/>
  </r>
  <r>
    <s v="CA-2016-107104"/>
    <x v="675"/>
    <d v="2016-11-30T00:00:00"/>
    <x v="1"/>
    <s v="MS-17365"/>
    <s v="Maribeth Schnelling"/>
    <x v="0"/>
    <s v="United States"/>
    <x v="2"/>
    <x v="2"/>
    <x v="1"/>
    <s v="FUR-FU-10002937"/>
    <s v="Furniture"/>
    <x v="3"/>
    <s v="GE 48&quot; Fluorescent Tube, Cool White Energy Saver, 34 Watts, 30/Box"/>
    <n v="595.38"/>
    <n v="6"/>
    <n v="0"/>
    <n v="297.69"/>
    <x v="4"/>
    <x v="0"/>
  </r>
  <r>
    <s v="CA-2014-156160"/>
    <x v="875"/>
    <d v="2014-09-29T00:00:00"/>
    <x v="1"/>
    <s v="AS-10090"/>
    <s v="Adam Shillingsburg"/>
    <x v="0"/>
    <s v="United States"/>
    <x v="13"/>
    <x v="7"/>
    <x v="2"/>
    <s v="FUR-FU-10001876"/>
    <s v="Furniture"/>
    <x v="3"/>
    <s v="Computer Room Manger, 14&quot;"/>
    <n v="97.44"/>
    <n v="3"/>
    <n v="0"/>
    <n v="35.078400000000002"/>
    <x v="1"/>
    <x v="4"/>
  </r>
  <r>
    <s v="CA-2014-156160"/>
    <x v="875"/>
    <d v="2014-09-29T00:00:00"/>
    <x v="1"/>
    <s v="AS-10090"/>
    <s v="Adam Shillingsburg"/>
    <x v="0"/>
    <s v="United States"/>
    <x v="13"/>
    <x v="7"/>
    <x v="2"/>
    <s v="FUR-CH-10004983"/>
    <s v="Furniture"/>
    <x v="1"/>
    <s v="Office Star - Mid Back Dual function Ergonomic High Back Chair with 2-Way Adjustable Arms"/>
    <n v="579.52800000000002"/>
    <n v="4"/>
    <n v="0.1"/>
    <n v="83.709599999999995"/>
    <x v="1"/>
    <x v="4"/>
  </r>
  <r>
    <s v="CA-2017-157448"/>
    <x v="716"/>
    <d v="2017-11-20T00:00:00"/>
    <x v="1"/>
    <s v="LC-16885"/>
    <s v="Lena Creighton"/>
    <x v="0"/>
    <s v="United States"/>
    <x v="2"/>
    <x v="2"/>
    <x v="1"/>
    <s v="FUR-FU-10003268"/>
    <s v="Furniture"/>
    <x v="3"/>
    <s v="Eldon Radial Chair Mat for Low to Medium Pile Carpets"/>
    <n v="119.94"/>
    <n v="3"/>
    <n v="0"/>
    <n v="23.988"/>
    <x v="4"/>
    <x v="0"/>
  </r>
  <r>
    <s v="CA-2017-157448"/>
    <x v="716"/>
    <d v="2017-11-20T00:00:00"/>
    <x v="1"/>
    <s v="LC-16885"/>
    <s v="Lena Creighton"/>
    <x v="0"/>
    <s v="United States"/>
    <x v="2"/>
    <x v="2"/>
    <x v="1"/>
    <s v="FUR-FU-10001847"/>
    <s v="Furniture"/>
    <x v="3"/>
    <s v="Eldon Image Series Black Desk Accessories"/>
    <n v="12.42"/>
    <n v="3"/>
    <n v="0"/>
    <n v="4.4711999999999996"/>
    <x v="4"/>
    <x v="0"/>
  </r>
  <r>
    <s v="CA-2016-137393"/>
    <x v="349"/>
    <d v="2016-05-10T00:00:00"/>
    <x v="1"/>
    <s v="GM-14500"/>
    <s v="Gene McClure"/>
    <x v="0"/>
    <s v="United States"/>
    <x v="175"/>
    <x v="2"/>
    <x v="1"/>
    <s v="FUR-FU-10001617"/>
    <s v="Furniture"/>
    <x v="3"/>
    <s v="Executive Impressions 8-1/2&quot; Career Panel/Partition Cubicle Clock"/>
    <n v="41.6"/>
    <n v="4"/>
    <n v="0"/>
    <n v="14.144"/>
    <x v="4"/>
    <x v="7"/>
  </r>
  <r>
    <s v="CA-2017-122770"/>
    <x v="838"/>
    <d v="2017-12-18T00:00:00"/>
    <x v="1"/>
    <s v="EP-13915"/>
    <s v="Emily Phan"/>
    <x v="0"/>
    <s v="United States"/>
    <x v="28"/>
    <x v="2"/>
    <x v="1"/>
    <s v="FUR-FU-10001473"/>
    <s v="Furniture"/>
    <x v="3"/>
    <s v="Eldon Executive Woodline II Desk Accessories, Mahogany"/>
    <n v="201.04"/>
    <n v="8"/>
    <n v="0"/>
    <n v="54.280799999999999"/>
    <x v="2"/>
    <x v="5"/>
  </r>
  <r>
    <s v="CA-2015-130183"/>
    <x v="18"/>
    <d v="2015-11-17T00:00:00"/>
    <x v="1"/>
    <s v="PO-18850"/>
    <s v="Patrick O'Brill"/>
    <x v="0"/>
    <s v="United States"/>
    <x v="6"/>
    <x v="5"/>
    <x v="3"/>
    <s v="FUR-BO-10001811"/>
    <s v="Furniture"/>
    <x v="0"/>
    <s v="Atlantic Metals Mobile 5-Shelf Bookcases, Custom Colors"/>
    <n v="613.99919999999997"/>
    <n v="3"/>
    <n v="0.32"/>
    <n v="-18.058800000000002"/>
    <x v="4"/>
    <x v="0"/>
  </r>
  <r>
    <s v="CA-2016-122511"/>
    <x v="237"/>
    <d v="2016-03-11T00:00:00"/>
    <x v="3"/>
    <s v="BT-11485"/>
    <s v="Brad Thomas"/>
    <x v="2"/>
    <s v="United States"/>
    <x v="3"/>
    <x v="3"/>
    <x v="2"/>
    <s v="FUR-FU-10001037"/>
    <s v="Furniture"/>
    <x v="3"/>
    <s v="DAX Charcoal/Nickel-Tone Document Frame, 5 x 7"/>
    <n v="30.335999999999999"/>
    <n v="4"/>
    <n v="0.2"/>
    <n v="9.48"/>
    <x v="7"/>
    <x v="9"/>
  </r>
  <r>
    <s v="CA-2016-161746"/>
    <x v="59"/>
    <d v="2016-10-27T00:00:00"/>
    <x v="1"/>
    <s v="CS-11950"/>
    <s v="Carlos Soltero"/>
    <x v="0"/>
    <s v="United States"/>
    <x v="2"/>
    <x v="2"/>
    <x v="1"/>
    <s v="FUR-CH-10004626"/>
    <s v="Furniture"/>
    <x v="1"/>
    <s v="Office Star Flex Back Scooter Chair with Aluminum Finish Frame"/>
    <n v="242.136"/>
    <n v="3"/>
    <n v="0.2"/>
    <n v="12.1068"/>
    <x v="6"/>
    <x v="1"/>
  </r>
  <r>
    <s v="CA-2016-161746"/>
    <x v="59"/>
    <d v="2016-10-27T00:00:00"/>
    <x v="1"/>
    <s v="CS-11950"/>
    <s v="Carlos Soltero"/>
    <x v="0"/>
    <s v="United States"/>
    <x v="2"/>
    <x v="2"/>
    <x v="1"/>
    <s v="FUR-FU-10003731"/>
    <s v="Furniture"/>
    <x v="3"/>
    <s v="Eldon Expressions Wood and Plastic Desk Accessories, Oak"/>
    <n v="19.96"/>
    <n v="2"/>
    <n v="0"/>
    <n v="5.5888"/>
    <x v="6"/>
    <x v="1"/>
  </r>
  <r>
    <s v="CA-2014-114251"/>
    <x v="726"/>
    <d v="2014-11-10T00:00:00"/>
    <x v="1"/>
    <s v="MD-17350"/>
    <s v="Maribeth Dona"/>
    <x v="0"/>
    <s v="United States"/>
    <x v="3"/>
    <x v="3"/>
    <x v="2"/>
    <s v="FUR-FU-10001468"/>
    <s v="Furniture"/>
    <x v="3"/>
    <s v="Tenex Antistatic Computer Chair Mats"/>
    <n v="273.56799999999998"/>
    <n v="2"/>
    <n v="0.2"/>
    <n v="-34.195999999999998"/>
    <x v="2"/>
    <x v="0"/>
  </r>
  <r>
    <s v="CA-2016-119641"/>
    <x v="710"/>
    <d v="2016-09-26T00:00:00"/>
    <x v="1"/>
    <s v="CS-12250"/>
    <s v="Chris Selesnick"/>
    <x v="1"/>
    <s v="United States"/>
    <x v="356"/>
    <x v="16"/>
    <x v="3"/>
    <s v="FUR-FU-10002445"/>
    <s v="Furniture"/>
    <x v="3"/>
    <s v="DAX Two-Tone Rosewood/Black Document Frame, Desktop, 5 x 7"/>
    <n v="18.96"/>
    <n v="2"/>
    <n v="0"/>
    <n v="7.5839999999999996"/>
    <x v="4"/>
    <x v="4"/>
  </r>
  <r>
    <s v="CA-2016-105781"/>
    <x v="285"/>
    <d v="2016-02-20T00:00:00"/>
    <x v="1"/>
    <s v="JF-15565"/>
    <s v="Jill Fjeld"/>
    <x v="0"/>
    <s v="United States"/>
    <x v="13"/>
    <x v="7"/>
    <x v="2"/>
    <s v="FUR-CH-10001802"/>
    <s v="Furniture"/>
    <x v="1"/>
    <s v="Hon Every-Day Chair Series Swivel Task Chairs"/>
    <n v="326.64600000000002"/>
    <n v="3"/>
    <n v="0.1"/>
    <n v="39.923400000000001"/>
    <x v="4"/>
    <x v="11"/>
  </r>
  <r>
    <s v="CA-2014-114321"/>
    <x v="663"/>
    <d v="2014-08-25T00:00:00"/>
    <x v="1"/>
    <s v="NC-18535"/>
    <s v="Nick Crebassa"/>
    <x v="1"/>
    <s v="United States"/>
    <x v="247"/>
    <x v="25"/>
    <x v="0"/>
    <s v="FUR-CH-10001797"/>
    <s v="Furniture"/>
    <x v="1"/>
    <s v="Safco Chair Connectors, 6/Carton"/>
    <n v="500.24"/>
    <n v="13"/>
    <n v="0"/>
    <n v="145.06960000000001"/>
    <x v="2"/>
    <x v="10"/>
  </r>
  <r>
    <s v="CA-2015-117086"/>
    <x v="428"/>
    <d v="2015-11-12T00:00:00"/>
    <x v="1"/>
    <s v="QJ-19255"/>
    <s v="Quincy Jones"/>
    <x v="1"/>
    <s v="United States"/>
    <x v="259"/>
    <x v="43"/>
    <x v="2"/>
    <s v="FUR-BO-10004834"/>
    <s v="Furniture"/>
    <x v="0"/>
    <s v="Riverside Palais Royal Lawyers Bookcase, Royale Cherry Finish"/>
    <n v="4404.8999999999996"/>
    <n v="5"/>
    <n v="0"/>
    <n v="1013.127"/>
    <x v="4"/>
    <x v="0"/>
  </r>
  <r>
    <s v="CA-2017-137505"/>
    <x v="241"/>
    <d v="2017-11-24T00:00:00"/>
    <x v="3"/>
    <s v="BP-11290"/>
    <s v="Beth Paige"/>
    <x v="0"/>
    <s v="United States"/>
    <x v="2"/>
    <x v="2"/>
    <x v="1"/>
    <s v="FUR-TA-10000617"/>
    <s v="Furniture"/>
    <x v="2"/>
    <s v="Hon Practical Foundations 30 x 60 Training Table, Light Gray/Charcoal"/>
    <n v="364.08"/>
    <n v="2"/>
    <n v="0.2"/>
    <n v="9.1020000000000003"/>
    <x v="7"/>
    <x v="0"/>
  </r>
  <r>
    <s v="CA-2017-137505"/>
    <x v="241"/>
    <d v="2017-11-24T00:00:00"/>
    <x v="3"/>
    <s v="BP-11290"/>
    <s v="Beth Paige"/>
    <x v="0"/>
    <s v="United States"/>
    <x v="2"/>
    <x v="2"/>
    <x v="1"/>
    <s v="FUR-TA-10001676"/>
    <s v="Furniture"/>
    <x v="2"/>
    <s v="Hon 61000 Series Interactive Training Tables"/>
    <n v="71.087999999999994"/>
    <n v="2"/>
    <n v="0.2"/>
    <n v="-1.7771999999999999"/>
    <x v="7"/>
    <x v="0"/>
  </r>
  <r>
    <s v="US-2014-140914"/>
    <x v="163"/>
    <d v="2014-11-15T00:00:00"/>
    <x v="1"/>
    <s v="BH-11710"/>
    <s v="Brosina Hoffman"/>
    <x v="0"/>
    <s v="United States"/>
    <x v="9"/>
    <x v="8"/>
    <x v="3"/>
    <s v="FUR-FU-10000175"/>
    <s v="Furniture"/>
    <x v="3"/>
    <s v="DAX Wood Document Frame."/>
    <n v="10.984"/>
    <n v="2"/>
    <n v="0.6"/>
    <n v="-7.9634"/>
    <x v="4"/>
    <x v="0"/>
  </r>
  <r>
    <s v="US-2014-140914"/>
    <x v="163"/>
    <d v="2014-11-15T00:00:00"/>
    <x v="1"/>
    <s v="BH-11710"/>
    <s v="Brosina Hoffman"/>
    <x v="0"/>
    <s v="United States"/>
    <x v="9"/>
    <x v="8"/>
    <x v="3"/>
    <s v="FUR-CH-10003379"/>
    <s v="Furniture"/>
    <x v="1"/>
    <s v="Global Commerce Series High-Back Swivel/Tilt Chairs"/>
    <n v="797.94399999999996"/>
    <n v="4"/>
    <n v="0.3"/>
    <n v="-56.996000000000002"/>
    <x v="4"/>
    <x v="0"/>
  </r>
  <r>
    <s v="CA-2017-113705"/>
    <x v="582"/>
    <d v="2017-03-29T00:00:00"/>
    <x v="0"/>
    <s v="LC-16870"/>
    <s v="Lena Cacioppo"/>
    <x v="0"/>
    <s v="United States"/>
    <x v="52"/>
    <x v="25"/>
    <x v="0"/>
    <s v="FUR-TA-10002533"/>
    <s v="Furniture"/>
    <x v="2"/>
    <s v="BPI Conference Tables"/>
    <n v="292.10000000000002"/>
    <n v="2"/>
    <n v="0"/>
    <n v="58.42"/>
    <x v="3"/>
    <x v="9"/>
  </r>
  <r>
    <s v="CA-2016-146913"/>
    <x v="359"/>
    <d v="2016-11-05T00:00:00"/>
    <x v="1"/>
    <s v="SF-20965"/>
    <s v="Sylvia Foulston"/>
    <x v="1"/>
    <s v="United States"/>
    <x v="28"/>
    <x v="2"/>
    <x v="1"/>
    <s v="FUR-CH-10001854"/>
    <s v="Furniture"/>
    <x v="1"/>
    <s v="Office Star - Professional Matrix Back Chair with 2-to-1 Synchro Tilt and Mesh Fabric Seat"/>
    <n v="1403.92"/>
    <n v="5"/>
    <n v="0.2"/>
    <n v="70.195999999999998"/>
    <x v="2"/>
    <x v="1"/>
  </r>
  <r>
    <s v="CA-2016-123533"/>
    <x v="243"/>
    <d v="2016-11-30T00:00:00"/>
    <x v="1"/>
    <s v="SC-20050"/>
    <s v="Sample Company A"/>
    <x v="2"/>
    <s v="United States"/>
    <x v="173"/>
    <x v="1"/>
    <x v="0"/>
    <s v="FUR-BO-10001619"/>
    <s v="Furniture"/>
    <x v="0"/>
    <s v="O'Sullivan Cherrywood Estates Traditional Bookcase"/>
    <n v="339.92"/>
    <n v="5"/>
    <n v="0.2"/>
    <n v="8.4979999999999993"/>
    <x v="6"/>
    <x v="0"/>
  </r>
  <r>
    <s v="CA-2014-169019"/>
    <x v="503"/>
    <d v="2014-07-30T00:00:00"/>
    <x v="1"/>
    <s v="LF-17185"/>
    <s v="Luke Foster"/>
    <x v="0"/>
    <s v="United States"/>
    <x v="21"/>
    <x v="5"/>
    <x v="3"/>
    <s v="FUR-FU-10004666"/>
    <s v="Furniture"/>
    <x v="3"/>
    <s v="DAX Clear Channel Poster Frame"/>
    <n v="17.495999999999999"/>
    <n v="3"/>
    <n v="0.6"/>
    <n v="-10.0602"/>
    <x v="4"/>
    <x v="3"/>
  </r>
  <r>
    <s v="CA-2015-149748"/>
    <x v="151"/>
    <d v="2015-06-02T00:00:00"/>
    <x v="0"/>
    <s v="EM-13825"/>
    <s v="Elizabeth Moffitt"/>
    <x v="1"/>
    <s v="United States"/>
    <x v="309"/>
    <x v="18"/>
    <x v="2"/>
    <s v="FUR-FU-10001847"/>
    <s v="Furniture"/>
    <x v="3"/>
    <s v="Eldon Image Series Black Desk Accessories"/>
    <n v="8.2799999999999994"/>
    <n v="2"/>
    <n v="0"/>
    <n v="2.9807999999999999"/>
    <x v="3"/>
    <x v="7"/>
  </r>
  <r>
    <s v="US-2014-114377"/>
    <x v="726"/>
    <d v="2014-11-05T00:00:00"/>
    <x v="3"/>
    <s v="BG-11035"/>
    <s v="Barry Gonzalez"/>
    <x v="0"/>
    <s v="United States"/>
    <x v="247"/>
    <x v="25"/>
    <x v="0"/>
    <s v="FUR-CH-10004754"/>
    <s v="Furniture"/>
    <x v="1"/>
    <s v="Global Stack Chair with Arms, Black"/>
    <n v="149.9"/>
    <n v="5"/>
    <n v="0"/>
    <n v="40.472999999999999"/>
    <x v="7"/>
    <x v="0"/>
  </r>
  <r>
    <s v="CA-2017-144491"/>
    <x v="582"/>
    <d v="2017-04-01T00:00:00"/>
    <x v="1"/>
    <s v="CJ-12010"/>
    <s v="Caroline Jumper"/>
    <x v="0"/>
    <s v="United States"/>
    <x v="6"/>
    <x v="5"/>
    <x v="3"/>
    <s v="FUR-BO-10001811"/>
    <s v="Furniture"/>
    <x v="0"/>
    <s v="Atlantic Metals Mobile 5-Shelf Bookcases, Custom Colors"/>
    <n v="1023.332"/>
    <n v="5"/>
    <n v="0.32"/>
    <n v="-30.097999999999999"/>
    <x v="2"/>
    <x v="9"/>
  </r>
  <r>
    <s v="CA-2017-144491"/>
    <x v="582"/>
    <d v="2017-04-01T00:00:00"/>
    <x v="1"/>
    <s v="CJ-12010"/>
    <s v="Caroline Jumper"/>
    <x v="0"/>
    <s v="United States"/>
    <x v="6"/>
    <x v="5"/>
    <x v="3"/>
    <s v="FUR-CH-10004063"/>
    <s v="Furniture"/>
    <x v="1"/>
    <s v="Global Deluxe High-Back Manager's Chair"/>
    <n v="600.55799999999999"/>
    <n v="3"/>
    <n v="0.3"/>
    <n v="-8.5793999999999997"/>
    <x v="2"/>
    <x v="9"/>
  </r>
  <r>
    <s v="CA-2017-144491"/>
    <x v="582"/>
    <d v="2017-04-01T00:00:00"/>
    <x v="1"/>
    <s v="CJ-12010"/>
    <s v="Caroline Jumper"/>
    <x v="0"/>
    <s v="United States"/>
    <x v="6"/>
    <x v="5"/>
    <x v="3"/>
    <s v="FUR-CH-10001714"/>
    <s v="Furniture"/>
    <x v="1"/>
    <s v="Global Leather &amp; Oak Executive Chair, Burgundy"/>
    <n v="211.24600000000001"/>
    <n v="2"/>
    <n v="0.3"/>
    <n v="-66.391599999999997"/>
    <x v="2"/>
    <x v="9"/>
  </r>
  <r>
    <s v="CA-2014-127166"/>
    <x v="876"/>
    <d v="2014-05-23T00:00:00"/>
    <x v="0"/>
    <s v="KH-16360"/>
    <s v="Katherine Hughes"/>
    <x v="0"/>
    <s v="United States"/>
    <x v="6"/>
    <x v="5"/>
    <x v="3"/>
    <s v="FUR-CH-10003396"/>
    <s v="Furniture"/>
    <x v="1"/>
    <s v="Global Deluxe Steno Chair"/>
    <n v="107.77200000000001"/>
    <n v="2"/>
    <n v="0.3"/>
    <n v="-29.252400000000002"/>
    <x v="3"/>
    <x v="7"/>
  </r>
  <r>
    <s v="CA-2015-122973"/>
    <x v="877"/>
    <d v="2015-07-20T00:00:00"/>
    <x v="0"/>
    <s v="PJ-19015"/>
    <s v="Pauline Johnson"/>
    <x v="0"/>
    <s v="United States"/>
    <x v="13"/>
    <x v="7"/>
    <x v="2"/>
    <s v="FUR-FU-10002364"/>
    <s v="Furniture"/>
    <x v="3"/>
    <s v="Eldon Expressions Wood Desk Accessories, Oak"/>
    <n v="7.38"/>
    <n v="1"/>
    <n v="0"/>
    <n v="2.1402000000000001"/>
    <x v="3"/>
    <x v="3"/>
  </r>
  <r>
    <s v="CA-2016-136322"/>
    <x v="59"/>
    <d v="2016-10-26T00:00:00"/>
    <x v="1"/>
    <s v="AP-10720"/>
    <s v="Anne Pryor"/>
    <x v="2"/>
    <s v="United States"/>
    <x v="1"/>
    <x v="1"/>
    <x v="0"/>
    <s v="FUR-FU-10002878"/>
    <s v="Furniture"/>
    <x v="3"/>
    <s v="Seth Thomas 14&quot; Day/Date Wall Clock"/>
    <n v="45.567999999999998"/>
    <n v="2"/>
    <n v="0.2"/>
    <n v="9.6831999999999994"/>
    <x v="2"/>
    <x v="1"/>
  </r>
  <r>
    <s v="CA-2017-107209"/>
    <x v="534"/>
    <d v="2017-08-01T00:00:00"/>
    <x v="0"/>
    <s v="JW-15955"/>
    <s v="Joni Wasserman"/>
    <x v="0"/>
    <s v="United States"/>
    <x v="168"/>
    <x v="30"/>
    <x v="0"/>
    <s v="FUR-CH-10001146"/>
    <s v="Furniture"/>
    <x v="1"/>
    <s v="Global Value Mid-Back Manager's Chair, Gray"/>
    <n v="194.84800000000001"/>
    <n v="4"/>
    <n v="0.2"/>
    <n v="12.178000000000001"/>
    <x v="2"/>
    <x v="3"/>
  </r>
  <r>
    <s v="CA-2015-162201"/>
    <x v="878"/>
    <d v="2015-06-12T00:00:00"/>
    <x v="1"/>
    <s v="AG-10495"/>
    <s v="Andrew Gjertsen"/>
    <x v="1"/>
    <s v="United States"/>
    <x v="66"/>
    <x v="1"/>
    <x v="0"/>
    <s v="FUR-FU-10001185"/>
    <s v="Furniture"/>
    <x v="3"/>
    <s v="Advantus Employee of the Month Certificate Frame, 11 x 13-1/2"/>
    <n v="173.208"/>
    <n v="7"/>
    <n v="0.2"/>
    <n v="45.467100000000002"/>
    <x v="4"/>
    <x v="2"/>
  </r>
  <r>
    <s v="US-2014-164406"/>
    <x v="879"/>
    <d v="2014-08-19T00:00:00"/>
    <x v="1"/>
    <s v="BD-11605"/>
    <s v="Brian Dahlen"/>
    <x v="0"/>
    <s v="United States"/>
    <x v="28"/>
    <x v="2"/>
    <x v="1"/>
    <s v="FUR-CH-10003833"/>
    <s v="Furniture"/>
    <x v="1"/>
    <s v="Novimex Fabric Task Chair"/>
    <n v="195.136"/>
    <n v="4"/>
    <n v="0.2"/>
    <n v="-12.196"/>
    <x v="4"/>
    <x v="10"/>
  </r>
  <r>
    <s v="US-2017-152842"/>
    <x v="3"/>
    <d v="2017-07-23T00:00:00"/>
    <x v="1"/>
    <s v="NF-18385"/>
    <s v="Natalie Fritzler"/>
    <x v="0"/>
    <s v="United States"/>
    <x v="127"/>
    <x v="30"/>
    <x v="0"/>
    <s v="FUR-CH-10004218"/>
    <s v="Furniture"/>
    <x v="1"/>
    <s v="Global Fabric Manager's Chair, Dark Gray"/>
    <n v="242.352"/>
    <n v="3"/>
    <n v="0.2"/>
    <n v="15.147"/>
    <x v="1"/>
    <x v="3"/>
  </r>
  <r>
    <s v="CA-2014-113257"/>
    <x v="439"/>
    <d v="2014-12-18T00:00:00"/>
    <x v="0"/>
    <s v="SC-20305"/>
    <s v="Sean Christensen"/>
    <x v="0"/>
    <s v="United States"/>
    <x v="365"/>
    <x v="5"/>
    <x v="3"/>
    <s v="FUR-FU-10001706"/>
    <s v="Furniture"/>
    <x v="3"/>
    <s v="Longer-Life Soft White Bulbs"/>
    <n v="8.6240000000000006"/>
    <n v="7"/>
    <n v="0.6"/>
    <n v="-2.5872000000000002"/>
    <x v="3"/>
    <x v="5"/>
  </r>
  <r>
    <s v="CA-2016-126627"/>
    <x v="792"/>
    <d v="2016-10-12T00:00:00"/>
    <x v="2"/>
    <s v="WB-21850"/>
    <s v="William Brown"/>
    <x v="0"/>
    <s v="United States"/>
    <x v="101"/>
    <x v="5"/>
    <x v="3"/>
    <s v="FUR-FU-10004963"/>
    <s v="Furniture"/>
    <x v="3"/>
    <s v="Eldon 400 Class Desk Accessories, Black Carbon"/>
    <n v="14"/>
    <n v="4"/>
    <n v="0.6"/>
    <n v="-6.3"/>
    <x v="3"/>
    <x v="1"/>
  </r>
  <r>
    <s v="US-2016-125402"/>
    <x v="228"/>
    <d v="2016-10-01T00:00:00"/>
    <x v="1"/>
    <s v="DL-12865"/>
    <s v="Dan Lawera"/>
    <x v="0"/>
    <s v="United States"/>
    <x v="62"/>
    <x v="2"/>
    <x v="1"/>
    <s v="FUR-CH-10000665"/>
    <s v="Furniture"/>
    <x v="1"/>
    <s v="Global Airflow Leather Mesh Back Chair, Black"/>
    <n v="483.13600000000002"/>
    <n v="4"/>
    <n v="0.2"/>
    <n v="60.392000000000003"/>
    <x v="6"/>
    <x v="4"/>
  </r>
  <r>
    <s v="CA-2014-163867"/>
    <x v="270"/>
    <d v="2014-06-06T00:00:00"/>
    <x v="2"/>
    <s v="RE-19450"/>
    <s v="Richard Eichhorn"/>
    <x v="0"/>
    <s v="United States"/>
    <x v="42"/>
    <x v="8"/>
    <x v="3"/>
    <s v="FUR-FU-10001475"/>
    <s v="Furniture"/>
    <x v="3"/>
    <s v="Contract Clock, 14&quot;, Brown"/>
    <n v="61.543999999999997"/>
    <n v="7"/>
    <n v="0.6"/>
    <n v="-40.003599999999999"/>
    <x v="0"/>
    <x v="2"/>
  </r>
  <r>
    <s v="CA-2017-169327"/>
    <x v="113"/>
    <d v="2017-09-04T00:00:00"/>
    <x v="0"/>
    <s v="MH-17290"/>
    <s v="Marc Harrigan"/>
    <x v="2"/>
    <s v="United States"/>
    <x v="2"/>
    <x v="2"/>
    <x v="1"/>
    <s v="FUR-FU-10004188"/>
    <s v="Furniture"/>
    <x v="3"/>
    <s v="Luxo Professional Combination Clamp-On Lamps"/>
    <n v="511.5"/>
    <n v="5"/>
    <n v="0"/>
    <n v="132.99"/>
    <x v="3"/>
    <x v="4"/>
  </r>
  <r>
    <s v="CA-2016-158155"/>
    <x v="630"/>
    <d v="2016-05-06T00:00:00"/>
    <x v="1"/>
    <s v="EH-13765"/>
    <s v="Edward Hooks"/>
    <x v="1"/>
    <s v="United States"/>
    <x v="13"/>
    <x v="7"/>
    <x v="2"/>
    <s v="FUR-FU-10000732"/>
    <s v="Furniture"/>
    <x v="3"/>
    <s v="Eldon 200 Class Desk Accessories"/>
    <n v="12.56"/>
    <n v="2"/>
    <n v="0"/>
    <n v="4.0191999999999997"/>
    <x v="4"/>
    <x v="7"/>
  </r>
  <r>
    <s v="CA-2016-158155"/>
    <x v="630"/>
    <d v="2016-05-06T00:00:00"/>
    <x v="1"/>
    <s v="EH-13765"/>
    <s v="Edward Hooks"/>
    <x v="1"/>
    <s v="United States"/>
    <x v="13"/>
    <x v="7"/>
    <x v="2"/>
    <s v="FUR-FU-10002253"/>
    <s v="Furniture"/>
    <x v="3"/>
    <s v="Howard Miller 13&quot; Diameter Pewter Finish Round Wall Clock"/>
    <n v="214.7"/>
    <n v="5"/>
    <n v="0"/>
    <n v="83.733000000000004"/>
    <x v="4"/>
    <x v="7"/>
  </r>
  <r>
    <s v="CA-2017-138870"/>
    <x v="744"/>
    <d v="2017-06-23T00:00:00"/>
    <x v="1"/>
    <s v="GA-14515"/>
    <s v="George Ashbrook"/>
    <x v="0"/>
    <s v="United States"/>
    <x v="28"/>
    <x v="2"/>
    <x v="1"/>
    <s v="FUR-FU-10002396"/>
    <s v="Furniture"/>
    <x v="3"/>
    <s v="DAX Copper Panel Document Frame, 5 x 7 Size"/>
    <n v="50.32"/>
    <n v="4"/>
    <n v="0"/>
    <n v="21.134399999999999"/>
    <x v="4"/>
    <x v="2"/>
  </r>
  <r>
    <s v="CA-2015-164301"/>
    <x v="880"/>
    <d v="2015-03-30T00:00:00"/>
    <x v="1"/>
    <s v="EB-13840"/>
    <s v="Ellis Ballard"/>
    <x v="1"/>
    <s v="United States"/>
    <x v="15"/>
    <x v="13"/>
    <x v="1"/>
    <s v="FUR-TA-10001889"/>
    <s v="Furniture"/>
    <x v="2"/>
    <s v="Bush Advantage Collection Racetrack Conference Table"/>
    <n v="3393.68"/>
    <n v="8"/>
    <n v="0"/>
    <n v="610.86239999999998"/>
    <x v="4"/>
    <x v="9"/>
  </r>
  <r>
    <s v="CA-2017-113278"/>
    <x v="881"/>
    <d v="2017-01-20T00:00:00"/>
    <x v="1"/>
    <s v="HR-14770"/>
    <s v="Hallie Redmond"/>
    <x v="2"/>
    <s v="United States"/>
    <x v="52"/>
    <x v="6"/>
    <x v="3"/>
    <s v="FUR-FU-10001037"/>
    <s v="Furniture"/>
    <x v="3"/>
    <s v="DAX Charcoal/Nickel-Tone Document Frame, 5 x 7"/>
    <n v="18.96"/>
    <n v="2"/>
    <n v="0"/>
    <n v="8.532"/>
    <x v="6"/>
    <x v="8"/>
  </r>
  <r>
    <s v="CA-2014-114195"/>
    <x v="770"/>
    <d v="2014-11-03T00:00:00"/>
    <x v="2"/>
    <s v="EA-14035"/>
    <s v="Erin Ashbrook"/>
    <x v="1"/>
    <s v="United States"/>
    <x v="366"/>
    <x v="15"/>
    <x v="2"/>
    <s v="FUR-FU-10002253"/>
    <s v="Furniture"/>
    <x v="3"/>
    <s v="Howard Miller 13&quot; Diameter Pewter Finish Round Wall Clock"/>
    <n v="68.703999999999994"/>
    <n v="2"/>
    <n v="0.2"/>
    <n v="16.3172"/>
    <x v="3"/>
    <x v="0"/>
  </r>
  <r>
    <s v="CA-2016-122581"/>
    <x v="650"/>
    <d v="2016-08-25T00:00:00"/>
    <x v="1"/>
    <s v="JK-15370"/>
    <s v="Jay Kimmel"/>
    <x v="0"/>
    <s v="United States"/>
    <x v="13"/>
    <x v="7"/>
    <x v="2"/>
    <s v="FUR-CH-10002961"/>
    <s v="Furniture"/>
    <x v="1"/>
    <s v="Leather Task Chair, Black"/>
    <n v="573.17399999999998"/>
    <n v="7"/>
    <n v="0.1"/>
    <n v="63.686"/>
    <x v="4"/>
    <x v="10"/>
  </r>
  <r>
    <s v="US-2016-115441"/>
    <x v="81"/>
    <d v="2016-07-28T00:00:00"/>
    <x v="0"/>
    <s v="SH-19975"/>
    <s v="Sally Hughsby"/>
    <x v="1"/>
    <s v="United States"/>
    <x v="79"/>
    <x v="16"/>
    <x v="3"/>
    <s v="FUR-CH-10004626"/>
    <s v="Furniture"/>
    <x v="1"/>
    <s v="Office Star Flex Back Scooter Chair with Aluminum Finish Frame"/>
    <n v="403.56"/>
    <n v="4"/>
    <n v="0"/>
    <n v="96.854399999999998"/>
    <x v="0"/>
    <x v="3"/>
  </r>
  <r>
    <s v="US-2016-115441"/>
    <x v="81"/>
    <d v="2016-07-28T00:00:00"/>
    <x v="0"/>
    <s v="SH-19975"/>
    <s v="Sally Hughsby"/>
    <x v="1"/>
    <s v="United States"/>
    <x v="79"/>
    <x v="16"/>
    <x v="3"/>
    <s v="FUR-FU-10001756"/>
    <s v="Furniture"/>
    <x v="3"/>
    <s v="Eldon Expressions Desk Accessory, Wood Photo Frame, Mahogany"/>
    <n v="95.2"/>
    <n v="5"/>
    <n v="0"/>
    <n v="27.608000000000001"/>
    <x v="0"/>
    <x v="3"/>
  </r>
  <r>
    <s v="CA-2016-112830"/>
    <x v="882"/>
    <d v="2016-06-10T00:00:00"/>
    <x v="1"/>
    <s v="LP-17095"/>
    <s v="Liz Preis"/>
    <x v="0"/>
    <s v="United States"/>
    <x v="130"/>
    <x v="15"/>
    <x v="2"/>
    <s v="FUR-FU-10004306"/>
    <s v="Furniture"/>
    <x v="3"/>
    <s v="Electrix Halogen Magnifier Lamp"/>
    <n v="466.32"/>
    <n v="3"/>
    <n v="0.2"/>
    <n v="34.973999999999997"/>
    <x v="4"/>
    <x v="2"/>
  </r>
  <r>
    <s v="CA-2016-112830"/>
    <x v="882"/>
    <d v="2016-06-10T00:00:00"/>
    <x v="1"/>
    <s v="LP-17095"/>
    <s v="Liz Preis"/>
    <x v="0"/>
    <s v="United States"/>
    <x v="130"/>
    <x v="15"/>
    <x v="2"/>
    <s v="FUR-FU-10004845"/>
    <s v="Furniture"/>
    <x v="3"/>
    <s v="Deflect-o EconoMat Nonstudded, No Bevel Mat"/>
    <n v="82.64"/>
    <n v="2"/>
    <n v="0.2"/>
    <n v="0"/>
    <x v="4"/>
    <x v="2"/>
  </r>
  <r>
    <s v="US-2014-117380"/>
    <x v="786"/>
    <d v="2014-04-03T00:00:00"/>
    <x v="1"/>
    <s v="MP-18175"/>
    <s v="Mike Pelletier"/>
    <x v="2"/>
    <s v="United States"/>
    <x v="76"/>
    <x v="15"/>
    <x v="2"/>
    <s v="FUR-TA-10000198"/>
    <s v="Furniture"/>
    <x v="2"/>
    <s v="Chromcraft Bull-Nose Wood Oval Conference Tables &amp; Bases"/>
    <n v="330.58800000000002"/>
    <n v="1"/>
    <n v="0.4"/>
    <n v="-143.25479999999999"/>
    <x v="6"/>
    <x v="9"/>
  </r>
  <r>
    <s v="CA-2017-117646"/>
    <x v="67"/>
    <d v="2017-08-25T00:00:00"/>
    <x v="1"/>
    <s v="SC-20845"/>
    <s v="Sung Chung"/>
    <x v="0"/>
    <s v="United States"/>
    <x v="74"/>
    <x v="12"/>
    <x v="1"/>
    <s v="FUR-FU-10001037"/>
    <s v="Furniture"/>
    <x v="3"/>
    <s v="DAX Charcoal/Nickel-Tone Document Frame, 5 x 7"/>
    <n v="22.751999999999999"/>
    <n v="3"/>
    <n v="0.2"/>
    <n v="7.11"/>
    <x v="4"/>
    <x v="10"/>
  </r>
  <r>
    <s v="CA-2014-122609"/>
    <x v="352"/>
    <d v="2014-11-18T00:00:00"/>
    <x v="1"/>
    <s v="DP-13000"/>
    <s v="Darren Powers"/>
    <x v="0"/>
    <s v="United States"/>
    <x v="118"/>
    <x v="5"/>
    <x v="3"/>
    <s v="FUR-FU-10004587"/>
    <s v="Furniture"/>
    <x v="3"/>
    <s v="GE General Use Halogen Bulbs, 100 Watts, 1 Bulb per Pack"/>
    <n v="25.128"/>
    <n v="3"/>
    <n v="0.6"/>
    <n v="-6.9101999999999997"/>
    <x v="6"/>
    <x v="0"/>
  </r>
  <r>
    <s v="US-2015-129007"/>
    <x v="615"/>
    <d v="2015-09-15T00:00:00"/>
    <x v="2"/>
    <s v="KD-16615"/>
    <s v="Ken Dana"/>
    <x v="1"/>
    <s v="United States"/>
    <x v="261"/>
    <x v="2"/>
    <x v="1"/>
    <s v="FUR-FU-10004973"/>
    <s v="Furniture"/>
    <x v="3"/>
    <s v="Flat Face Poster Frame"/>
    <n v="131.88"/>
    <n v="7"/>
    <n v="0"/>
    <n v="55.389600000000002"/>
    <x v="3"/>
    <x v="4"/>
  </r>
  <r>
    <s v="US-2015-129007"/>
    <x v="615"/>
    <d v="2015-09-15T00:00:00"/>
    <x v="2"/>
    <s v="KD-16615"/>
    <s v="Ken Dana"/>
    <x v="1"/>
    <s v="United States"/>
    <x v="261"/>
    <x v="2"/>
    <x v="1"/>
    <s v="FUR-CH-10000155"/>
    <s v="Furniture"/>
    <x v="1"/>
    <s v="Global Comet Stacking Armless Chair"/>
    <n v="717.72"/>
    <n v="3"/>
    <n v="0.2"/>
    <n v="71.772000000000006"/>
    <x v="3"/>
    <x v="4"/>
  </r>
  <r>
    <s v="US-2015-129007"/>
    <x v="615"/>
    <d v="2015-09-15T00:00:00"/>
    <x v="2"/>
    <s v="KD-16615"/>
    <s v="Ken Dana"/>
    <x v="1"/>
    <s v="United States"/>
    <x v="261"/>
    <x v="2"/>
    <x v="1"/>
    <s v="FUR-FU-10002379"/>
    <s v="Furniture"/>
    <x v="3"/>
    <s v="Eldon Econocleat Chair Mats for Low Pile Carpets"/>
    <n v="207.35"/>
    <n v="5"/>
    <n v="0"/>
    <n v="24.882000000000001"/>
    <x v="3"/>
    <x v="4"/>
  </r>
  <r>
    <s v="US-2015-129007"/>
    <x v="615"/>
    <d v="2015-09-15T00:00:00"/>
    <x v="2"/>
    <s v="KD-16615"/>
    <s v="Ken Dana"/>
    <x v="1"/>
    <s v="United States"/>
    <x v="261"/>
    <x v="2"/>
    <x v="1"/>
    <s v="FUR-FU-10004018"/>
    <s v="Furniture"/>
    <x v="3"/>
    <s v="Tensor Computer Mounted Lamp"/>
    <n v="44.67"/>
    <n v="3"/>
    <n v="0"/>
    <n v="12.0609"/>
    <x v="3"/>
    <x v="4"/>
  </r>
  <r>
    <s v="CA-2015-132388"/>
    <x v="883"/>
    <d v="2015-10-12T00:00:00"/>
    <x v="2"/>
    <s v="KN-16390"/>
    <s v="Katherine Nockton"/>
    <x v="1"/>
    <s v="United States"/>
    <x v="367"/>
    <x v="2"/>
    <x v="1"/>
    <s v="FUR-CH-10001714"/>
    <s v="Furniture"/>
    <x v="1"/>
    <s v="Global Leather &amp; Oak Executive Chair, Burgundy"/>
    <n v="362.13600000000002"/>
    <n v="3"/>
    <n v="0.2"/>
    <n v="-54.320399999999999"/>
    <x v="3"/>
    <x v="1"/>
  </r>
  <r>
    <s v="CA-2017-160927"/>
    <x v="884"/>
    <d v="2017-01-31T00:00:00"/>
    <x v="0"/>
    <s v="TM-21010"/>
    <s v="Tamara Manning"/>
    <x v="0"/>
    <s v="United States"/>
    <x v="149"/>
    <x v="26"/>
    <x v="3"/>
    <s v="FUR-FU-10000010"/>
    <s v="Furniture"/>
    <x v="3"/>
    <s v="DAX Value U-Channel Document Frames, Easel Back"/>
    <n v="14.91"/>
    <n v="3"/>
    <n v="0"/>
    <n v="4.6220999999999997"/>
    <x v="3"/>
    <x v="8"/>
  </r>
  <r>
    <s v="CA-2016-149272"/>
    <x v="775"/>
    <d v="2016-03-19T00:00:00"/>
    <x v="1"/>
    <s v="MY-18295"/>
    <s v="Muhammed Yedwab"/>
    <x v="1"/>
    <s v="United States"/>
    <x v="368"/>
    <x v="5"/>
    <x v="3"/>
    <s v="FUR-CH-10000863"/>
    <s v="Furniture"/>
    <x v="1"/>
    <s v="Novimex Swivel Fabric Task Chair"/>
    <n v="528.42999999999995"/>
    <n v="5"/>
    <n v="0.3"/>
    <n v="-143.43100000000001"/>
    <x v="4"/>
    <x v="9"/>
  </r>
  <r>
    <s v="CA-2016-129630"/>
    <x v="631"/>
    <d v="2016-09-04T00:00:00"/>
    <x v="3"/>
    <s v="IM-15055"/>
    <s v="Ionia McGrath"/>
    <x v="0"/>
    <s v="United States"/>
    <x v="28"/>
    <x v="2"/>
    <x v="1"/>
    <s v="FUR-FU-10000260"/>
    <s v="Furniture"/>
    <x v="3"/>
    <s v="6&quot; Cubicle Wall Clock, Black"/>
    <n v="24.27"/>
    <n v="3"/>
    <n v="0"/>
    <n v="8.7371999999999996"/>
    <x v="7"/>
    <x v="4"/>
  </r>
  <r>
    <s v="CA-2015-104948"/>
    <x v="18"/>
    <d v="2015-11-17T00:00:00"/>
    <x v="1"/>
    <s v="KH-16510"/>
    <s v="Keith Herrera"/>
    <x v="0"/>
    <s v="United States"/>
    <x v="369"/>
    <x v="2"/>
    <x v="1"/>
    <s v="FUR-BO-10004357"/>
    <s v="Furniture"/>
    <x v="0"/>
    <s v="O'Sullivan Living Dimensions 3-Shelf Bookcases"/>
    <n v="683.33199999999999"/>
    <n v="4"/>
    <n v="0.15"/>
    <n v="-40.195999999999998"/>
    <x v="4"/>
    <x v="0"/>
  </r>
  <r>
    <s v="CA-2016-164889"/>
    <x v="885"/>
    <d v="2016-06-06T00:00:00"/>
    <x v="0"/>
    <s v="CP-12340"/>
    <s v="Christine Phan"/>
    <x v="1"/>
    <s v="United States"/>
    <x v="2"/>
    <x v="2"/>
    <x v="1"/>
    <s v="FUR-TA-10001676"/>
    <s v="Furniture"/>
    <x v="2"/>
    <s v="Hon 61000 Series Interactive Training Tables"/>
    <n v="71.087999999999994"/>
    <n v="2"/>
    <n v="0.2"/>
    <n v="-1.7771999999999999"/>
    <x v="0"/>
    <x v="2"/>
  </r>
  <r>
    <s v="CA-2016-169824"/>
    <x v="574"/>
    <d v="2016-12-17T00:00:00"/>
    <x v="1"/>
    <s v="NS-18640"/>
    <s v="Noel Staavos"/>
    <x v="1"/>
    <s v="United States"/>
    <x v="13"/>
    <x v="7"/>
    <x v="2"/>
    <s v="FUR-FU-10004864"/>
    <s v="Furniture"/>
    <x v="3"/>
    <s v="Eldon 500 Class Desk Accessories"/>
    <n v="60.35"/>
    <n v="5"/>
    <n v="0"/>
    <n v="19.915500000000002"/>
    <x v="2"/>
    <x v="5"/>
  </r>
  <r>
    <s v="CA-2017-121559"/>
    <x v="886"/>
    <d v="2017-06-03T00:00:00"/>
    <x v="0"/>
    <s v="HW-14935"/>
    <s v="Helen Wasserman"/>
    <x v="1"/>
    <s v="United States"/>
    <x v="370"/>
    <x v="6"/>
    <x v="3"/>
    <s v="FUR-CH-10003746"/>
    <s v="Furniture"/>
    <x v="1"/>
    <s v="Hon 4070 Series Pagoda Round Back Stacking Chairs"/>
    <n v="1925.88"/>
    <n v="6"/>
    <n v="0"/>
    <n v="539.24639999999999"/>
    <x v="3"/>
    <x v="2"/>
  </r>
  <r>
    <s v="CA-2015-141593"/>
    <x v="646"/>
    <d v="2015-12-16T00:00:00"/>
    <x v="0"/>
    <s v="DB-12970"/>
    <s v="Darren Budd"/>
    <x v="1"/>
    <s v="United States"/>
    <x v="2"/>
    <x v="2"/>
    <x v="1"/>
    <s v="FUR-TA-10002622"/>
    <s v="Furniture"/>
    <x v="2"/>
    <s v="Bush Andora Conference Table, Maple/Graphite Gray Finish"/>
    <n v="273.56799999999998"/>
    <n v="2"/>
    <n v="0.2"/>
    <n v="10.258800000000001"/>
    <x v="3"/>
    <x v="5"/>
  </r>
  <r>
    <s v="CA-2015-168088"/>
    <x v="887"/>
    <d v="2015-03-22T00:00:00"/>
    <x v="2"/>
    <s v="CM-12655"/>
    <s v="Corinna Mitchell"/>
    <x v="2"/>
    <s v="United States"/>
    <x v="6"/>
    <x v="5"/>
    <x v="3"/>
    <s v="FUR-BO-10004218"/>
    <s v="Furniture"/>
    <x v="0"/>
    <s v="Bush Heritage Pine Collection 5-Shelf Bookcase, Albany Pine Finish, *Special Order"/>
    <n v="383.46559999999999"/>
    <n v="4"/>
    <n v="0.32"/>
    <n v="-67.670400000000001"/>
    <x v="0"/>
    <x v="9"/>
  </r>
  <r>
    <s v="CA-2016-146374"/>
    <x v="28"/>
    <d v="2016-12-10T00:00:00"/>
    <x v="0"/>
    <s v="HE-14800"/>
    <s v="Harold Engle"/>
    <x v="1"/>
    <s v="United States"/>
    <x v="19"/>
    <x v="14"/>
    <x v="2"/>
    <s v="FUR-FU-10002671"/>
    <s v="Furniture"/>
    <x v="3"/>
    <s v="Electrix 20W Halogen Replacement Bulb for Zoom-In Desk Lamp"/>
    <n v="13.4"/>
    <n v="1"/>
    <n v="0"/>
    <n v="6.4320000000000004"/>
    <x v="2"/>
    <x v="5"/>
  </r>
  <r>
    <s v="US-2015-151435"/>
    <x v="329"/>
    <d v="2015-09-09T00:00:00"/>
    <x v="0"/>
    <s v="SW-20455"/>
    <s v="Shaun Weien"/>
    <x v="0"/>
    <s v="United States"/>
    <x v="120"/>
    <x v="35"/>
    <x v="0"/>
    <s v="FUR-TA-10001039"/>
    <s v="Furniture"/>
    <x v="2"/>
    <s v="KI Adjustable-Height Table"/>
    <n v="85.98"/>
    <n v="1"/>
    <n v="0"/>
    <n v="22.354800000000001"/>
    <x v="0"/>
    <x v="4"/>
  </r>
  <r>
    <s v="CA-2014-110422"/>
    <x v="888"/>
    <d v="2014-01-23T00:00:00"/>
    <x v="0"/>
    <s v="TB-21400"/>
    <s v="Tom Boeckenhauer"/>
    <x v="0"/>
    <s v="United States"/>
    <x v="89"/>
    <x v="1"/>
    <x v="0"/>
    <s v="FUR-FU-10001889"/>
    <s v="Furniture"/>
    <x v="3"/>
    <s v="Ultra Door Pull Handle"/>
    <n v="25.248000000000001"/>
    <n v="3"/>
    <n v="0.2"/>
    <n v="4.1028000000000002"/>
    <x v="3"/>
    <x v="8"/>
  </r>
  <r>
    <s v="CA-2017-121258"/>
    <x v="194"/>
    <d v="2017-03-03T00:00:00"/>
    <x v="1"/>
    <s v="DB-13060"/>
    <s v="Dave Brooks"/>
    <x v="0"/>
    <s v="United States"/>
    <x v="46"/>
    <x v="2"/>
    <x v="1"/>
    <s v="FUR-FU-10000747"/>
    <s v="Furniture"/>
    <x v="3"/>
    <s v="Tenex B1-RE Series Chair Mats for Low Pile Carpets"/>
    <n v="91.96"/>
    <n v="2"/>
    <n v="0"/>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46F98-8C90-496A-9D67-ED5EF1EA2441}"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23">
    <pivotField showAll="0"/>
    <pivotField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1" numFmtId="164"/>
    <dataField name="Sum of Profit" fld="18" baseField="0" baseItem="1" numFmtId="164"/>
    <dataField name="Sum of Quantity" fld="16"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12E770-479C-4952-9EDD-1BD705111558}"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16:E22" firstHeaderRow="1" firstDataRow="1" firstDataCol="1"/>
  <pivotFields count="23">
    <pivotField showAll="0"/>
    <pivotField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22" baseItem="1" numFmtId="165"/>
  </dataFields>
  <formats count="1">
    <format dxfId="8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2F5F48-2E38-469A-BC43-D4FEA1FA5F4A}"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5:B28" firstHeaderRow="1" firstDataRow="1" firstDataCol="1"/>
  <pivotFields count="23">
    <pivotField showAll="0"/>
    <pivotField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Sales" fld="15" baseField="22" baseItem="1" numFmtId="165"/>
  </dataFields>
  <formats count="1">
    <format dxfId="8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3248E-04CF-417C-819A-4B6623BF6A43}"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41:E46" firstHeaderRow="1" firstDataRow="1" firstDataCol="1"/>
  <pivotFields count="23">
    <pivotField dataField="1" showAll="0"/>
    <pivotField numFmtId="22" showAll="0">
      <items count="15">
        <item x="0"/>
        <item x="1"/>
        <item x="2"/>
        <item x="3"/>
        <item x="4"/>
        <item x="5"/>
        <item x="6"/>
        <item x="7"/>
        <item x="8"/>
        <item x="9"/>
        <item x="10"/>
        <item x="11"/>
        <item x="12"/>
        <item x="13"/>
        <item t="default"/>
      </items>
    </pivotField>
    <pivotField numFmtId="22"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2">
    <format dxfId="91">
      <pivotArea outline="0" collapsedLevelsAreSubtotals="1" fieldPosition="0"/>
    </format>
    <format dxfId="90">
      <pivotArea outline="0" fieldPosition="0">
        <references count="1">
          <reference field="4294967294" count="1">
            <x v="0"/>
          </reference>
        </references>
      </pivotArea>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17520-28D4-4BF1-9A93-1593DF1DCC79}"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D12" firstHeaderRow="0" firstDataRow="1" firstDataCol="1"/>
  <pivotFields count="23">
    <pivotField showAll="0"/>
    <pivotField axis="axisRow"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2"/>
    <field x="21"/>
    <field x="1"/>
  </rowFields>
  <rowItems count="5">
    <i>
      <x v="1"/>
    </i>
    <i>
      <x v="2"/>
    </i>
    <i>
      <x v="3"/>
    </i>
    <i>
      <x v="4"/>
    </i>
    <i t="grand">
      <x/>
    </i>
  </rowItems>
  <colFields count="1">
    <field x="-2"/>
  </colFields>
  <colItems count="3">
    <i>
      <x/>
    </i>
    <i i="1">
      <x v="1"/>
    </i>
    <i i="2">
      <x v="2"/>
    </i>
  </colItems>
  <dataFields count="3">
    <dataField name="Sum of Sales" fld="15" baseField="22" baseItem="1" numFmtId="164"/>
    <dataField name="Sum of Profit" fld="18" baseField="22" baseItem="1" numFmtId="164"/>
    <dataField name="Sum of Quantity" fld="16" baseField="22"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D072F-DB57-4420-829B-F0625C3AD8C8}" name="PivotTable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27:E36" firstHeaderRow="1" firstDataRow="1" firstDataCol="1"/>
  <pivotFields count="23">
    <pivotField dataField="1" showAll="0"/>
    <pivotField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2">
    <format dxfId="93">
      <pivotArea outline="0" collapsedLevelsAreSubtotals="1" fieldPosition="0"/>
    </format>
    <format dxfId="92">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6C217-C067-4A70-A05D-282D8159A87A}" name="PivotTable8"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3:K82" firstHeaderRow="1" firstDataRow="1" firstDataCol="1"/>
  <pivotFields count="23">
    <pivotField showAll="0"/>
    <pivotField numFmtId="22" showAll="0">
      <items count="15">
        <item x="0"/>
        <item x="1"/>
        <item x="2"/>
        <item x="3"/>
        <item x="4"/>
        <item x="5"/>
        <item x="6"/>
        <item x="7"/>
        <item x="8"/>
        <item x="9"/>
        <item x="10"/>
        <item x="11"/>
        <item x="12"/>
        <item x="13"/>
        <item t="default"/>
      </items>
    </pivotField>
    <pivotField numFmtId="22"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AADB28-1F79-4F2D-80EC-C7F7257FD730}" name="PivotTable7"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50:E55" firstHeaderRow="1" firstDataRow="1" firstDataCol="1"/>
  <pivotFields count="23">
    <pivotField showAll="0"/>
    <pivotField numFmtId="22" showAll="0">
      <items count="15">
        <item x="0"/>
        <item x="1"/>
        <item x="2"/>
        <item x="3"/>
        <item x="4"/>
        <item x="5"/>
        <item x="6"/>
        <item x="7"/>
        <item x="8"/>
        <item x="9"/>
        <item x="10"/>
        <item x="11"/>
        <item x="12"/>
        <item x="13"/>
        <item t="default"/>
      </items>
    </pivotField>
    <pivotField numFmtId="22"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CFFE866-5984-4A76-8856-28A54B45AB7E}"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Duration" tableColumnId="20"/>
      <queryTableField id="21" name="Month Nam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1970BFF-B91C-4526-AD41-BB0FEAB4D7E7}" sourceName="Segment">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data>
    <tabular pivotCacheId="33397884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C1C72C-6589-44B9-B278-1DD1A04E739E}" sourceName="Region">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data>
    <tabular pivotCacheId="33397884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C6C73EC-F7D5-4BB9-94BB-A38E8C34D2E1}" cache="Slicer_Segment" caption="Segment" columnCount="3" showCaption="0" style="SlicerStyleLight5" rowHeight="241300"/>
  <slicer name="Region" xr10:uid="{BE3B4951-6DEE-470F-A4C6-CB19C9300303}" cache="Slicer_Region" caption="Region" columnCount="4" showCaption="0"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1B769B-E05D-4904-89AF-625FDE33EC05}" name="Furniture_Sales" displayName="Furniture_Sales" ref="A1:U2122" tableType="queryTable" totalsRowShown="0">
  <autoFilter ref="A1:U2122" xr:uid="{BC144914-9FD5-40EC-ABBE-DC95719E1DC2}"/>
  <tableColumns count="21">
    <tableColumn id="1" xr3:uid="{7B3A5ED6-F408-4AC7-B469-09159BCED589}" uniqueName="1" name="Order ID" queryTableFieldId="1"/>
    <tableColumn id="2" xr3:uid="{E7D588FE-DFE8-4C7D-B4C6-1B7F7FE29D4B}" uniqueName="2" name="Order Date" queryTableFieldId="2" dataDxfId="97"/>
    <tableColumn id="3" xr3:uid="{15EAE919-9CB0-4D08-A2C7-7ED8D1868E03}" uniqueName="3" name="Ship Date" queryTableFieldId="3" dataDxfId="96"/>
    <tableColumn id="4" xr3:uid="{EA0EF3C8-DA7F-4E89-80B6-A96D1D6AE942}" uniqueName="4" name="Ship Mode" queryTableFieldId="4"/>
    <tableColumn id="5" xr3:uid="{CBF12103-4A1A-4BA6-BBF6-A41D48533C18}" uniqueName="5" name="Customer ID" queryTableFieldId="5"/>
    <tableColumn id="6" xr3:uid="{7DA56C6B-E1E9-4B28-ACF9-B63866A712D9}" uniqueName="6" name="Customer Name" queryTableFieldId="6"/>
    <tableColumn id="7" xr3:uid="{21D5CA86-A7ED-465D-BF48-BA69C27AE8DE}" uniqueName="7" name="Segment" queryTableFieldId="7"/>
    <tableColumn id="8" xr3:uid="{D0628CEF-40B4-4763-8401-272CD2910622}" uniqueName="8" name="Country" queryTableFieldId="8"/>
    <tableColumn id="9" xr3:uid="{F14AC87B-8621-48E5-BA76-BF5AA4C72AD2}" uniqueName="9" name="City" queryTableFieldId="9"/>
    <tableColumn id="10" xr3:uid="{E8890CE8-6BD9-45DC-99D8-98A9364A25F4}" uniqueName="10" name="State" queryTableFieldId="10"/>
    <tableColumn id="11" xr3:uid="{644E5BC3-F84E-4A0D-B88E-49FA1931E829}" uniqueName="11" name="Region" queryTableFieldId="11"/>
    <tableColumn id="12" xr3:uid="{B6AA00A3-400D-4939-84E3-18A964CC7226}" uniqueName="12" name="Product ID" queryTableFieldId="12"/>
    <tableColumn id="13" xr3:uid="{460C14D6-8F81-45E3-B6AD-E01A5D85E451}" uniqueName="13" name="Category" queryTableFieldId="13"/>
    <tableColumn id="14" xr3:uid="{02C862C4-BD51-4CE0-8480-3B09B3645640}" uniqueName="14" name="Sub-Category" queryTableFieldId="14"/>
    <tableColumn id="15" xr3:uid="{F4718CBA-7237-4D56-93F8-6D134B3C9322}" uniqueName="15" name="Product Name" queryTableFieldId="15"/>
    <tableColumn id="16" xr3:uid="{6342AF9B-BEAD-4CE0-BE30-53E6EB8C2462}" uniqueName="16" name="Sales" queryTableFieldId="16"/>
    <tableColumn id="17" xr3:uid="{2E7D424A-13EA-43B9-B529-3AEB7A996E89}" uniqueName="17" name="Quantity" queryTableFieldId="17"/>
    <tableColumn id="18" xr3:uid="{86EF5176-F557-4E66-AD97-5A50AABBC677}" uniqueName="18" name="Discount" queryTableFieldId="18"/>
    <tableColumn id="19" xr3:uid="{B8030C12-B541-4447-8A14-289EE731964B}" uniqueName="19" name="Profit" queryTableFieldId="19"/>
    <tableColumn id="20" xr3:uid="{138B1EEB-EADD-4EB0-8C5D-4DF4FC0AFF4D}" uniqueName="20" name="Duration" queryTableFieldId="20"/>
    <tableColumn id="21" xr3:uid="{873165B8-B123-4ADE-A58A-D1D39BEA8BC9}" uniqueName="21" name="Month Name"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FF83-76D6-49E1-8E1D-5954F6C3C4D5}">
  <dimension ref="A1:U2122"/>
  <sheetViews>
    <sheetView topLeftCell="A2" workbookViewId="0">
      <selection activeCell="I2" sqref="I2"/>
    </sheetView>
  </sheetViews>
  <sheetFormatPr defaultRowHeight="15" x14ac:dyDescent="0.25"/>
  <cols>
    <col min="1" max="1" width="15" bestFit="1" customWidth="1"/>
    <col min="2" max="3" width="15.855468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6.5703125" bestFit="1" customWidth="1"/>
    <col min="10" max="10" width="18.7109375" bestFit="1" customWidth="1"/>
    <col min="11" max="11" width="9.42578125" bestFit="1" customWidth="1"/>
    <col min="12" max="12" width="16.5703125" bestFit="1" customWidth="1"/>
    <col min="13" max="13" width="11.140625" bestFit="1" customWidth="1"/>
    <col min="14" max="14" width="15.140625" bestFit="1" customWidth="1"/>
    <col min="15" max="15" width="81.140625" bestFit="1" customWidth="1"/>
    <col min="16" max="16" width="10" bestFit="1" customWidth="1"/>
    <col min="17" max="18" width="11" bestFit="1" customWidth="1"/>
    <col min="19" max="19" width="10.7109375" bestFit="1" customWidth="1"/>
    <col min="20" max="20" width="11" bestFit="1" customWidth="1"/>
    <col min="21" max="21" width="1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s="1">
        <v>42682</v>
      </c>
      <c r="C2" s="1">
        <v>42685</v>
      </c>
      <c r="D2" t="s">
        <v>22</v>
      </c>
      <c r="E2" t="s">
        <v>23</v>
      </c>
      <c r="F2" t="s">
        <v>24</v>
      </c>
      <c r="G2" t="s">
        <v>25</v>
      </c>
      <c r="H2" t="s">
        <v>26</v>
      </c>
      <c r="I2" t="s">
        <v>27</v>
      </c>
      <c r="J2" t="s">
        <v>28</v>
      </c>
      <c r="K2" t="s">
        <v>29</v>
      </c>
      <c r="L2" t="s">
        <v>30</v>
      </c>
      <c r="M2" t="s">
        <v>31</v>
      </c>
      <c r="N2" t="s">
        <v>32</v>
      </c>
      <c r="O2" t="s">
        <v>33</v>
      </c>
      <c r="P2">
        <v>261.95999999999998</v>
      </c>
      <c r="Q2">
        <v>2</v>
      </c>
      <c r="R2">
        <v>0</v>
      </c>
      <c r="S2">
        <v>41.913600000000002</v>
      </c>
      <c r="T2" t="s">
        <v>34</v>
      </c>
      <c r="U2" t="s">
        <v>35</v>
      </c>
    </row>
    <row r="3" spans="1:21" x14ac:dyDescent="0.25">
      <c r="A3" t="s">
        <v>21</v>
      </c>
      <c r="B3" s="1">
        <v>42682</v>
      </c>
      <c r="C3" s="1">
        <v>42685</v>
      </c>
      <c r="D3" t="s">
        <v>22</v>
      </c>
      <c r="E3" t="s">
        <v>23</v>
      </c>
      <c r="F3" t="s">
        <v>24</v>
      </c>
      <c r="G3" t="s">
        <v>25</v>
      </c>
      <c r="H3" t="s">
        <v>26</v>
      </c>
      <c r="I3" t="s">
        <v>27</v>
      </c>
      <c r="J3" t="s">
        <v>28</v>
      </c>
      <c r="K3" t="s">
        <v>29</v>
      </c>
      <c r="L3" t="s">
        <v>36</v>
      </c>
      <c r="M3" t="s">
        <v>31</v>
      </c>
      <c r="N3" t="s">
        <v>37</v>
      </c>
      <c r="O3" t="s">
        <v>38</v>
      </c>
      <c r="P3">
        <v>731.94</v>
      </c>
      <c r="Q3">
        <v>3</v>
      </c>
      <c r="R3">
        <v>0</v>
      </c>
      <c r="S3">
        <v>219.58199999999999</v>
      </c>
      <c r="T3" t="s">
        <v>34</v>
      </c>
      <c r="U3" t="s">
        <v>35</v>
      </c>
    </row>
    <row r="4" spans="1:21" x14ac:dyDescent="0.25">
      <c r="A4" t="s">
        <v>39</v>
      </c>
      <c r="B4" s="1">
        <v>42288</v>
      </c>
      <c r="C4" s="1">
        <v>42295</v>
      </c>
      <c r="D4" t="s">
        <v>40</v>
      </c>
      <c r="E4" t="s">
        <v>41</v>
      </c>
      <c r="F4" t="s">
        <v>42</v>
      </c>
      <c r="G4" t="s">
        <v>25</v>
      </c>
      <c r="H4" t="s">
        <v>26</v>
      </c>
      <c r="I4" t="s">
        <v>43</v>
      </c>
      <c r="J4" t="s">
        <v>44</v>
      </c>
      <c r="K4" t="s">
        <v>29</v>
      </c>
      <c r="L4" t="s">
        <v>45</v>
      </c>
      <c r="M4" t="s">
        <v>31</v>
      </c>
      <c r="N4" t="s">
        <v>46</v>
      </c>
      <c r="O4" t="s">
        <v>47</v>
      </c>
      <c r="P4">
        <v>957.57749999999999</v>
      </c>
      <c r="Q4">
        <v>5</v>
      </c>
      <c r="R4">
        <v>0.45</v>
      </c>
      <c r="S4">
        <v>-383.03100000000001</v>
      </c>
      <c r="T4" t="s">
        <v>48</v>
      </c>
      <c r="U4" t="s">
        <v>49</v>
      </c>
    </row>
    <row r="5" spans="1:21" x14ac:dyDescent="0.25">
      <c r="A5" t="s">
        <v>50</v>
      </c>
      <c r="B5" s="1">
        <v>41799</v>
      </c>
      <c r="C5" s="1">
        <v>41804</v>
      </c>
      <c r="D5" t="s">
        <v>40</v>
      </c>
      <c r="E5" t="s">
        <v>51</v>
      </c>
      <c r="F5" t="s">
        <v>52</v>
      </c>
      <c r="G5" t="s">
        <v>25</v>
      </c>
      <c r="H5" t="s">
        <v>26</v>
      </c>
      <c r="I5" t="s">
        <v>53</v>
      </c>
      <c r="J5" t="s">
        <v>54</v>
      </c>
      <c r="K5" t="s">
        <v>55</v>
      </c>
      <c r="L5" t="s">
        <v>56</v>
      </c>
      <c r="M5" t="s">
        <v>31</v>
      </c>
      <c r="N5" t="s">
        <v>57</v>
      </c>
      <c r="O5" t="s">
        <v>58</v>
      </c>
      <c r="P5">
        <v>48.86</v>
      </c>
      <c r="Q5">
        <v>7</v>
      </c>
      <c r="R5">
        <v>0</v>
      </c>
      <c r="S5">
        <v>14.1694</v>
      </c>
      <c r="T5" t="s">
        <v>59</v>
      </c>
      <c r="U5" t="s">
        <v>60</v>
      </c>
    </row>
    <row r="6" spans="1:21" x14ac:dyDescent="0.25">
      <c r="A6" t="s">
        <v>50</v>
      </c>
      <c r="B6" s="1">
        <v>41799</v>
      </c>
      <c r="C6" s="1">
        <v>41804</v>
      </c>
      <c r="D6" t="s">
        <v>40</v>
      </c>
      <c r="E6" t="s">
        <v>51</v>
      </c>
      <c r="F6" t="s">
        <v>52</v>
      </c>
      <c r="G6" t="s">
        <v>25</v>
      </c>
      <c r="H6" t="s">
        <v>26</v>
      </c>
      <c r="I6" t="s">
        <v>53</v>
      </c>
      <c r="J6" t="s">
        <v>54</v>
      </c>
      <c r="K6" t="s">
        <v>55</v>
      </c>
      <c r="L6" t="s">
        <v>61</v>
      </c>
      <c r="M6" t="s">
        <v>31</v>
      </c>
      <c r="N6" t="s">
        <v>46</v>
      </c>
      <c r="O6" t="s">
        <v>62</v>
      </c>
      <c r="P6">
        <v>1706.184</v>
      </c>
      <c r="Q6">
        <v>9</v>
      </c>
      <c r="R6">
        <v>0.2</v>
      </c>
      <c r="S6">
        <v>85.309200000000004</v>
      </c>
      <c r="T6" t="s">
        <v>59</v>
      </c>
      <c r="U6" t="s">
        <v>60</v>
      </c>
    </row>
    <row r="7" spans="1:21" x14ac:dyDescent="0.25">
      <c r="A7" t="s">
        <v>63</v>
      </c>
      <c r="B7" s="1">
        <v>42932</v>
      </c>
      <c r="C7" s="1">
        <v>42934</v>
      </c>
      <c r="D7" t="s">
        <v>22</v>
      </c>
      <c r="E7" t="s">
        <v>64</v>
      </c>
      <c r="F7" t="s">
        <v>65</v>
      </c>
      <c r="G7" t="s">
        <v>25</v>
      </c>
      <c r="H7" t="s">
        <v>26</v>
      </c>
      <c r="I7" t="s">
        <v>66</v>
      </c>
      <c r="J7" t="s">
        <v>67</v>
      </c>
      <c r="K7" t="s">
        <v>68</v>
      </c>
      <c r="L7" t="s">
        <v>69</v>
      </c>
      <c r="M7" t="s">
        <v>31</v>
      </c>
      <c r="N7" t="s">
        <v>37</v>
      </c>
      <c r="O7" t="s">
        <v>70</v>
      </c>
      <c r="P7">
        <v>71.372</v>
      </c>
      <c r="Q7">
        <v>2</v>
      </c>
      <c r="R7">
        <v>0.3</v>
      </c>
      <c r="S7">
        <v>-1.0196000000000001</v>
      </c>
      <c r="T7" t="s">
        <v>71</v>
      </c>
      <c r="U7" t="s">
        <v>72</v>
      </c>
    </row>
    <row r="8" spans="1:21" x14ac:dyDescent="0.25">
      <c r="A8" t="s">
        <v>73</v>
      </c>
      <c r="B8" s="1">
        <v>42272</v>
      </c>
      <c r="C8" s="1">
        <v>42277</v>
      </c>
      <c r="D8" t="s">
        <v>40</v>
      </c>
      <c r="E8" t="s">
        <v>74</v>
      </c>
      <c r="F8" t="s">
        <v>75</v>
      </c>
      <c r="G8" t="s">
        <v>25</v>
      </c>
      <c r="H8" t="s">
        <v>26</v>
      </c>
      <c r="I8" t="s">
        <v>76</v>
      </c>
      <c r="J8" t="s">
        <v>77</v>
      </c>
      <c r="K8" t="s">
        <v>55</v>
      </c>
      <c r="L8" t="s">
        <v>45</v>
      </c>
      <c r="M8" t="s">
        <v>31</v>
      </c>
      <c r="N8" t="s">
        <v>46</v>
      </c>
      <c r="O8" t="s">
        <v>47</v>
      </c>
      <c r="P8">
        <v>1044.6300000000001</v>
      </c>
      <c r="Q8">
        <v>3</v>
      </c>
      <c r="R8">
        <v>0</v>
      </c>
      <c r="S8">
        <v>240.26490000000001</v>
      </c>
      <c r="T8" t="s">
        <v>59</v>
      </c>
      <c r="U8" t="s">
        <v>78</v>
      </c>
    </row>
    <row r="9" spans="1:21" x14ac:dyDescent="0.25">
      <c r="A9" t="s">
        <v>79</v>
      </c>
      <c r="B9" s="1">
        <v>42264</v>
      </c>
      <c r="C9" s="1">
        <v>42268</v>
      </c>
      <c r="D9" t="s">
        <v>40</v>
      </c>
      <c r="E9" t="s">
        <v>80</v>
      </c>
      <c r="F9" t="s">
        <v>81</v>
      </c>
      <c r="G9" t="s">
        <v>25</v>
      </c>
      <c r="H9" t="s">
        <v>26</v>
      </c>
      <c r="I9" t="s">
        <v>66</v>
      </c>
      <c r="J9" t="s">
        <v>67</v>
      </c>
      <c r="K9" t="s">
        <v>68</v>
      </c>
      <c r="L9" t="s">
        <v>82</v>
      </c>
      <c r="M9" t="s">
        <v>31</v>
      </c>
      <c r="N9" t="s">
        <v>32</v>
      </c>
      <c r="O9" t="s">
        <v>83</v>
      </c>
      <c r="P9">
        <v>3083.43</v>
      </c>
      <c r="Q9">
        <v>7</v>
      </c>
      <c r="R9">
        <v>0.5</v>
      </c>
      <c r="S9">
        <v>-1665.0522000000001</v>
      </c>
      <c r="T9" t="s">
        <v>84</v>
      </c>
      <c r="U9" t="s">
        <v>78</v>
      </c>
    </row>
    <row r="10" spans="1:21" x14ac:dyDescent="0.25">
      <c r="A10" t="s">
        <v>79</v>
      </c>
      <c r="B10" s="1">
        <v>42264</v>
      </c>
      <c r="C10" s="1">
        <v>42268</v>
      </c>
      <c r="D10" t="s">
        <v>40</v>
      </c>
      <c r="E10" t="s">
        <v>80</v>
      </c>
      <c r="F10" t="s">
        <v>81</v>
      </c>
      <c r="G10" t="s">
        <v>25</v>
      </c>
      <c r="H10" t="s">
        <v>26</v>
      </c>
      <c r="I10" t="s">
        <v>66</v>
      </c>
      <c r="J10" t="s">
        <v>67</v>
      </c>
      <c r="K10" t="s">
        <v>68</v>
      </c>
      <c r="L10" t="s">
        <v>85</v>
      </c>
      <c r="M10" t="s">
        <v>31</v>
      </c>
      <c r="N10" t="s">
        <v>57</v>
      </c>
      <c r="O10" t="s">
        <v>86</v>
      </c>
      <c r="P10">
        <v>124.2</v>
      </c>
      <c r="Q10">
        <v>3</v>
      </c>
      <c r="R10">
        <v>0.2</v>
      </c>
      <c r="S10">
        <v>15.525</v>
      </c>
      <c r="T10" t="s">
        <v>84</v>
      </c>
      <c r="U10" t="s">
        <v>78</v>
      </c>
    </row>
    <row r="11" spans="1:21" x14ac:dyDescent="0.25">
      <c r="A11" t="s">
        <v>87</v>
      </c>
      <c r="B11" s="1">
        <v>42712</v>
      </c>
      <c r="C11" s="1">
        <v>42714</v>
      </c>
      <c r="D11" t="s">
        <v>88</v>
      </c>
      <c r="E11" t="s">
        <v>89</v>
      </c>
      <c r="F11" t="s">
        <v>90</v>
      </c>
      <c r="G11" t="s">
        <v>91</v>
      </c>
      <c r="H11" t="s">
        <v>26</v>
      </c>
      <c r="I11" t="s">
        <v>92</v>
      </c>
      <c r="J11" t="s">
        <v>93</v>
      </c>
      <c r="K11" t="s">
        <v>94</v>
      </c>
      <c r="L11" t="s">
        <v>95</v>
      </c>
      <c r="M11" t="s">
        <v>31</v>
      </c>
      <c r="N11" t="s">
        <v>57</v>
      </c>
      <c r="O11" t="s">
        <v>96</v>
      </c>
      <c r="P11">
        <v>190.92</v>
      </c>
      <c r="Q11">
        <v>5</v>
      </c>
      <c r="R11">
        <v>0.6</v>
      </c>
      <c r="S11">
        <v>-147.96299999999999</v>
      </c>
      <c r="T11" t="s">
        <v>71</v>
      </c>
      <c r="U11" t="s">
        <v>97</v>
      </c>
    </row>
    <row r="12" spans="1:21" x14ac:dyDescent="0.25">
      <c r="A12" t="s">
        <v>98</v>
      </c>
      <c r="B12" s="1">
        <v>42365</v>
      </c>
      <c r="C12" s="1">
        <v>42369</v>
      </c>
      <c r="D12" t="s">
        <v>40</v>
      </c>
      <c r="E12" t="s">
        <v>99</v>
      </c>
      <c r="F12" t="s">
        <v>100</v>
      </c>
      <c r="G12" t="s">
        <v>101</v>
      </c>
      <c r="H12" t="s">
        <v>26</v>
      </c>
      <c r="I12" t="s">
        <v>102</v>
      </c>
      <c r="J12" t="s">
        <v>93</v>
      </c>
      <c r="K12" t="s">
        <v>94</v>
      </c>
      <c r="L12" t="s">
        <v>103</v>
      </c>
      <c r="M12" t="s">
        <v>31</v>
      </c>
      <c r="N12" t="s">
        <v>32</v>
      </c>
      <c r="O12" t="s">
        <v>104</v>
      </c>
      <c r="P12">
        <v>532.39919999999995</v>
      </c>
      <c r="Q12">
        <v>3</v>
      </c>
      <c r="R12">
        <v>0.32</v>
      </c>
      <c r="S12">
        <v>-46.976399999999998</v>
      </c>
      <c r="T12" t="s">
        <v>84</v>
      </c>
      <c r="U12" t="s">
        <v>97</v>
      </c>
    </row>
    <row r="13" spans="1:21" x14ac:dyDescent="0.25">
      <c r="A13" t="s">
        <v>98</v>
      </c>
      <c r="B13" s="1">
        <v>42365</v>
      </c>
      <c r="C13" s="1">
        <v>42369</v>
      </c>
      <c r="D13" t="s">
        <v>40</v>
      </c>
      <c r="E13" t="s">
        <v>99</v>
      </c>
      <c r="F13" t="s">
        <v>100</v>
      </c>
      <c r="G13" t="s">
        <v>101</v>
      </c>
      <c r="H13" t="s">
        <v>26</v>
      </c>
      <c r="I13" t="s">
        <v>102</v>
      </c>
      <c r="J13" t="s">
        <v>93</v>
      </c>
      <c r="K13" t="s">
        <v>94</v>
      </c>
      <c r="L13" t="s">
        <v>105</v>
      </c>
      <c r="M13" t="s">
        <v>31</v>
      </c>
      <c r="N13" t="s">
        <v>37</v>
      </c>
      <c r="O13" t="s">
        <v>106</v>
      </c>
      <c r="P13">
        <v>212.05799999999999</v>
      </c>
      <c r="Q13">
        <v>3</v>
      </c>
      <c r="R13">
        <v>0.3</v>
      </c>
      <c r="S13">
        <v>-15.147</v>
      </c>
      <c r="T13" t="s">
        <v>84</v>
      </c>
      <c r="U13" t="s">
        <v>97</v>
      </c>
    </row>
    <row r="14" spans="1:21" x14ac:dyDescent="0.25">
      <c r="A14" t="s">
        <v>107</v>
      </c>
      <c r="B14" s="1">
        <v>42112</v>
      </c>
      <c r="C14" s="1">
        <v>42116</v>
      </c>
      <c r="D14" t="s">
        <v>40</v>
      </c>
      <c r="E14" t="s">
        <v>108</v>
      </c>
      <c r="F14" t="s">
        <v>109</v>
      </c>
      <c r="G14" t="s">
        <v>25</v>
      </c>
      <c r="H14" t="s">
        <v>26</v>
      </c>
      <c r="I14" t="s">
        <v>110</v>
      </c>
      <c r="J14" t="s">
        <v>111</v>
      </c>
      <c r="K14" t="s">
        <v>94</v>
      </c>
      <c r="L14" t="s">
        <v>112</v>
      </c>
      <c r="M14" t="s">
        <v>31</v>
      </c>
      <c r="N14" t="s">
        <v>57</v>
      </c>
      <c r="O14" t="s">
        <v>113</v>
      </c>
      <c r="P14">
        <v>6.16</v>
      </c>
      <c r="Q14">
        <v>2</v>
      </c>
      <c r="R14">
        <v>0</v>
      </c>
      <c r="S14">
        <v>2.9567999999999999</v>
      </c>
      <c r="T14" t="s">
        <v>84</v>
      </c>
      <c r="U14" t="s">
        <v>114</v>
      </c>
    </row>
    <row r="15" spans="1:21" x14ac:dyDescent="0.25">
      <c r="A15" t="s">
        <v>107</v>
      </c>
      <c r="B15" s="1">
        <v>42112</v>
      </c>
      <c r="C15" s="1">
        <v>42116</v>
      </c>
      <c r="D15" t="s">
        <v>40</v>
      </c>
      <c r="E15" t="s">
        <v>108</v>
      </c>
      <c r="F15" t="s">
        <v>109</v>
      </c>
      <c r="G15" t="s">
        <v>25</v>
      </c>
      <c r="H15" t="s">
        <v>26</v>
      </c>
      <c r="I15" t="s">
        <v>110</v>
      </c>
      <c r="J15" t="s">
        <v>111</v>
      </c>
      <c r="K15" t="s">
        <v>94</v>
      </c>
      <c r="L15" t="s">
        <v>115</v>
      </c>
      <c r="M15" t="s">
        <v>31</v>
      </c>
      <c r="N15" t="s">
        <v>37</v>
      </c>
      <c r="O15" t="s">
        <v>116</v>
      </c>
      <c r="P15">
        <v>89.99</v>
      </c>
      <c r="Q15">
        <v>1</v>
      </c>
      <c r="R15">
        <v>0</v>
      </c>
      <c r="S15">
        <v>17.098099999999999</v>
      </c>
      <c r="T15" t="s">
        <v>84</v>
      </c>
      <c r="U15" t="s">
        <v>114</v>
      </c>
    </row>
    <row r="16" spans="1:21" x14ac:dyDescent="0.25">
      <c r="A16" t="s">
        <v>117</v>
      </c>
      <c r="B16" s="1">
        <v>42538</v>
      </c>
      <c r="C16" s="1">
        <v>42539</v>
      </c>
      <c r="D16" t="s">
        <v>88</v>
      </c>
      <c r="E16" t="s">
        <v>118</v>
      </c>
      <c r="F16" t="s">
        <v>119</v>
      </c>
      <c r="G16" t="s">
        <v>25</v>
      </c>
      <c r="H16" t="s">
        <v>26</v>
      </c>
      <c r="I16" t="s">
        <v>120</v>
      </c>
      <c r="J16" t="s">
        <v>121</v>
      </c>
      <c r="K16" t="s">
        <v>68</v>
      </c>
      <c r="L16" t="s">
        <v>122</v>
      </c>
      <c r="M16" t="s">
        <v>31</v>
      </c>
      <c r="N16" t="s">
        <v>37</v>
      </c>
      <c r="O16" t="s">
        <v>123</v>
      </c>
      <c r="P16">
        <v>319.41000000000003</v>
      </c>
      <c r="Q16">
        <v>5</v>
      </c>
      <c r="R16">
        <v>0.1</v>
      </c>
      <c r="S16">
        <v>7.0979999999999999</v>
      </c>
      <c r="T16" t="s">
        <v>124</v>
      </c>
      <c r="U16" t="s">
        <v>60</v>
      </c>
    </row>
    <row r="17" spans="1:21" x14ac:dyDescent="0.25">
      <c r="A17" t="s">
        <v>125</v>
      </c>
      <c r="B17" s="1">
        <v>42332</v>
      </c>
      <c r="C17" s="1">
        <v>42338</v>
      </c>
      <c r="D17" t="s">
        <v>40</v>
      </c>
      <c r="E17" t="s">
        <v>126</v>
      </c>
      <c r="F17" t="s">
        <v>127</v>
      </c>
      <c r="G17" t="s">
        <v>25</v>
      </c>
      <c r="H17" t="s">
        <v>26</v>
      </c>
      <c r="I17" t="s">
        <v>53</v>
      </c>
      <c r="J17" t="s">
        <v>54</v>
      </c>
      <c r="K17" t="s">
        <v>55</v>
      </c>
      <c r="L17" t="s">
        <v>128</v>
      </c>
      <c r="M17" t="s">
        <v>31</v>
      </c>
      <c r="N17" t="s">
        <v>57</v>
      </c>
      <c r="O17" t="s">
        <v>129</v>
      </c>
      <c r="P17">
        <v>79.760000000000005</v>
      </c>
      <c r="Q17">
        <v>4</v>
      </c>
      <c r="R17">
        <v>0</v>
      </c>
      <c r="S17">
        <v>22.332799999999999</v>
      </c>
      <c r="T17" t="s">
        <v>130</v>
      </c>
      <c r="U17" t="s">
        <v>35</v>
      </c>
    </row>
    <row r="18" spans="1:21" x14ac:dyDescent="0.25">
      <c r="A18" t="s">
        <v>131</v>
      </c>
      <c r="B18" s="1">
        <v>42124</v>
      </c>
      <c r="C18" s="1">
        <v>42129</v>
      </c>
      <c r="D18" t="s">
        <v>40</v>
      </c>
      <c r="E18" t="s">
        <v>132</v>
      </c>
      <c r="F18" t="s">
        <v>133</v>
      </c>
      <c r="G18" t="s">
        <v>101</v>
      </c>
      <c r="H18" t="s">
        <v>26</v>
      </c>
      <c r="I18" t="s">
        <v>134</v>
      </c>
      <c r="J18" t="s">
        <v>135</v>
      </c>
      <c r="K18" t="s">
        <v>94</v>
      </c>
      <c r="L18" t="s">
        <v>136</v>
      </c>
      <c r="M18" t="s">
        <v>31</v>
      </c>
      <c r="N18" t="s">
        <v>37</v>
      </c>
      <c r="O18" t="s">
        <v>137</v>
      </c>
      <c r="P18">
        <v>213.11500000000001</v>
      </c>
      <c r="Q18">
        <v>5</v>
      </c>
      <c r="R18">
        <v>0.3</v>
      </c>
      <c r="S18">
        <v>-15.2225</v>
      </c>
      <c r="T18" t="s">
        <v>59</v>
      </c>
      <c r="U18" t="s">
        <v>114</v>
      </c>
    </row>
    <row r="19" spans="1:21" x14ac:dyDescent="0.25">
      <c r="A19" t="s">
        <v>138</v>
      </c>
      <c r="B19" s="1">
        <v>42120</v>
      </c>
      <c r="C19" s="1">
        <v>42126</v>
      </c>
      <c r="D19" t="s">
        <v>40</v>
      </c>
      <c r="E19" t="s">
        <v>139</v>
      </c>
      <c r="F19" t="s">
        <v>140</v>
      </c>
      <c r="G19" t="s">
        <v>25</v>
      </c>
      <c r="H19" t="s">
        <v>26</v>
      </c>
      <c r="I19" t="s">
        <v>141</v>
      </c>
      <c r="J19" t="s">
        <v>142</v>
      </c>
      <c r="K19" t="s">
        <v>29</v>
      </c>
      <c r="L19" t="s">
        <v>143</v>
      </c>
      <c r="M19" t="s">
        <v>31</v>
      </c>
      <c r="N19" t="s">
        <v>37</v>
      </c>
      <c r="O19" t="s">
        <v>144</v>
      </c>
      <c r="P19">
        <v>831.93600000000004</v>
      </c>
      <c r="Q19">
        <v>8</v>
      </c>
      <c r="R19">
        <v>0.2</v>
      </c>
      <c r="S19">
        <v>-114.3912</v>
      </c>
      <c r="T19" t="s">
        <v>130</v>
      </c>
      <c r="U19" t="s">
        <v>114</v>
      </c>
    </row>
    <row r="20" spans="1:21" x14ac:dyDescent="0.25">
      <c r="A20" t="s">
        <v>138</v>
      </c>
      <c r="B20" s="1">
        <v>42120</v>
      </c>
      <c r="C20" s="1">
        <v>42126</v>
      </c>
      <c r="D20" t="s">
        <v>40</v>
      </c>
      <c r="E20" t="s">
        <v>139</v>
      </c>
      <c r="F20" t="s">
        <v>140</v>
      </c>
      <c r="G20" t="s">
        <v>25</v>
      </c>
      <c r="H20" t="s">
        <v>26</v>
      </c>
      <c r="I20" t="s">
        <v>141</v>
      </c>
      <c r="J20" t="s">
        <v>142</v>
      </c>
      <c r="K20" t="s">
        <v>29</v>
      </c>
      <c r="L20" t="s">
        <v>145</v>
      </c>
      <c r="M20" t="s">
        <v>31</v>
      </c>
      <c r="N20" t="s">
        <v>57</v>
      </c>
      <c r="O20" t="s">
        <v>146</v>
      </c>
      <c r="P20">
        <v>97.04</v>
      </c>
      <c r="Q20">
        <v>2</v>
      </c>
      <c r="R20">
        <v>0.2</v>
      </c>
      <c r="S20">
        <v>1.2130000000000001</v>
      </c>
      <c r="T20" t="s">
        <v>130</v>
      </c>
      <c r="U20" t="s">
        <v>114</v>
      </c>
    </row>
    <row r="21" spans="1:21" x14ac:dyDescent="0.25">
      <c r="A21" t="s">
        <v>147</v>
      </c>
      <c r="B21" s="1">
        <v>43078</v>
      </c>
      <c r="C21" s="1">
        <v>43080</v>
      </c>
      <c r="D21" t="s">
        <v>88</v>
      </c>
      <c r="E21" t="s">
        <v>148</v>
      </c>
      <c r="F21" t="s">
        <v>149</v>
      </c>
      <c r="G21" t="s">
        <v>91</v>
      </c>
      <c r="H21" t="s">
        <v>26</v>
      </c>
      <c r="I21" t="s">
        <v>102</v>
      </c>
      <c r="J21" t="s">
        <v>93</v>
      </c>
      <c r="K21" t="s">
        <v>94</v>
      </c>
      <c r="L21" t="s">
        <v>150</v>
      </c>
      <c r="M21" t="s">
        <v>31</v>
      </c>
      <c r="N21" t="s">
        <v>57</v>
      </c>
      <c r="O21" t="s">
        <v>151</v>
      </c>
      <c r="P21">
        <v>9.7080000000000002</v>
      </c>
      <c r="Q21">
        <v>3</v>
      </c>
      <c r="R21">
        <v>0.6</v>
      </c>
      <c r="S21">
        <v>-5.8247999999999998</v>
      </c>
      <c r="T21" t="s">
        <v>71</v>
      </c>
      <c r="U21" t="s">
        <v>97</v>
      </c>
    </row>
    <row r="22" spans="1:21" x14ac:dyDescent="0.25">
      <c r="A22" t="s">
        <v>152</v>
      </c>
      <c r="B22" s="1">
        <v>41969</v>
      </c>
      <c r="C22" s="1">
        <v>41974</v>
      </c>
      <c r="D22" t="s">
        <v>22</v>
      </c>
      <c r="E22" t="s">
        <v>139</v>
      </c>
      <c r="F22" t="s">
        <v>140</v>
      </c>
      <c r="G22" t="s">
        <v>25</v>
      </c>
      <c r="H22" t="s">
        <v>26</v>
      </c>
      <c r="I22" t="s">
        <v>102</v>
      </c>
      <c r="J22" t="s">
        <v>93</v>
      </c>
      <c r="K22" t="s">
        <v>94</v>
      </c>
      <c r="L22" t="s">
        <v>153</v>
      </c>
      <c r="M22" t="s">
        <v>31</v>
      </c>
      <c r="N22" t="s">
        <v>57</v>
      </c>
      <c r="O22" t="s">
        <v>154</v>
      </c>
      <c r="P22">
        <v>19.3</v>
      </c>
      <c r="Q22">
        <v>5</v>
      </c>
      <c r="R22">
        <v>0.6</v>
      </c>
      <c r="S22">
        <v>-14.475</v>
      </c>
      <c r="T22" t="s">
        <v>59</v>
      </c>
      <c r="U22" t="s">
        <v>35</v>
      </c>
    </row>
    <row r="23" spans="1:21" x14ac:dyDescent="0.25">
      <c r="A23" t="s">
        <v>155</v>
      </c>
      <c r="B23" s="1">
        <v>42883</v>
      </c>
      <c r="C23" s="1">
        <v>42885</v>
      </c>
      <c r="D23" t="s">
        <v>22</v>
      </c>
      <c r="E23" t="s">
        <v>156</v>
      </c>
      <c r="F23" t="s">
        <v>157</v>
      </c>
      <c r="G23" t="s">
        <v>25</v>
      </c>
      <c r="H23" t="s">
        <v>26</v>
      </c>
      <c r="I23" t="s">
        <v>158</v>
      </c>
      <c r="J23" t="s">
        <v>159</v>
      </c>
      <c r="K23" t="s">
        <v>29</v>
      </c>
      <c r="L23" t="s">
        <v>160</v>
      </c>
      <c r="M23" t="s">
        <v>31</v>
      </c>
      <c r="N23" t="s">
        <v>37</v>
      </c>
      <c r="O23" t="s">
        <v>161</v>
      </c>
      <c r="P23">
        <v>301.95999999999998</v>
      </c>
      <c r="Q23">
        <v>2</v>
      </c>
      <c r="R23">
        <v>0</v>
      </c>
      <c r="S23">
        <v>33.215600000000002</v>
      </c>
      <c r="T23" t="s">
        <v>71</v>
      </c>
      <c r="U23" t="s">
        <v>162</v>
      </c>
    </row>
    <row r="24" spans="1:21" x14ac:dyDescent="0.25">
      <c r="A24" t="s">
        <v>163</v>
      </c>
      <c r="B24" s="1">
        <v>42035</v>
      </c>
      <c r="C24" s="1">
        <v>42040</v>
      </c>
      <c r="D24" t="s">
        <v>22</v>
      </c>
      <c r="E24" t="s">
        <v>164</v>
      </c>
      <c r="F24" t="s">
        <v>165</v>
      </c>
      <c r="G24" t="s">
        <v>25</v>
      </c>
      <c r="H24" t="s">
        <v>26</v>
      </c>
      <c r="I24" t="s">
        <v>166</v>
      </c>
      <c r="J24" t="s">
        <v>167</v>
      </c>
      <c r="K24" t="s">
        <v>94</v>
      </c>
      <c r="L24" t="s">
        <v>168</v>
      </c>
      <c r="M24" t="s">
        <v>31</v>
      </c>
      <c r="N24" t="s">
        <v>57</v>
      </c>
      <c r="O24" t="s">
        <v>169</v>
      </c>
      <c r="P24">
        <v>53.34</v>
      </c>
      <c r="Q24">
        <v>3</v>
      </c>
      <c r="R24">
        <v>0</v>
      </c>
      <c r="S24">
        <v>16.535399999999999</v>
      </c>
      <c r="T24" t="s">
        <v>59</v>
      </c>
      <c r="U24" t="s">
        <v>170</v>
      </c>
    </row>
    <row r="25" spans="1:21" x14ac:dyDescent="0.25">
      <c r="A25" t="s">
        <v>171</v>
      </c>
      <c r="B25" s="1">
        <v>43048</v>
      </c>
      <c r="C25" s="1">
        <v>43050</v>
      </c>
      <c r="D25" t="s">
        <v>22</v>
      </c>
      <c r="E25" t="s">
        <v>172</v>
      </c>
      <c r="F25" t="s">
        <v>173</v>
      </c>
      <c r="G25" t="s">
        <v>101</v>
      </c>
      <c r="H25" t="s">
        <v>26</v>
      </c>
      <c r="I25" t="s">
        <v>174</v>
      </c>
      <c r="J25" t="s">
        <v>121</v>
      </c>
      <c r="K25" t="s">
        <v>68</v>
      </c>
      <c r="L25" t="s">
        <v>175</v>
      </c>
      <c r="M25" t="s">
        <v>31</v>
      </c>
      <c r="N25" t="s">
        <v>57</v>
      </c>
      <c r="O25" t="s">
        <v>176</v>
      </c>
      <c r="P25">
        <v>96.53</v>
      </c>
      <c r="Q25">
        <v>7</v>
      </c>
      <c r="R25">
        <v>0</v>
      </c>
      <c r="S25">
        <v>40.5426</v>
      </c>
      <c r="T25" t="s">
        <v>71</v>
      </c>
      <c r="U25" t="s">
        <v>35</v>
      </c>
    </row>
    <row r="26" spans="1:21" x14ac:dyDescent="0.25">
      <c r="A26" t="s">
        <v>177</v>
      </c>
      <c r="B26" s="1">
        <v>42321</v>
      </c>
      <c r="C26" s="1">
        <v>42325</v>
      </c>
      <c r="D26" t="s">
        <v>40</v>
      </c>
      <c r="E26" t="s">
        <v>178</v>
      </c>
      <c r="F26" t="s">
        <v>179</v>
      </c>
      <c r="G26" t="s">
        <v>25</v>
      </c>
      <c r="H26" t="s">
        <v>26</v>
      </c>
      <c r="I26" t="s">
        <v>180</v>
      </c>
      <c r="J26" t="s">
        <v>181</v>
      </c>
      <c r="K26" t="s">
        <v>55</v>
      </c>
      <c r="L26" t="s">
        <v>182</v>
      </c>
      <c r="M26" t="s">
        <v>31</v>
      </c>
      <c r="N26" t="s">
        <v>57</v>
      </c>
      <c r="O26" t="s">
        <v>183</v>
      </c>
      <c r="P26">
        <v>102.36</v>
      </c>
      <c r="Q26">
        <v>3</v>
      </c>
      <c r="R26">
        <v>0.2</v>
      </c>
      <c r="S26">
        <v>-3.8384999999999998</v>
      </c>
      <c r="T26" t="s">
        <v>84</v>
      </c>
      <c r="U26" t="s">
        <v>35</v>
      </c>
    </row>
    <row r="27" spans="1:21" x14ac:dyDescent="0.25">
      <c r="A27" t="s">
        <v>184</v>
      </c>
      <c r="B27" s="1">
        <v>43094</v>
      </c>
      <c r="C27" s="1">
        <v>43099</v>
      </c>
      <c r="D27" t="s">
        <v>40</v>
      </c>
      <c r="E27" t="s">
        <v>185</v>
      </c>
      <c r="F27" t="s">
        <v>186</v>
      </c>
      <c r="G27" t="s">
        <v>91</v>
      </c>
      <c r="H27" t="s">
        <v>26</v>
      </c>
      <c r="I27" t="s">
        <v>174</v>
      </c>
      <c r="J27" t="s">
        <v>121</v>
      </c>
      <c r="K27" t="s">
        <v>68</v>
      </c>
      <c r="L27" t="s">
        <v>187</v>
      </c>
      <c r="M27" t="s">
        <v>31</v>
      </c>
      <c r="N27" t="s">
        <v>57</v>
      </c>
      <c r="O27" t="s">
        <v>188</v>
      </c>
      <c r="P27">
        <v>41.96</v>
      </c>
      <c r="Q27">
        <v>2</v>
      </c>
      <c r="R27">
        <v>0</v>
      </c>
      <c r="S27">
        <v>10.909599999999999</v>
      </c>
      <c r="T27" t="s">
        <v>59</v>
      </c>
      <c r="U27" t="s">
        <v>97</v>
      </c>
    </row>
    <row r="28" spans="1:21" x14ac:dyDescent="0.25">
      <c r="A28" t="s">
        <v>189</v>
      </c>
      <c r="B28" s="1">
        <v>42065</v>
      </c>
      <c r="C28" s="1">
        <v>42069</v>
      </c>
      <c r="D28" t="s">
        <v>40</v>
      </c>
      <c r="E28" t="s">
        <v>190</v>
      </c>
      <c r="F28" t="s">
        <v>191</v>
      </c>
      <c r="G28" t="s">
        <v>25</v>
      </c>
      <c r="H28" t="s">
        <v>26</v>
      </c>
      <c r="I28" t="s">
        <v>192</v>
      </c>
      <c r="J28" t="s">
        <v>193</v>
      </c>
      <c r="K28" t="s">
        <v>55</v>
      </c>
      <c r="L28" t="s">
        <v>194</v>
      </c>
      <c r="M28" t="s">
        <v>31</v>
      </c>
      <c r="N28" t="s">
        <v>46</v>
      </c>
      <c r="O28" t="s">
        <v>195</v>
      </c>
      <c r="P28">
        <v>787.53</v>
      </c>
      <c r="Q28">
        <v>3</v>
      </c>
      <c r="R28">
        <v>0</v>
      </c>
      <c r="S28">
        <v>165.38130000000001</v>
      </c>
      <c r="T28" t="s">
        <v>84</v>
      </c>
      <c r="U28" t="s">
        <v>196</v>
      </c>
    </row>
    <row r="29" spans="1:21" x14ac:dyDescent="0.25">
      <c r="A29" t="s">
        <v>197</v>
      </c>
      <c r="B29" s="1">
        <v>42533</v>
      </c>
      <c r="C29" s="1">
        <v>42536</v>
      </c>
      <c r="D29" t="s">
        <v>88</v>
      </c>
      <c r="E29" t="s">
        <v>198</v>
      </c>
      <c r="F29" t="s">
        <v>199</v>
      </c>
      <c r="G29" t="s">
        <v>25</v>
      </c>
      <c r="H29" t="s">
        <v>26</v>
      </c>
      <c r="I29" t="s">
        <v>200</v>
      </c>
      <c r="J29" t="s">
        <v>201</v>
      </c>
      <c r="K29" t="s">
        <v>68</v>
      </c>
      <c r="L29" t="s">
        <v>202</v>
      </c>
      <c r="M29" t="s">
        <v>31</v>
      </c>
      <c r="N29" t="s">
        <v>57</v>
      </c>
      <c r="O29" t="s">
        <v>203</v>
      </c>
      <c r="P29">
        <v>47.04</v>
      </c>
      <c r="Q29">
        <v>3</v>
      </c>
      <c r="R29">
        <v>0</v>
      </c>
      <c r="S29">
        <v>18.345600000000001</v>
      </c>
      <c r="T29" t="s">
        <v>34</v>
      </c>
      <c r="U29" t="s">
        <v>60</v>
      </c>
    </row>
    <row r="30" spans="1:21" x14ac:dyDescent="0.25">
      <c r="A30" t="s">
        <v>204</v>
      </c>
      <c r="B30" s="1">
        <v>41999</v>
      </c>
      <c r="C30" s="1">
        <v>42001</v>
      </c>
      <c r="D30" t="s">
        <v>22</v>
      </c>
      <c r="E30" t="s">
        <v>205</v>
      </c>
      <c r="F30" t="s">
        <v>206</v>
      </c>
      <c r="G30" t="s">
        <v>101</v>
      </c>
      <c r="H30" t="s">
        <v>26</v>
      </c>
      <c r="I30" t="s">
        <v>102</v>
      </c>
      <c r="J30" t="s">
        <v>93</v>
      </c>
      <c r="K30" t="s">
        <v>94</v>
      </c>
      <c r="L30" t="s">
        <v>207</v>
      </c>
      <c r="M30" t="s">
        <v>31</v>
      </c>
      <c r="N30" t="s">
        <v>37</v>
      </c>
      <c r="O30" t="s">
        <v>208</v>
      </c>
      <c r="P30">
        <v>600.55799999999999</v>
      </c>
      <c r="Q30">
        <v>3</v>
      </c>
      <c r="R30">
        <v>0.3</v>
      </c>
      <c r="S30">
        <v>-8.5793999999999997</v>
      </c>
      <c r="T30" t="s">
        <v>71</v>
      </c>
      <c r="U30" t="s">
        <v>97</v>
      </c>
    </row>
    <row r="31" spans="1:21" x14ac:dyDescent="0.25">
      <c r="A31" t="s">
        <v>209</v>
      </c>
      <c r="B31" s="1">
        <v>41902</v>
      </c>
      <c r="C31" s="1">
        <v>41907</v>
      </c>
      <c r="D31" t="s">
        <v>40</v>
      </c>
      <c r="E31" t="s">
        <v>210</v>
      </c>
      <c r="F31" t="s">
        <v>211</v>
      </c>
      <c r="G31" t="s">
        <v>25</v>
      </c>
      <c r="H31" t="s">
        <v>26</v>
      </c>
      <c r="I31" t="s">
        <v>212</v>
      </c>
      <c r="J31" t="s">
        <v>135</v>
      </c>
      <c r="K31" t="s">
        <v>94</v>
      </c>
      <c r="L31" t="s">
        <v>213</v>
      </c>
      <c r="M31" t="s">
        <v>31</v>
      </c>
      <c r="N31" t="s">
        <v>46</v>
      </c>
      <c r="O31" t="s">
        <v>214</v>
      </c>
      <c r="P31">
        <v>617.70000000000005</v>
      </c>
      <c r="Q31">
        <v>6</v>
      </c>
      <c r="R31">
        <v>0.5</v>
      </c>
      <c r="S31">
        <v>-407.68200000000002</v>
      </c>
      <c r="T31" t="s">
        <v>59</v>
      </c>
      <c r="U31" t="s">
        <v>78</v>
      </c>
    </row>
    <row r="32" spans="1:21" x14ac:dyDescent="0.25">
      <c r="A32" t="s">
        <v>215</v>
      </c>
      <c r="B32" s="1">
        <v>42680</v>
      </c>
      <c r="C32" s="1">
        <v>42684</v>
      </c>
      <c r="D32" t="s">
        <v>22</v>
      </c>
      <c r="E32" t="s">
        <v>216</v>
      </c>
      <c r="F32" t="s">
        <v>217</v>
      </c>
      <c r="G32" t="s">
        <v>101</v>
      </c>
      <c r="H32" t="s">
        <v>26</v>
      </c>
      <c r="I32" t="s">
        <v>53</v>
      </c>
      <c r="J32" t="s">
        <v>54</v>
      </c>
      <c r="K32" t="s">
        <v>55</v>
      </c>
      <c r="L32" t="s">
        <v>136</v>
      </c>
      <c r="M32" t="s">
        <v>31</v>
      </c>
      <c r="N32" t="s">
        <v>37</v>
      </c>
      <c r="O32" t="s">
        <v>218</v>
      </c>
      <c r="P32">
        <v>81.424000000000007</v>
      </c>
      <c r="Q32">
        <v>2</v>
      </c>
      <c r="R32">
        <v>0.2</v>
      </c>
      <c r="S32">
        <v>-9.1601999999999997</v>
      </c>
      <c r="T32" t="s">
        <v>84</v>
      </c>
      <c r="U32" t="s">
        <v>35</v>
      </c>
    </row>
    <row r="33" spans="1:21" x14ac:dyDescent="0.25">
      <c r="A33" t="s">
        <v>215</v>
      </c>
      <c r="B33" s="1">
        <v>42680</v>
      </c>
      <c r="C33" s="1">
        <v>42684</v>
      </c>
      <c r="D33" t="s">
        <v>22</v>
      </c>
      <c r="E33" t="s">
        <v>216</v>
      </c>
      <c r="F33" t="s">
        <v>217</v>
      </c>
      <c r="G33" t="s">
        <v>101</v>
      </c>
      <c r="H33" t="s">
        <v>26</v>
      </c>
      <c r="I33" t="s">
        <v>53</v>
      </c>
      <c r="J33" t="s">
        <v>54</v>
      </c>
      <c r="K33" t="s">
        <v>55</v>
      </c>
      <c r="L33" t="s">
        <v>219</v>
      </c>
      <c r="M33" t="s">
        <v>31</v>
      </c>
      <c r="N33" t="s">
        <v>57</v>
      </c>
      <c r="O33" t="s">
        <v>220</v>
      </c>
      <c r="P33">
        <v>238.56</v>
      </c>
      <c r="Q33">
        <v>3</v>
      </c>
      <c r="R33">
        <v>0</v>
      </c>
      <c r="S33">
        <v>26.241599999999998</v>
      </c>
      <c r="T33" t="s">
        <v>84</v>
      </c>
      <c r="U33" t="s">
        <v>35</v>
      </c>
    </row>
    <row r="34" spans="1:21" x14ac:dyDescent="0.25">
      <c r="A34" t="s">
        <v>221</v>
      </c>
      <c r="B34" s="1">
        <v>42656</v>
      </c>
      <c r="C34" s="1">
        <v>42662</v>
      </c>
      <c r="D34" t="s">
        <v>40</v>
      </c>
      <c r="E34" t="s">
        <v>222</v>
      </c>
      <c r="F34" t="s">
        <v>223</v>
      </c>
      <c r="G34" t="s">
        <v>25</v>
      </c>
      <c r="H34" t="s">
        <v>26</v>
      </c>
      <c r="I34" t="s">
        <v>224</v>
      </c>
      <c r="J34" t="s">
        <v>54</v>
      </c>
      <c r="K34" t="s">
        <v>55</v>
      </c>
      <c r="L34" t="s">
        <v>112</v>
      </c>
      <c r="M34" t="s">
        <v>31</v>
      </c>
      <c r="N34" t="s">
        <v>57</v>
      </c>
      <c r="O34" t="s">
        <v>113</v>
      </c>
      <c r="P34">
        <v>43.12</v>
      </c>
      <c r="Q34">
        <v>14</v>
      </c>
      <c r="R34">
        <v>0</v>
      </c>
      <c r="S34">
        <v>20.697600000000001</v>
      </c>
      <c r="T34" t="s">
        <v>130</v>
      </c>
      <c r="U34" t="s">
        <v>49</v>
      </c>
    </row>
    <row r="35" spans="1:21" x14ac:dyDescent="0.25">
      <c r="A35" t="s">
        <v>225</v>
      </c>
      <c r="B35" s="1">
        <v>42618</v>
      </c>
      <c r="C35" s="1">
        <v>42620</v>
      </c>
      <c r="D35" t="s">
        <v>22</v>
      </c>
      <c r="E35" t="s">
        <v>226</v>
      </c>
      <c r="F35" t="s">
        <v>227</v>
      </c>
      <c r="G35" t="s">
        <v>91</v>
      </c>
      <c r="H35" t="s">
        <v>26</v>
      </c>
      <c r="I35" t="s">
        <v>66</v>
      </c>
      <c r="J35" t="s">
        <v>67</v>
      </c>
      <c r="K35" t="s">
        <v>68</v>
      </c>
      <c r="L35" t="s">
        <v>85</v>
      </c>
      <c r="M35" t="s">
        <v>31</v>
      </c>
      <c r="N35" t="s">
        <v>57</v>
      </c>
      <c r="O35" t="s">
        <v>86</v>
      </c>
      <c r="P35">
        <v>82.8</v>
      </c>
      <c r="Q35">
        <v>2</v>
      </c>
      <c r="R35">
        <v>0.2</v>
      </c>
      <c r="S35">
        <v>10.35</v>
      </c>
      <c r="T35" t="s">
        <v>71</v>
      </c>
      <c r="U35" t="s">
        <v>78</v>
      </c>
    </row>
    <row r="36" spans="1:21" x14ac:dyDescent="0.25">
      <c r="A36" t="s">
        <v>228</v>
      </c>
      <c r="B36" s="1">
        <v>41934</v>
      </c>
      <c r="C36" s="1">
        <v>41940</v>
      </c>
      <c r="D36" t="s">
        <v>40</v>
      </c>
      <c r="E36" t="s">
        <v>229</v>
      </c>
      <c r="F36" t="s">
        <v>230</v>
      </c>
      <c r="G36" t="s">
        <v>101</v>
      </c>
      <c r="H36" t="s">
        <v>26</v>
      </c>
      <c r="I36" t="s">
        <v>231</v>
      </c>
      <c r="J36" t="s">
        <v>232</v>
      </c>
      <c r="K36" t="s">
        <v>68</v>
      </c>
      <c r="L36" t="s">
        <v>233</v>
      </c>
      <c r="M36" t="s">
        <v>31</v>
      </c>
      <c r="N36" t="s">
        <v>57</v>
      </c>
      <c r="O36" t="s">
        <v>234</v>
      </c>
      <c r="P36">
        <v>93.888000000000005</v>
      </c>
      <c r="Q36">
        <v>4</v>
      </c>
      <c r="R36">
        <v>0.2</v>
      </c>
      <c r="S36">
        <v>12.909599999999999</v>
      </c>
      <c r="T36" t="s">
        <v>130</v>
      </c>
      <c r="U36" t="s">
        <v>49</v>
      </c>
    </row>
    <row r="37" spans="1:21" x14ac:dyDescent="0.25">
      <c r="A37" t="s">
        <v>235</v>
      </c>
      <c r="B37" s="1">
        <v>42709</v>
      </c>
      <c r="C37" s="1">
        <v>42713</v>
      </c>
      <c r="D37" t="s">
        <v>40</v>
      </c>
      <c r="E37" t="s">
        <v>236</v>
      </c>
      <c r="F37" t="s">
        <v>237</v>
      </c>
      <c r="G37" t="s">
        <v>91</v>
      </c>
      <c r="H37" t="s">
        <v>26</v>
      </c>
      <c r="I37" t="s">
        <v>238</v>
      </c>
      <c r="J37" t="s">
        <v>239</v>
      </c>
      <c r="K37" t="s">
        <v>94</v>
      </c>
      <c r="L37" t="s">
        <v>36</v>
      </c>
      <c r="M37" t="s">
        <v>31</v>
      </c>
      <c r="N37" t="s">
        <v>37</v>
      </c>
      <c r="O37" t="s">
        <v>38</v>
      </c>
      <c r="P37">
        <v>1951.84</v>
      </c>
      <c r="Q37">
        <v>8</v>
      </c>
      <c r="R37">
        <v>0</v>
      </c>
      <c r="S37">
        <v>585.55200000000002</v>
      </c>
      <c r="T37" t="s">
        <v>84</v>
      </c>
      <c r="U37" t="s">
        <v>97</v>
      </c>
    </row>
    <row r="38" spans="1:21" x14ac:dyDescent="0.25">
      <c r="A38" t="s">
        <v>240</v>
      </c>
      <c r="B38" s="1">
        <v>41699</v>
      </c>
      <c r="C38" s="1">
        <v>41704</v>
      </c>
      <c r="D38" t="s">
        <v>22</v>
      </c>
      <c r="E38" t="s">
        <v>241</v>
      </c>
      <c r="F38" t="s">
        <v>242</v>
      </c>
      <c r="G38" t="s">
        <v>25</v>
      </c>
      <c r="H38" t="s">
        <v>26</v>
      </c>
      <c r="I38" t="s">
        <v>192</v>
      </c>
      <c r="J38" t="s">
        <v>193</v>
      </c>
      <c r="K38" t="s">
        <v>55</v>
      </c>
      <c r="L38" t="s">
        <v>207</v>
      </c>
      <c r="M38" t="s">
        <v>31</v>
      </c>
      <c r="N38" t="s">
        <v>37</v>
      </c>
      <c r="O38" t="s">
        <v>208</v>
      </c>
      <c r="P38">
        <v>457.56799999999998</v>
      </c>
      <c r="Q38">
        <v>2</v>
      </c>
      <c r="R38">
        <v>0.2</v>
      </c>
      <c r="S38">
        <v>51.476399999999998</v>
      </c>
      <c r="T38" t="s">
        <v>59</v>
      </c>
      <c r="U38" t="s">
        <v>196</v>
      </c>
    </row>
    <row r="39" spans="1:21" x14ac:dyDescent="0.25">
      <c r="A39" t="s">
        <v>243</v>
      </c>
      <c r="B39" s="1">
        <v>41890</v>
      </c>
      <c r="C39" s="1">
        <v>41894</v>
      </c>
      <c r="D39" t="s">
        <v>40</v>
      </c>
      <c r="E39" t="s">
        <v>244</v>
      </c>
      <c r="F39" t="s">
        <v>245</v>
      </c>
      <c r="G39" t="s">
        <v>25</v>
      </c>
      <c r="H39" t="s">
        <v>26</v>
      </c>
      <c r="I39" t="s">
        <v>246</v>
      </c>
      <c r="J39" t="s">
        <v>93</v>
      </c>
      <c r="K39" t="s">
        <v>94</v>
      </c>
      <c r="L39" t="s">
        <v>247</v>
      </c>
      <c r="M39" t="s">
        <v>31</v>
      </c>
      <c r="N39" t="s">
        <v>37</v>
      </c>
      <c r="O39" t="s">
        <v>248</v>
      </c>
      <c r="P39">
        <v>1740.06</v>
      </c>
      <c r="Q39">
        <v>9</v>
      </c>
      <c r="R39">
        <v>0.3</v>
      </c>
      <c r="S39">
        <v>-24.858000000000001</v>
      </c>
      <c r="T39" t="s">
        <v>84</v>
      </c>
      <c r="U39" t="s">
        <v>78</v>
      </c>
    </row>
    <row r="40" spans="1:21" x14ac:dyDescent="0.25">
      <c r="A40" t="s">
        <v>249</v>
      </c>
      <c r="B40" s="1">
        <v>41856</v>
      </c>
      <c r="C40" s="1">
        <v>41860</v>
      </c>
      <c r="D40" t="s">
        <v>40</v>
      </c>
      <c r="E40" t="s">
        <v>250</v>
      </c>
      <c r="F40" t="s">
        <v>251</v>
      </c>
      <c r="G40" t="s">
        <v>25</v>
      </c>
      <c r="H40" t="s">
        <v>26</v>
      </c>
      <c r="I40" t="s">
        <v>53</v>
      </c>
      <c r="J40" t="s">
        <v>54</v>
      </c>
      <c r="K40" t="s">
        <v>55</v>
      </c>
      <c r="L40" t="s">
        <v>252</v>
      </c>
      <c r="M40" t="s">
        <v>31</v>
      </c>
      <c r="N40" t="s">
        <v>37</v>
      </c>
      <c r="O40" t="s">
        <v>253</v>
      </c>
      <c r="P40">
        <v>340.14400000000001</v>
      </c>
      <c r="Q40">
        <v>7</v>
      </c>
      <c r="R40">
        <v>0.2</v>
      </c>
      <c r="S40">
        <v>21.259</v>
      </c>
      <c r="T40" t="s">
        <v>84</v>
      </c>
      <c r="U40" t="s">
        <v>254</v>
      </c>
    </row>
    <row r="41" spans="1:21" x14ac:dyDescent="0.25">
      <c r="A41" t="s">
        <v>255</v>
      </c>
      <c r="B41" s="1">
        <v>42329</v>
      </c>
      <c r="C41" s="1">
        <v>42331</v>
      </c>
      <c r="D41" t="s">
        <v>22</v>
      </c>
      <c r="E41" t="s">
        <v>139</v>
      </c>
      <c r="F41" t="s">
        <v>140</v>
      </c>
      <c r="G41" t="s">
        <v>25</v>
      </c>
      <c r="H41" t="s">
        <v>26</v>
      </c>
      <c r="I41" t="s">
        <v>231</v>
      </c>
      <c r="J41" t="s">
        <v>232</v>
      </c>
      <c r="K41" t="s">
        <v>68</v>
      </c>
      <c r="L41" t="s">
        <v>256</v>
      </c>
      <c r="M41" t="s">
        <v>31</v>
      </c>
      <c r="N41" t="s">
        <v>37</v>
      </c>
      <c r="O41" t="s">
        <v>257</v>
      </c>
      <c r="P41">
        <v>396.80200000000002</v>
      </c>
      <c r="Q41">
        <v>7</v>
      </c>
      <c r="R41">
        <v>0.3</v>
      </c>
      <c r="S41">
        <v>-11.337199999999999</v>
      </c>
      <c r="T41" t="s">
        <v>71</v>
      </c>
      <c r="U41" t="s">
        <v>35</v>
      </c>
    </row>
    <row r="42" spans="1:21" x14ac:dyDescent="0.25">
      <c r="A42" t="s">
        <v>258</v>
      </c>
      <c r="B42" s="1">
        <v>42289</v>
      </c>
      <c r="C42" s="1">
        <v>42291</v>
      </c>
      <c r="D42" t="s">
        <v>88</v>
      </c>
      <c r="E42" t="s">
        <v>259</v>
      </c>
      <c r="F42" t="s">
        <v>260</v>
      </c>
      <c r="G42" t="s">
        <v>101</v>
      </c>
      <c r="H42" t="s">
        <v>26</v>
      </c>
      <c r="I42" t="s">
        <v>174</v>
      </c>
      <c r="J42" t="s">
        <v>121</v>
      </c>
      <c r="K42" t="s">
        <v>68</v>
      </c>
      <c r="L42" t="s">
        <v>261</v>
      </c>
      <c r="M42" t="s">
        <v>31</v>
      </c>
      <c r="N42" t="s">
        <v>32</v>
      </c>
      <c r="O42" t="s">
        <v>262</v>
      </c>
      <c r="P42">
        <v>899.13599999999997</v>
      </c>
      <c r="Q42">
        <v>4</v>
      </c>
      <c r="R42">
        <v>0.2</v>
      </c>
      <c r="S42">
        <v>112.392</v>
      </c>
      <c r="T42" t="s">
        <v>71</v>
      </c>
      <c r="U42" t="s">
        <v>49</v>
      </c>
    </row>
    <row r="43" spans="1:21" x14ac:dyDescent="0.25">
      <c r="A43" t="s">
        <v>258</v>
      </c>
      <c r="B43" s="1">
        <v>42289</v>
      </c>
      <c r="C43" s="1">
        <v>42291</v>
      </c>
      <c r="D43" t="s">
        <v>88</v>
      </c>
      <c r="E43" t="s">
        <v>259</v>
      </c>
      <c r="F43" t="s">
        <v>260</v>
      </c>
      <c r="G43" t="s">
        <v>101</v>
      </c>
      <c r="H43" t="s">
        <v>26</v>
      </c>
      <c r="I43" t="s">
        <v>174</v>
      </c>
      <c r="J43" t="s">
        <v>121</v>
      </c>
      <c r="K43" t="s">
        <v>68</v>
      </c>
      <c r="L43" t="s">
        <v>103</v>
      </c>
      <c r="M43" t="s">
        <v>31</v>
      </c>
      <c r="N43" t="s">
        <v>32</v>
      </c>
      <c r="O43" t="s">
        <v>104</v>
      </c>
      <c r="P43">
        <v>626.35199999999998</v>
      </c>
      <c r="Q43">
        <v>3</v>
      </c>
      <c r="R43">
        <v>0.2</v>
      </c>
      <c r="S43">
        <v>46.976399999999998</v>
      </c>
      <c r="T43" t="s">
        <v>71</v>
      </c>
      <c r="U43" t="s">
        <v>49</v>
      </c>
    </row>
    <row r="44" spans="1:21" x14ac:dyDescent="0.25">
      <c r="A44" t="s">
        <v>263</v>
      </c>
      <c r="B44" s="1">
        <v>41854</v>
      </c>
      <c r="C44" s="1">
        <v>41856</v>
      </c>
      <c r="D44" t="s">
        <v>88</v>
      </c>
      <c r="E44" t="s">
        <v>264</v>
      </c>
      <c r="F44" t="s">
        <v>265</v>
      </c>
      <c r="G44" t="s">
        <v>25</v>
      </c>
      <c r="H44" t="s">
        <v>26</v>
      </c>
      <c r="I44" t="s">
        <v>266</v>
      </c>
      <c r="J44" t="s">
        <v>181</v>
      </c>
      <c r="K44" t="s">
        <v>55</v>
      </c>
      <c r="L44" t="s">
        <v>267</v>
      </c>
      <c r="M44" t="s">
        <v>31</v>
      </c>
      <c r="N44" t="s">
        <v>46</v>
      </c>
      <c r="O44" t="s">
        <v>268</v>
      </c>
      <c r="P44">
        <v>218.75</v>
      </c>
      <c r="Q44">
        <v>2</v>
      </c>
      <c r="R44">
        <v>0.5</v>
      </c>
      <c r="S44">
        <v>-161.875</v>
      </c>
      <c r="T44" t="s">
        <v>71</v>
      </c>
      <c r="U44" t="s">
        <v>254</v>
      </c>
    </row>
    <row r="45" spans="1:21" x14ac:dyDescent="0.25">
      <c r="A45" t="s">
        <v>269</v>
      </c>
      <c r="B45" s="1">
        <v>42889</v>
      </c>
      <c r="C45" s="1">
        <v>42893</v>
      </c>
      <c r="D45" t="s">
        <v>40</v>
      </c>
      <c r="E45" t="s">
        <v>270</v>
      </c>
      <c r="F45" t="s">
        <v>271</v>
      </c>
      <c r="G45" t="s">
        <v>91</v>
      </c>
      <c r="H45" t="s">
        <v>26</v>
      </c>
      <c r="I45" t="s">
        <v>238</v>
      </c>
      <c r="J45" t="s">
        <v>142</v>
      </c>
      <c r="K45" t="s">
        <v>29</v>
      </c>
      <c r="L45" t="s">
        <v>272</v>
      </c>
      <c r="M45" t="s">
        <v>31</v>
      </c>
      <c r="N45" t="s">
        <v>57</v>
      </c>
      <c r="O45" t="s">
        <v>273</v>
      </c>
      <c r="P45">
        <v>35.167999999999999</v>
      </c>
      <c r="Q45">
        <v>7</v>
      </c>
      <c r="R45">
        <v>0.2</v>
      </c>
      <c r="S45">
        <v>9.6712000000000007</v>
      </c>
      <c r="T45" t="s">
        <v>84</v>
      </c>
      <c r="U45" t="s">
        <v>60</v>
      </c>
    </row>
    <row r="46" spans="1:21" x14ac:dyDescent="0.25">
      <c r="A46" t="s">
        <v>274</v>
      </c>
      <c r="B46" s="1">
        <v>42006</v>
      </c>
      <c r="C46" s="1">
        <v>42013</v>
      </c>
      <c r="D46" t="s">
        <v>40</v>
      </c>
      <c r="E46" t="s">
        <v>275</v>
      </c>
      <c r="F46" t="s">
        <v>276</v>
      </c>
      <c r="G46" t="s">
        <v>91</v>
      </c>
      <c r="H46" t="s">
        <v>26</v>
      </c>
      <c r="I46" t="s">
        <v>277</v>
      </c>
      <c r="J46" t="s">
        <v>232</v>
      </c>
      <c r="K46" t="s">
        <v>68</v>
      </c>
      <c r="L46" t="s">
        <v>278</v>
      </c>
      <c r="M46" t="s">
        <v>31</v>
      </c>
      <c r="N46" t="s">
        <v>32</v>
      </c>
      <c r="O46" t="s">
        <v>279</v>
      </c>
      <c r="P46">
        <v>452.45</v>
      </c>
      <c r="Q46">
        <v>5</v>
      </c>
      <c r="R46">
        <v>0.5</v>
      </c>
      <c r="S46">
        <v>-244.32300000000001</v>
      </c>
      <c r="T46" t="s">
        <v>48</v>
      </c>
      <c r="U46" t="s">
        <v>170</v>
      </c>
    </row>
    <row r="47" spans="1:21" x14ac:dyDescent="0.25">
      <c r="A47" t="s">
        <v>280</v>
      </c>
      <c r="B47" s="1">
        <v>42362</v>
      </c>
      <c r="C47" s="1">
        <v>42365</v>
      </c>
      <c r="D47" t="s">
        <v>88</v>
      </c>
      <c r="E47" t="s">
        <v>281</v>
      </c>
      <c r="F47" t="s">
        <v>282</v>
      </c>
      <c r="G47" t="s">
        <v>25</v>
      </c>
      <c r="H47" t="s">
        <v>26</v>
      </c>
      <c r="I47" t="s">
        <v>283</v>
      </c>
      <c r="J47" t="s">
        <v>232</v>
      </c>
      <c r="K47" t="s">
        <v>68</v>
      </c>
      <c r="L47" t="s">
        <v>284</v>
      </c>
      <c r="M47" t="s">
        <v>31</v>
      </c>
      <c r="N47" t="s">
        <v>57</v>
      </c>
      <c r="O47" t="s">
        <v>285</v>
      </c>
      <c r="P47">
        <v>72.703999999999994</v>
      </c>
      <c r="Q47">
        <v>4</v>
      </c>
      <c r="R47">
        <v>0.2</v>
      </c>
      <c r="S47">
        <v>19.084800000000001</v>
      </c>
      <c r="T47" t="s">
        <v>34</v>
      </c>
      <c r="U47" t="s">
        <v>97</v>
      </c>
    </row>
    <row r="48" spans="1:21" x14ac:dyDescent="0.25">
      <c r="A48" t="s">
        <v>286</v>
      </c>
      <c r="B48" s="1">
        <v>42225</v>
      </c>
      <c r="C48" s="1">
        <v>42232</v>
      </c>
      <c r="D48" t="s">
        <v>40</v>
      </c>
      <c r="E48" t="s">
        <v>287</v>
      </c>
      <c r="F48" t="s">
        <v>288</v>
      </c>
      <c r="G48" t="s">
        <v>91</v>
      </c>
      <c r="H48" t="s">
        <v>26</v>
      </c>
      <c r="I48" t="s">
        <v>289</v>
      </c>
      <c r="J48" t="s">
        <v>290</v>
      </c>
      <c r="K48" t="s">
        <v>94</v>
      </c>
      <c r="L48" t="s">
        <v>291</v>
      </c>
      <c r="M48" t="s">
        <v>31</v>
      </c>
      <c r="N48" t="s">
        <v>46</v>
      </c>
      <c r="O48" t="s">
        <v>292</v>
      </c>
      <c r="P48">
        <v>622.45000000000005</v>
      </c>
      <c r="Q48">
        <v>5</v>
      </c>
      <c r="R48">
        <v>0</v>
      </c>
      <c r="S48">
        <v>136.93899999999999</v>
      </c>
      <c r="T48" t="s">
        <v>48</v>
      </c>
      <c r="U48" t="s">
        <v>254</v>
      </c>
    </row>
    <row r="49" spans="1:21" x14ac:dyDescent="0.25">
      <c r="A49" t="s">
        <v>293</v>
      </c>
      <c r="B49" s="1">
        <v>42063</v>
      </c>
      <c r="C49" s="1">
        <v>42067</v>
      </c>
      <c r="D49" t="s">
        <v>40</v>
      </c>
      <c r="E49" t="s">
        <v>294</v>
      </c>
      <c r="F49" t="s">
        <v>295</v>
      </c>
      <c r="G49" t="s">
        <v>25</v>
      </c>
      <c r="H49" t="s">
        <v>26</v>
      </c>
      <c r="I49" t="s">
        <v>158</v>
      </c>
      <c r="J49" t="s">
        <v>142</v>
      </c>
      <c r="K49" t="s">
        <v>29</v>
      </c>
      <c r="L49" t="s">
        <v>296</v>
      </c>
      <c r="M49" t="s">
        <v>31</v>
      </c>
      <c r="N49" t="s">
        <v>37</v>
      </c>
      <c r="O49" t="s">
        <v>297</v>
      </c>
      <c r="P49">
        <v>161.56800000000001</v>
      </c>
      <c r="Q49">
        <v>2</v>
      </c>
      <c r="R49">
        <v>0.2</v>
      </c>
      <c r="S49">
        <v>-28.2744</v>
      </c>
      <c r="T49" t="s">
        <v>84</v>
      </c>
      <c r="U49" t="s">
        <v>298</v>
      </c>
    </row>
    <row r="50" spans="1:21" x14ac:dyDescent="0.25">
      <c r="A50" t="s">
        <v>293</v>
      </c>
      <c r="B50" s="1">
        <v>42063</v>
      </c>
      <c r="C50" s="1">
        <v>42067</v>
      </c>
      <c r="D50" t="s">
        <v>40</v>
      </c>
      <c r="E50" t="s">
        <v>294</v>
      </c>
      <c r="F50" t="s">
        <v>295</v>
      </c>
      <c r="G50" t="s">
        <v>25</v>
      </c>
      <c r="H50" t="s">
        <v>26</v>
      </c>
      <c r="I50" t="s">
        <v>158</v>
      </c>
      <c r="J50" t="s">
        <v>142</v>
      </c>
      <c r="K50" t="s">
        <v>29</v>
      </c>
      <c r="L50" t="s">
        <v>299</v>
      </c>
      <c r="M50" t="s">
        <v>31</v>
      </c>
      <c r="N50" t="s">
        <v>37</v>
      </c>
      <c r="O50" t="s">
        <v>300</v>
      </c>
      <c r="P50">
        <v>389.69600000000003</v>
      </c>
      <c r="Q50">
        <v>8</v>
      </c>
      <c r="R50">
        <v>0.2</v>
      </c>
      <c r="S50">
        <v>43.840800000000002</v>
      </c>
      <c r="T50" t="s">
        <v>84</v>
      </c>
      <c r="U50" t="s">
        <v>298</v>
      </c>
    </row>
    <row r="51" spans="1:21" x14ac:dyDescent="0.25">
      <c r="A51" t="s">
        <v>301</v>
      </c>
      <c r="B51" s="1">
        <v>42832</v>
      </c>
      <c r="C51" s="1">
        <v>42837</v>
      </c>
      <c r="D51" t="s">
        <v>40</v>
      </c>
      <c r="E51" t="s">
        <v>302</v>
      </c>
      <c r="F51" t="s">
        <v>303</v>
      </c>
      <c r="G51" t="s">
        <v>101</v>
      </c>
      <c r="H51" t="s">
        <v>26</v>
      </c>
      <c r="I51" t="s">
        <v>304</v>
      </c>
      <c r="J51" t="s">
        <v>44</v>
      </c>
      <c r="K51" t="s">
        <v>29</v>
      </c>
      <c r="L51" t="s">
        <v>305</v>
      </c>
      <c r="M51" t="s">
        <v>31</v>
      </c>
      <c r="N51" t="s">
        <v>46</v>
      </c>
      <c r="O51" t="s">
        <v>306</v>
      </c>
      <c r="P51">
        <v>233.86</v>
      </c>
      <c r="Q51">
        <v>2</v>
      </c>
      <c r="R51">
        <v>0.45</v>
      </c>
      <c r="S51">
        <v>-102.048</v>
      </c>
      <c r="T51" t="s">
        <v>59</v>
      </c>
      <c r="U51" t="s">
        <v>114</v>
      </c>
    </row>
    <row r="52" spans="1:21" x14ac:dyDescent="0.25">
      <c r="A52" t="s">
        <v>301</v>
      </c>
      <c r="B52" s="1">
        <v>42832</v>
      </c>
      <c r="C52" s="1">
        <v>42837</v>
      </c>
      <c r="D52" t="s">
        <v>40</v>
      </c>
      <c r="E52" t="s">
        <v>302</v>
      </c>
      <c r="F52" t="s">
        <v>303</v>
      </c>
      <c r="G52" t="s">
        <v>101</v>
      </c>
      <c r="H52" t="s">
        <v>26</v>
      </c>
      <c r="I52" t="s">
        <v>304</v>
      </c>
      <c r="J52" t="s">
        <v>44</v>
      </c>
      <c r="K52" t="s">
        <v>29</v>
      </c>
      <c r="L52" t="s">
        <v>307</v>
      </c>
      <c r="M52" t="s">
        <v>31</v>
      </c>
      <c r="N52" t="s">
        <v>46</v>
      </c>
      <c r="O52" t="s">
        <v>308</v>
      </c>
      <c r="P52">
        <v>620.61450000000002</v>
      </c>
      <c r="Q52">
        <v>3</v>
      </c>
      <c r="R52">
        <v>0.45</v>
      </c>
      <c r="S52">
        <v>-248.2458</v>
      </c>
      <c r="T52" t="s">
        <v>59</v>
      </c>
      <c r="U52" t="s">
        <v>114</v>
      </c>
    </row>
    <row r="53" spans="1:21" x14ac:dyDescent="0.25">
      <c r="A53" t="s">
        <v>301</v>
      </c>
      <c r="B53" s="1">
        <v>42832</v>
      </c>
      <c r="C53" s="1">
        <v>42837</v>
      </c>
      <c r="D53" t="s">
        <v>40</v>
      </c>
      <c r="E53" t="s">
        <v>302</v>
      </c>
      <c r="F53" t="s">
        <v>303</v>
      </c>
      <c r="G53" t="s">
        <v>101</v>
      </c>
      <c r="H53" t="s">
        <v>26</v>
      </c>
      <c r="I53" t="s">
        <v>304</v>
      </c>
      <c r="J53" t="s">
        <v>44</v>
      </c>
      <c r="K53" t="s">
        <v>29</v>
      </c>
      <c r="L53" t="s">
        <v>309</v>
      </c>
      <c r="M53" t="s">
        <v>31</v>
      </c>
      <c r="N53" t="s">
        <v>57</v>
      </c>
      <c r="O53" t="s">
        <v>310</v>
      </c>
      <c r="P53">
        <v>258.072</v>
      </c>
      <c r="Q53">
        <v>3</v>
      </c>
      <c r="R53">
        <v>0.2</v>
      </c>
      <c r="S53">
        <v>0</v>
      </c>
      <c r="T53" t="s">
        <v>59</v>
      </c>
      <c r="U53" t="s">
        <v>114</v>
      </c>
    </row>
    <row r="54" spans="1:21" x14ac:dyDescent="0.25">
      <c r="A54" t="s">
        <v>311</v>
      </c>
      <c r="B54" s="1">
        <v>42525</v>
      </c>
      <c r="C54" s="1">
        <v>42530</v>
      </c>
      <c r="D54" t="s">
        <v>22</v>
      </c>
      <c r="E54" t="s">
        <v>312</v>
      </c>
      <c r="F54" t="s">
        <v>313</v>
      </c>
      <c r="G54" t="s">
        <v>25</v>
      </c>
      <c r="H54" t="s">
        <v>26</v>
      </c>
      <c r="I54" t="s">
        <v>134</v>
      </c>
      <c r="J54" t="s">
        <v>135</v>
      </c>
      <c r="K54" t="s">
        <v>94</v>
      </c>
      <c r="L54" t="s">
        <v>314</v>
      </c>
      <c r="M54" t="s">
        <v>31</v>
      </c>
      <c r="N54" t="s">
        <v>57</v>
      </c>
      <c r="O54" t="s">
        <v>315</v>
      </c>
      <c r="P54">
        <v>419.68</v>
      </c>
      <c r="Q54">
        <v>5</v>
      </c>
      <c r="R54">
        <v>0.6</v>
      </c>
      <c r="S54">
        <v>-356.72800000000001</v>
      </c>
      <c r="T54" t="s">
        <v>59</v>
      </c>
      <c r="U54" t="s">
        <v>60</v>
      </c>
    </row>
    <row r="55" spans="1:21" x14ac:dyDescent="0.25">
      <c r="A55" t="s">
        <v>311</v>
      </c>
      <c r="B55" s="1">
        <v>42525</v>
      </c>
      <c r="C55" s="1">
        <v>42530</v>
      </c>
      <c r="D55" t="s">
        <v>22</v>
      </c>
      <c r="E55" t="s">
        <v>312</v>
      </c>
      <c r="F55" t="s">
        <v>313</v>
      </c>
      <c r="G55" t="s">
        <v>25</v>
      </c>
      <c r="H55" t="s">
        <v>26</v>
      </c>
      <c r="I55" t="s">
        <v>134</v>
      </c>
      <c r="J55" t="s">
        <v>135</v>
      </c>
      <c r="K55" t="s">
        <v>94</v>
      </c>
      <c r="L55" t="s">
        <v>316</v>
      </c>
      <c r="M55" t="s">
        <v>31</v>
      </c>
      <c r="N55" t="s">
        <v>57</v>
      </c>
      <c r="O55" t="s">
        <v>317</v>
      </c>
      <c r="P55">
        <v>11.688000000000001</v>
      </c>
      <c r="Q55">
        <v>3</v>
      </c>
      <c r="R55">
        <v>0.6</v>
      </c>
      <c r="S55">
        <v>-4.6752000000000002</v>
      </c>
      <c r="T55" t="s">
        <v>59</v>
      </c>
      <c r="U55" t="s">
        <v>60</v>
      </c>
    </row>
    <row r="56" spans="1:21" x14ac:dyDescent="0.25">
      <c r="A56" t="s">
        <v>311</v>
      </c>
      <c r="B56" s="1">
        <v>42525</v>
      </c>
      <c r="C56" s="1">
        <v>42530</v>
      </c>
      <c r="D56" t="s">
        <v>22</v>
      </c>
      <c r="E56" t="s">
        <v>312</v>
      </c>
      <c r="F56" t="s">
        <v>313</v>
      </c>
      <c r="G56" t="s">
        <v>25</v>
      </c>
      <c r="H56" t="s">
        <v>26</v>
      </c>
      <c r="I56" t="s">
        <v>134</v>
      </c>
      <c r="J56" t="s">
        <v>135</v>
      </c>
      <c r="K56" t="s">
        <v>94</v>
      </c>
      <c r="L56" t="s">
        <v>318</v>
      </c>
      <c r="M56" t="s">
        <v>31</v>
      </c>
      <c r="N56" t="s">
        <v>46</v>
      </c>
      <c r="O56" t="s">
        <v>319</v>
      </c>
      <c r="P56">
        <v>177.22499999999999</v>
      </c>
      <c r="Q56">
        <v>5</v>
      </c>
      <c r="R56">
        <v>0.5</v>
      </c>
      <c r="S56">
        <v>-120.51300000000001</v>
      </c>
      <c r="T56" t="s">
        <v>59</v>
      </c>
      <c r="U56" t="s">
        <v>60</v>
      </c>
    </row>
    <row r="57" spans="1:21" x14ac:dyDescent="0.25">
      <c r="A57" t="s">
        <v>311</v>
      </c>
      <c r="B57" s="1">
        <v>42525</v>
      </c>
      <c r="C57" s="1">
        <v>42530</v>
      </c>
      <c r="D57" t="s">
        <v>22</v>
      </c>
      <c r="E57" t="s">
        <v>312</v>
      </c>
      <c r="F57" t="s">
        <v>313</v>
      </c>
      <c r="G57" t="s">
        <v>25</v>
      </c>
      <c r="H57" t="s">
        <v>26</v>
      </c>
      <c r="I57" t="s">
        <v>134</v>
      </c>
      <c r="J57" t="s">
        <v>135</v>
      </c>
      <c r="K57" t="s">
        <v>94</v>
      </c>
      <c r="L57" t="s">
        <v>320</v>
      </c>
      <c r="M57" t="s">
        <v>31</v>
      </c>
      <c r="N57" t="s">
        <v>57</v>
      </c>
      <c r="O57" t="s">
        <v>321</v>
      </c>
      <c r="P57">
        <v>4.0439999999999996</v>
      </c>
      <c r="Q57">
        <v>3</v>
      </c>
      <c r="R57">
        <v>0.6</v>
      </c>
      <c r="S57">
        <v>-2.8308</v>
      </c>
      <c r="T57" t="s">
        <v>59</v>
      </c>
      <c r="U57" t="s">
        <v>60</v>
      </c>
    </row>
    <row r="58" spans="1:21" x14ac:dyDescent="0.25">
      <c r="A58" t="s">
        <v>322</v>
      </c>
      <c r="B58" s="1">
        <v>41791</v>
      </c>
      <c r="C58" s="1">
        <v>41796</v>
      </c>
      <c r="D58" t="s">
        <v>22</v>
      </c>
      <c r="E58" t="s">
        <v>323</v>
      </c>
      <c r="F58" t="s">
        <v>324</v>
      </c>
      <c r="G58" t="s">
        <v>101</v>
      </c>
      <c r="H58" t="s">
        <v>26</v>
      </c>
      <c r="I58" t="s">
        <v>325</v>
      </c>
      <c r="J58" t="s">
        <v>167</v>
      </c>
      <c r="K58" t="s">
        <v>94</v>
      </c>
      <c r="L58" t="s">
        <v>207</v>
      </c>
      <c r="M58" t="s">
        <v>31</v>
      </c>
      <c r="N58" t="s">
        <v>37</v>
      </c>
      <c r="O58" t="s">
        <v>208</v>
      </c>
      <c r="P58">
        <v>2001.86</v>
      </c>
      <c r="Q58">
        <v>7</v>
      </c>
      <c r="R58">
        <v>0</v>
      </c>
      <c r="S58">
        <v>580.5394</v>
      </c>
      <c r="T58" t="s">
        <v>59</v>
      </c>
      <c r="U58" t="s">
        <v>60</v>
      </c>
    </row>
    <row r="59" spans="1:21" x14ac:dyDescent="0.25">
      <c r="A59" t="s">
        <v>326</v>
      </c>
      <c r="B59" s="1">
        <v>42714</v>
      </c>
      <c r="C59" s="1">
        <v>42719</v>
      </c>
      <c r="D59" t="s">
        <v>22</v>
      </c>
      <c r="E59" t="s">
        <v>327</v>
      </c>
      <c r="F59" t="s">
        <v>328</v>
      </c>
      <c r="G59" t="s">
        <v>25</v>
      </c>
      <c r="H59" t="s">
        <v>26</v>
      </c>
      <c r="I59" t="s">
        <v>329</v>
      </c>
      <c r="J59" t="s">
        <v>54</v>
      </c>
      <c r="K59" t="s">
        <v>55</v>
      </c>
      <c r="L59" t="s">
        <v>330</v>
      </c>
      <c r="M59" t="s">
        <v>31</v>
      </c>
      <c r="N59" t="s">
        <v>37</v>
      </c>
      <c r="O59" t="s">
        <v>331</v>
      </c>
      <c r="P59">
        <v>321.56799999999998</v>
      </c>
      <c r="Q59">
        <v>2</v>
      </c>
      <c r="R59">
        <v>0.2</v>
      </c>
      <c r="S59">
        <v>28.1372</v>
      </c>
      <c r="T59" t="s">
        <v>59</v>
      </c>
      <c r="U59" t="s">
        <v>97</v>
      </c>
    </row>
    <row r="60" spans="1:21" x14ac:dyDescent="0.25">
      <c r="A60" t="s">
        <v>332</v>
      </c>
      <c r="B60" s="1">
        <v>42336</v>
      </c>
      <c r="C60" s="1">
        <v>42342</v>
      </c>
      <c r="D60" t="s">
        <v>40</v>
      </c>
      <c r="E60" t="s">
        <v>333</v>
      </c>
      <c r="F60" t="s">
        <v>334</v>
      </c>
      <c r="G60" t="s">
        <v>91</v>
      </c>
      <c r="H60" t="s">
        <v>26</v>
      </c>
      <c r="I60" t="s">
        <v>134</v>
      </c>
      <c r="J60" t="s">
        <v>135</v>
      </c>
      <c r="K60" t="s">
        <v>94</v>
      </c>
      <c r="L60" t="s">
        <v>320</v>
      </c>
      <c r="M60" t="s">
        <v>31</v>
      </c>
      <c r="N60" t="s">
        <v>57</v>
      </c>
      <c r="O60" t="s">
        <v>321</v>
      </c>
      <c r="P60">
        <v>12.132</v>
      </c>
      <c r="Q60">
        <v>9</v>
      </c>
      <c r="R60">
        <v>0.6</v>
      </c>
      <c r="S60">
        <v>-8.4923999999999999</v>
      </c>
      <c r="T60" t="s">
        <v>130</v>
      </c>
      <c r="U60" t="s">
        <v>35</v>
      </c>
    </row>
    <row r="61" spans="1:21" x14ac:dyDescent="0.25">
      <c r="A61" t="s">
        <v>335</v>
      </c>
      <c r="B61" s="1">
        <v>42215</v>
      </c>
      <c r="C61" s="1">
        <v>42216</v>
      </c>
      <c r="D61" t="s">
        <v>88</v>
      </c>
      <c r="E61" t="s">
        <v>336</v>
      </c>
      <c r="F61" t="s">
        <v>337</v>
      </c>
      <c r="G61" t="s">
        <v>25</v>
      </c>
      <c r="H61" t="s">
        <v>26</v>
      </c>
      <c r="I61" t="s">
        <v>329</v>
      </c>
      <c r="J61" t="s">
        <v>54</v>
      </c>
      <c r="K61" t="s">
        <v>55</v>
      </c>
      <c r="L61" t="s">
        <v>338</v>
      </c>
      <c r="M61" t="s">
        <v>31</v>
      </c>
      <c r="N61" t="s">
        <v>57</v>
      </c>
      <c r="O61" t="s">
        <v>339</v>
      </c>
      <c r="P61">
        <v>5.28</v>
      </c>
      <c r="Q61">
        <v>3</v>
      </c>
      <c r="R61">
        <v>0</v>
      </c>
      <c r="S61">
        <v>2.3231999999999999</v>
      </c>
      <c r="T61" t="s">
        <v>124</v>
      </c>
      <c r="U61" t="s">
        <v>72</v>
      </c>
    </row>
    <row r="62" spans="1:21" x14ac:dyDescent="0.25">
      <c r="A62" t="s">
        <v>340</v>
      </c>
      <c r="B62" s="1">
        <v>42310</v>
      </c>
      <c r="C62" s="1">
        <v>42314</v>
      </c>
      <c r="D62" t="s">
        <v>40</v>
      </c>
      <c r="E62" t="s">
        <v>341</v>
      </c>
      <c r="F62" t="s">
        <v>342</v>
      </c>
      <c r="G62" t="s">
        <v>25</v>
      </c>
      <c r="H62" t="s">
        <v>26</v>
      </c>
      <c r="I62" t="s">
        <v>53</v>
      </c>
      <c r="J62" t="s">
        <v>54</v>
      </c>
      <c r="K62" t="s">
        <v>55</v>
      </c>
      <c r="L62" t="s">
        <v>343</v>
      </c>
      <c r="M62" t="s">
        <v>31</v>
      </c>
      <c r="N62" t="s">
        <v>46</v>
      </c>
      <c r="O62" t="s">
        <v>344</v>
      </c>
      <c r="P62">
        <v>1038.8399999999999</v>
      </c>
      <c r="Q62">
        <v>5</v>
      </c>
      <c r="R62">
        <v>0.2</v>
      </c>
      <c r="S62">
        <v>51.942</v>
      </c>
      <c r="T62" t="s">
        <v>84</v>
      </c>
      <c r="U62" t="s">
        <v>35</v>
      </c>
    </row>
    <row r="63" spans="1:21" x14ac:dyDescent="0.25">
      <c r="A63" t="s">
        <v>345</v>
      </c>
      <c r="B63" s="1">
        <v>42694</v>
      </c>
      <c r="C63" s="1">
        <v>42698</v>
      </c>
      <c r="D63" t="s">
        <v>22</v>
      </c>
      <c r="E63" t="s">
        <v>346</v>
      </c>
      <c r="F63" t="s">
        <v>347</v>
      </c>
      <c r="G63" t="s">
        <v>101</v>
      </c>
      <c r="H63" t="s">
        <v>26</v>
      </c>
      <c r="I63" t="s">
        <v>348</v>
      </c>
      <c r="J63" t="s">
        <v>232</v>
      </c>
      <c r="K63" t="s">
        <v>68</v>
      </c>
      <c r="L63" t="s">
        <v>349</v>
      </c>
      <c r="M63" t="s">
        <v>31</v>
      </c>
      <c r="N63" t="s">
        <v>32</v>
      </c>
      <c r="O63" t="s">
        <v>350</v>
      </c>
      <c r="P63">
        <v>86.97</v>
      </c>
      <c r="Q63">
        <v>3</v>
      </c>
      <c r="R63">
        <v>0.5</v>
      </c>
      <c r="S63">
        <v>-48.703200000000002</v>
      </c>
      <c r="T63" t="s">
        <v>84</v>
      </c>
      <c r="U63" t="s">
        <v>35</v>
      </c>
    </row>
    <row r="64" spans="1:21" x14ac:dyDescent="0.25">
      <c r="A64" t="s">
        <v>351</v>
      </c>
      <c r="B64" s="1">
        <v>41999</v>
      </c>
      <c r="C64" s="1">
        <v>42001</v>
      </c>
      <c r="D64" t="s">
        <v>88</v>
      </c>
      <c r="E64" t="s">
        <v>352</v>
      </c>
      <c r="F64" t="s">
        <v>353</v>
      </c>
      <c r="G64" t="s">
        <v>91</v>
      </c>
      <c r="H64" t="s">
        <v>26</v>
      </c>
      <c r="I64" t="s">
        <v>354</v>
      </c>
      <c r="J64" t="s">
        <v>181</v>
      </c>
      <c r="K64" t="s">
        <v>55</v>
      </c>
      <c r="L64" t="s">
        <v>355</v>
      </c>
      <c r="M64" t="s">
        <v>31</v>
      </c>
      <c r="N64" t="s">
        <v>57</v>
      </c>
      <c r="O64" t="s">
        <v>356</v>
      </c>
      <c r="P64">
        <v>300.416</v>
      </c>
      <c r="Q64">
        <v>8</v>
      </c>
      <c r="R64">
        <v>0.2</v>
      </c>
      <c r="S64">
        <v>78.859200000000001</v>
      </c>
      <c r="T64" t="s">
        <v>71</v>
      </c>
      <c r="U64" t="s">
        <v>97</v>
      </c>
    </row>
    <row r="65" spans="1:21" x14ac:dyDescent="0.25">
      <c r="A65" t="s">
        <v>351</v>
      </c>
      <c r="B65" s="1">
        <v>41999</v>
      </c>
      <c r="C65" s="1">
        <v>42001</v>
      </c>
      <c r="D65" t="s">
        <v>88</v>
      </c>
      <c r="E65" t="s">
        <v>352</v>
      </c>
      <c r="F65" t="s">
        <v>353</v>
      </c>
      <c r="G65" t="s">
        <v>91</v>
      </c>
      <c r="H65" t="s">
        <v>26</v>
      </c>
      <c r="I65" t="s">
        <v>354</v>
      </c>
      <c r="J65" t="s">
        <v>181</v>
      </c>
      <c r="K65" t="s">
        <v>55</v>
      </c>
      <c r="L65" t="s">
        <v>357</v>
      </c>
      <c r="M65" t="s">
        <v>31</v>
      </c>
      <c r="N65" t="s">
        <v>37</v>
      </c>
      <c r="O65" t="s">
        <v>358</v>
      </c>
      <c r="P65">
        <v>230.352</v>
      </c>
      <c r="Q65">
        <v>3</v>
      </c>
      <c r="R65">
        <v>0.2</v>
      </c>
      <c r="S65">
        <v>20.155799999999999</v>
      </c>
      <c r="T65" t="s">
        <v>71</v>
      </c>
      <c r="U65" t="s">
        <v>97</v>
      </c>
    </row>
    <row r="66" spans="1:21" x14ac:dyDescent="0.25">
      <c r="A66" t="s">
        <v>351</v>
      </c>
      <c r="B66" s="1">
        <v>41999</v>
      </c>
      <c r="C66" s="1">
        <v>42001</v>
      </c>
      <c r="D66" t="s">
        <v>88</v>
      </c>
      <c r="E66" t="s">
        <v>352</v>
      </c>
      <c r="F66" t="s">
        <v>353</v>
      </c>
      <c r="G66" t="s">
        <v>91</v>
      </c>
      <c r="H66" t="s">
        <v>26</v>
      </c>
      <c r="I66" t="s">
        <v>354</v>
      </c>
      <c r="J66" t="s">
        <v>181</v>
      </c>
      <c r="K66" t="s">
        <v>55</v>
      </c>
      <c r="L66" t="s">
        <v>359</v>
      </c>
      <c r="M66" t="s">
        <v>31</v>
      </c>
      <c r="N66" t="s">
        <v>57</v>
      </c>
      <c r="O66" t="s">
        <v>360</v>
      </c>
      <c r="P66">
        <v>218.352</v>
      </c>
      <c r="Q66">
        <v>3</v>
      </c>
      <c r="R66">
        <v>0.2</v>
      </c>
      <c r="S66">
        <v>-24.564599999999999</v>
      </c>
      <c r="T66" t="s">
        <v>71</v>
      </c>
      <c r="U66" t="s">
        <v>97</v>
      </c>
    </row>
    <row r="67" spans="1:21" x14ac:dyDescent="0.25">
      <c r="A67" t="s">
        <v>361</v>
      </c>
      <c r="B67" s="1">
        <v>42671</v>
      </c>
      <c r="C67" s="1">
        <v>42677</v>
      </c>
      <c r="D67" t="s">
        <v>40</v>
      </c>
      <c r="E67" t="s">
        <v>226</v>
      </c>
      <c r="F67" t="s">
        <v>227</v>
      </c>
      <c r="G67" t="s">
        <v>91</v>
      </c>
      <c r="H67" t="s">
        <v>26</v>
      </c>
      <c r="I67" t="s">
        <v>362</v>
      </c>
      <c r="J67" t="s">
        <v>363</v>
      </c>
      <c r="K67" t="s">
        <v>68</v>
      </c>
      <c r="L67" t="s">
        <v>364</v>
      </c>
      <c r="M67" t="s">
        <v>31</v>
      </c>
      <c r="N67" t="s">
        <v>57</v>
      </c>
      <c r="O67" t="s">
        <v>365</v>
      </c>
      <c r="P67">
        <v>77.599999999999994</v>
      </c>
      <c r="Q67">
        <v>4</v>
      </c>
      <c r="R67">
        <v>0</v>
      </c>
      <c r="S67">
        <v>38.024000000000001</v>
      </c>
      <c r="T67" t="s">
        <v>130</v>
      </c>
      <c r="U67" t="s">
        <v>49</v>
      </c>
    </row>
    <row r="68" spans="1:21" x14ac:dyDescent="0.25">
      <c r="A68" t="s">
        <v>366</v>
      </c>
      <c r="B68" s="1">
        <v>43058</v>
      </c>
      <c r="C68" s="1">
        <v>43062</v>
      </c>
      <c r="D68" t="s">
        <v>40</v>
      </c>
      <c r="E68" t="s">
        <v>367</v>
      </c>
      <c r="F68" t="s">
        <v>368</v>
      </c>
      <c r="G68" t="s">
        <v>25</v>
      </c>
      <c r="H68" t="s">
        <v>26</v>
      </c>
      <c r="I68" t="s">
        <v>134</v>
      </c>
      <c r="J68" t="s">
        <v>135</v>
      </c>
      <c r="K68" t="s">
        <v>94</v>
      </c>
      <c r="L68" t="s">
        <v>369</v>
      </c>
      <c r="M68" t="s">
        <v>31</v>
      </c>
      <c r="N68" t="s">
        <v>46</v>
      </c>
      <c r="O68" t="s">
        <v>370</v>
      </c>
      <c r="P68">
        <v>219.07499999999999</v>
      </c>
      <c r="Q68">
        <v>3</v>
      </c>
      <c r="R68">
        <v>0.5</v>
      </c>
      <c r="S68">
        <v>-131.44499999999999</v>
      </c>
      <c r="T68" t="s">
        <v>84</v>
      </c>
      <c r="U68" t="s">
        <v>35</v>
      </c>
    </row>
    <row r="69" spans="1:21" x14ac:dyDescent="0.25">
      <c r="A69" t="s">
        <v>371</v>
      </c>
      <c r="B69" s="1">
        <v>42128</v>
      </c>
      <c r="C69" s="1">
        <v>42133</v>
      </c>
      <c r="D69" t="s">
        <v>22</v>
      </c>
      <c r="E69" t="s">
        <v>372</v>
      </c>
      <c r="F69" t="s">
        <v>373</v>
      </c>
      <c r="G69" t="s">
        <v>91</v>
      </c>
      <c r="H69" t="s">
        <v>26</v>
      </c>
      <c r="I69" t="s">
        <v>174</v>
      </c>
      <c r="J69" t="s">
        <v>121</v>
      </c>
      <c r="K69" t="s">
        <v>68</v>
      </c>
      <c r="L69" t="s">
        <v>374</v>
      </c>
      <c r="M69" t="s">
        <v>31</v>
      </c>
      <c r="N69" t="s">
        <v>57</v>
      </c>
      <c r="O69" t="s">
        <v>375</v>
      </c>
      <c r="P69">
        <v>26.8</v>
      </c>
      <c r="Q69">
        <v>2</v>
      </c>
      <c r="R69">
        <v>0</v>
      </c>
      <c r="S69">
        <v>12.864000000000001</v>
      </c>
      <c r="T69" t="s">
        <v>59</v>
      </c>
      <c r="U69" t="s">
        <v>162</v>
      </c>
    </row>
    <row r="70" spans="1:21" x14ac:dyDescent="0.25">
      <c r="A70" t="s">
        <v>376</v>
      </c>
      <c r="B70" s="1">
        <v>42625</v>
      </c>
      <c r="C70" s="1">
        <v>42627</v>
      </c>
      <c r="D70" t="s">
        <v>22</v>
      </c>
      <c r="E70" t="s">
        <v>377</v>
      </c>
      <c r="F70" t="s">
        <v>378</v>
      </c>
      <c r="G70" t="s">
        <v>91</v>
      </c>
      <c r="H70" t="s">
        <v>26</v>
      </c>
      <c r="I70" t="s">
        <v>379</v>
      </c>
      <c r="J70" t="s">
        <v>181</v>
      </c>
      <c r="K70" t="s">
        <v>55</v>
      </c>
      <c r="L70" t="s">
        <v>380</v>
      </c>
      <c r="M70" t="s">
        <v>31</v>
      </c>
      <c r="N70" t="s">
        <v>57</v>
      </c>
      <c r="O70" t="s">
        <v>381</v>
      </c>
      <c r="P70">
        <v>15.135999999999999</v>
      </c>
      <c r="Q70">
        <v>4</v>
      </c>
      <c r="R70">
        <v>0.2</v>
      </c>
      <c r="S70">
        <v>3.5948000000000002</v>
      </c>
      <c r="T70" t="s">
        <v>71</v>
      </c>
      <c r="U70" t="s">
        <v>78</v>
      </c>
    </row>
    <row r="71" spans="1:21" x14ac:dyDescent="0.25">
      <c r="A71" t="s">
        <v>376</v>
      </c>
      <c r="B71" s="1">
        <v>42625</v>
      </c>
      <c r="C71" s="1">
        <v>42627</v>
      </c>
      <c r="D71" t="s">
        <v>22</v>
      </c>
      <c r="E71" t="s">
        <v>377</v>
      </c>
      <c r="F71" t="s">
        <v>378</v>
      </c>
      <c r="G71" t="s">
        <v>91</v>
      </c>
      <c r="H71" t="s">
        <v>26</v>
      </c>
      <c r="I71" t="s">
        <v>379</v>
      </c>
      <c r="J71" t="s">
        <v>181</v>
      </c>
      <c r="K71" t="s">
        <v>55</v>
      </c>
      <c r="L71" t="s">
        <v>382</v>
      </c>
      <c r="M71" t="s">
        <v>31</v>
      </c>
      <c r="N71" t="s">
        <v>37</v>
      </c>
      <c r="O71" t="s">
        <v>383</v>
      </c>
      <c r="P71">
        <v>466.76799999999997</v>
      </c>
      <c r="Q71">
        <v>2</v>
      </c>
      <c r="R71">
        <v>0.2</v>
      </c>
      <c r="S71">
        <v>52.511400000000002</v>
      </c>
      <c r="T71" t="s">
        <v>71</v>
      </c>
      <c r="U71" t="s">
        <v>78</v>
      </c>
    </row>
    <row r="72" spans="1:21" x14ac:dyDescent="0.25">
      <c r="A72" t="s">
        <v>376</v>
      </c>
      <c r="B72" s="1">
        <v>42625</v>
      </c>
      <c r="C72" s="1">
        <v>42627</v>
      </c>
      <c r="D72" t="s">
        <v>22</v>
      </c>
      <c r="E72" t="s">
        <v>377</v>
      </c>
      <c r="F72" t="s">
        <v>378</v>
      </c>
      <c r="G72" t="s">
        <v>91</v>
      </c>
      <c r="H72" t="s">
        <v>26</v>
      </c>
      <c r="I72" t="s">
        <v>379</v>
      </c>
      <c r="J72" t="s">
        <v>181</v>
      </c>
      <c r="K72" t="s">
        <v>55</v>
      </c>
      <c r="L72" t="s">
        <v>384</v>
      </c>
      <c r="M72" t="s">
        <v>31</v>
      </c>
      <c r="N72" t="s">
        <v>57</v>
      </c>
      <c r="O72" t="s">
        <v>385</v>
      </c>
      <c r="P72">
        <v>15.231999999999999</v>
      </c>
      <c r="Q72">
        <v>1</v>
      </c>
      <c r="R72">
        <v>0.2</v>
      </c>
      <c r="S72">
        <v>1.7136</v>
      </c>
      <c r="T72" t="s">
        <v>71</v>
      </c>
      <c r="U72" t="s">
        <v>78</v>
      </c>
    </row>
    <row r="73" spans="1:21" x14ac:dyDescent="0.25">
      <c r="A73" t="s">
        <v>386</v>
      </c>
      <c r="B73" s="1">
        <v>41909</v>
      </c>
      <c r="C73" s="1">
        <v>41915</v>
      </c>
      <c r="D73" t="s">
        <v>40</v>
      </c>
      <c r="E73" t="s">
        <v>387</v>
      </c>
      <c r="F73" t="s">
        <v>388</v>
      </c>
      <c r="G73" t="s">
        <v>91</v>
      </c>
      <c r="H73" t="s">
        <v>26</v>
      </c>
      <c r="I73" t="s">
        <v>389</v>
      </c>
      <c r="J73" t="s">
        <v>363</v>
      </c>
      <c r="K73" t="s">
        <v>68</v>
      </c>
      <c r="L73" t="s">
        <v>390</v>
      </c>
      <c r="M73" t="s">
        <v>31</v>
      </c>
      <c r="N73" t="s">
        <v>57</v>
      </c>
      <c r="O73" t="s">
        <v>391</v>
      </c>
      <c r="P73">
        <v>87.54</v>
      </c>
      <c r="Q73">
        <v>3</v>
      </c>
      <c r="R73">
        <v>0</v>
      </c>
      <c r="S73">
        <v>37.642200000000003</v>
      </c>
      <c r="T73" t="s">
        <v>130</v>
      </c>
      <c r="U73" t="s">
        <v>78</v>
      </c>
    </row>
    <row r="74" spans="1:21" x14ac:dyDescent="0.25">
      <c r="A74" t="s">
        <v>392</v>
      </c>
      <c r="B74" s="1">
        <v>41947</v>
      </c>
      <c r="C74" s="1">
        <v>41952</v>
      </c>
      <c r="D74" t="s">
        <v>40</v>
      </c>
      <c r="E74" t="s">
        <v>393</v>
      </c>
      <c r="F74" t="s">
        <v>394</v>
      </c>
      <c r="G74" t="s">
        <v>101</v>
      </c>
      <c r="H74" t="s">
        <v>26</v>
      </c>
      <c r="I74" t="s">
        <v>174</v>
      </c>
      <c r="J74" t="s">
        <v>121</v>
      </c>
      <c r="K74" t="s">
        <v>68</v>
      </c>
      <c r="L74" t="s">
        <v>395</v>
      </c>
      <c r="M74" t="s">
        <v>31</v>
      </c>
      <c r="N74" t="s">
        <v>37</v>
      </c>
      <c r="O74" t="s">
        <v>396</v>
      </c>
      <c r="P74">
        <v>135.88200000000001</v>
      </c>
      <c r="Q74">
        <v>1</v>
      </c>
      <c r="R74">
        <v>0.1</v>
      </c>
      <c r="S74">
        <v>24.1568</v>
      </c>
      <c r="T74" t="s">
        <v>59</v>
      </c>
      <c r="U74" t="s">
        <v>35</v>
      </c>
    </row>
    <row r="75" spans="1:21" x14ac:dyDescent="0.25">
      <c r="A75" t="s">
        <v>397</v>
      </c>
      <c r="B75" s="1">
        <v>43042</v>
      </c>
      <c r="C75" s="1">
        <v>43044</v>
      </c>
      <c r="D75" t="s">
        <v>22</v>
      </c>
      <c r="E75" t="s">
        <v>398</v>
      </c>
      <c r="F75" t="s">
        <v>399</v>
      </c>
      <c r="G75" t="s">
        <v>91</v>
      </c>
      <c r="H75" t="s">
        <v>26</v>
      </c>
      <c r="I75" t="s">
        <v>400</v>
      </c>
      <c r="J75" t="s">
        <v>142</v>
      </c>
      <c r="K75" t="s">
        <v>29</v>
      </c>
      <c r="L75" t="s">
        <v>401</v>
      </c>
      <c r="M75" t="s">
        <v>31</v>
      </c>
      <c r="N75" t="s">
        <v>57</v>
      </c>
      <c r="O75" t="s">
        <v>402</v>
      </c>
      <c r="P75">
        <v>15.992000000000001</v>
      </c>
      <c r="Q75">
        <v>1</v>
      </c>
      <c r="R75">
        <v>0.2</v>
      </c>
      <c r="S75">
        <v>0.99950000000000006</v>
      </c>
      <c r="T75" t="s">
        <v>71</v>
      </c>
      <c r="U75" t="s">
        <v>35</v>
      </c>
    </row>
    <row r="76" spans="1:21" x14ac:dyDescent="0.25">
      <c r="A76" t="s">
        <v>403</v>
      </c>
      <c r="B76" s="1">
        <v>42612</v>
      </c>
      <c r="C76" s="1">
        <v>42614</v>
      </c>
      <c r="D76" t="s">
        <v>88</v>
      </c>
      <c r="E76" t="s">
        <v>404</v>
      </c>
      <c r="F76" t="s">
        <v>405</v>
      </c>
      <c r="G76" t="s">
        <v>25</v>
      </c>
      <c r="H76" t="s">
        <v>26</v>
      </c>
      <c r="I76" t="s">
        <v>66</v>
      </c>
      <c r="J76" t="s">
        <v>67</v>
      </c>
      <c r="K76" t="s">
        <v>68</v>
      </c>
      <c r="L76" t="s">
        <v>406</v>
      </c>
      <c r="M76" t="s">
        <v>31</v>
      </c>
      <c r="N76" t="s">
        <v>37</v>
      </c>
      <c r="O76" t="s">
        <v>407</v>
      </c>
      <c r="P76">
        <v>786.74400000000003</v>
      </c>
      <c r="Q76">
        <v>4</v>
      </c>
      <c r="R76">
        <v>0.3</v>
      </c>
      <c r="S76">
        <v>-258.5016</v>
      </c>
      <c r="T76" t="s">
        <v>71</v>
      </c>
      <c r="U76" t="s">
        <v>254</v>
      </c>
    </row>
    <row r="77" spans="1:21" x14ac:dyDescent="0.25">
      <c r="A77" t="s">
        <v>408</v>
      </c>
      <c r="B77" s="1">
        <v>41832</v>
      </c>
      <c r="C77" s="1">
        <v>41837</v>
      </c>
      <c r="D77" t="s">
        <v>40</v>
      </c>
      <c r="E77" t="s">
        <v>409</v>
      </c>
      <c r="F77" t="s">
        <v>410</v>
      </c>
      <c r="G77" t="s">
        <v>91</v>
      </c>
      <c r="H77" t="s">
        <v>26</v>
      </c>
      <c r="I77" t="s">
        <v>329</v>
      </c>
      <c r="J77" t="s">
        <v>54</v>
      </c>
      <c r="K77" t="s">
        <v>55</v>
      </c>
      <c r="L77" t="s">
        <v>411</v>
      </c>
      <c r="M77" t="s">
        <v>31</v>
      </c>
      <c r="N77" t="s">
        <v>46</v>
      </c>
      <c r="O77" t="s">
        <v>412</v>
      </c>
      <c r="P77">
        <v>698.35199999999998</v>
      </c>
      <c r="Q77">
        <v>3</v>
      </c>
      <c r="R77">
        <v>0.2</v>
      </c>
      <c r="S77">
        <v>-17.4588</v>
      </c>
      <c r="T77" t="s">
        <v>59</v>
      </c>
      <c r="U77" t="s">
        <v>72</v>
      </c>
    </row>
    <row r="78" spans="1:21" x14ac:dyDescent="0.25">
      <c r="A78" t="s">
        <v>413</v>
      </c>
      <c r="B78" s="1">
        <v>42468</v>
      </c>
      <c r="C78" s="1">
        <v>42473</v>
      </c>
      <c r="D78" t="s">
        <v>40</v>
      </c>
      <c r="E78" t="s">
        <v>414</v>
      </c>
      <c r="F78" t="s">
        <v>415</v>
      </c>
      <c r="G78" t="s">
        <v>25</v>
      </c>
      <c r="H78" t="s">
        <v>26</v>
      </c>
      <c r="I78" t="s">
        <v>174</v>
      </c>
      <c r="J78" t="s">
        <v>121</v>
      </c>
      <c r="K78" t="s">
        <v>68</v>
      </c>
      <c r="L78" t="s">
        <v>416</v>
      </c>
      <c r="M78" t="s">
        <v>31</v>
      </c>
      <c r="N78" t="s">
        <v>32</v>
      </c>
      <c r="O78" t="s">
        <v>417</v>
      </c>
      <c r="P78">
        <v>388.70400000000001</v>
      </c>
      <c r="Q78">
        <v>6</v>
      </c>
      <c r="R78">
        <v>0.2</v>
      </c>
      <c r="S78">
        <v>-4.8587999999999996</v>
      </c>
      <c r="T78" t="s">
        <v>59</v>
      </c>
      <c r="U78" t="s">
        <v>114</v>
      </c>
    </row>
    <row r="79" spans="1:21" x14ac:dyDescent="0.25">
      <c r="A79" t="s">
        <v>418</v>
      </c>
      <c r="B79" s="1">
        <v>43003</v>
      </c>
      <c r="C79" s="1">
        <v>43009</v>
      </c>
      <c r="D79" t="s">
        <v>40</v>
      </c>
      <c r="E79" t="s">
        <v>419</v>
      </c>
      <c r="F79" t="s">
        <v>420</v>
      </c>
      <c r="G79" t="s">
        <v>25</v>
      </c>
      <c r="H79" t="s">
        <v>26</v>
      </c>
      <c r="I79" t="s">
        <v>174</v>
      </c>
      <c r="J79" t="s">
        <v>121</v>
      </c>
      <c r="K79" t="s">
        <v>68</v>
      </c>
      <c r="L79" t="s">
        <v>421</v>
      </c>
      <c r="M79" t="s">
        <v>31</v>
      </c>
      <c r="N79" t="s">
        <v>37</v>
      </c>
      <c r="O79" t="s">
        <v>422</v>
      </c>
      <c r="P79">
        <v>488.64600000000002</v>
      </c>
      <c r="Q79">
        <v>3</v>
      </c>
      <c r="R79">
        <v>0.1</v>
      </c>
      <c r="S79">
        <v>86.870400000000004</v>
      </c>
      <c r="T79" t="s">
        <v>130</v>
      </c>
      <c r="U79" t="s">
        <v>78</v>
      </c>
    </row>
    <row r="80" spans="1:21" x14ac:dyDescent="0.25">
      <c r="A80" t="s">
        <v>418</v>
      </c>
      <c r="B80" s="1">
        <v>43003</v>
      </c>
      <c r="C80" s="1">
        <v>43009</v>
      </c>
      <c r="D80" t="s">
        <v>40</v>
      </c>
      <c r="E80" t="s">
        <v>419</v>
      </c>
      <c r="F80" t="s">
        <v>420</v>
      </c>
      <c r="G80" t="s">
        <v>25</v>
      </c>
      <c r="H80" t="s">
        <v>26</v>
      </c>
      <c r="I80" t="s">
        <v>174</v>
      </c>
      <c r="J80" t="s">
        <v>121</v>
      </c>
      <c r="K80" t="s">
        <v>68</v>
      </c>
      <c r="L80" t="s">
        <v>423</v>
      </c>
      <c r="M80" t="s">
        <v>31</v>
      </c>
      <c r="N80" t="s">
        <v>57</v>
      </c>
      <c r="O80" t="s">
        <v>424</v>
      </c>
      <c r="P80">
        <v>47.12</v>
      </c>
      <c r="Q80">
        <v>8</v>
      </c>
      <c r="R80">
        <v>0</v>
      </c>
      <c r="S80">
        <v>20.732800000000001</v>
      </c>
      <c r="T80" t="s">
        <v>130</v>
      </c>
      <c r="U80" t="s">
        <v>78</v>
      </c>
    </row>
    <row r="81" spans="1:21" x14ac:dyDescent="0.25">
      <c r="A81" t="s">
        <v>425</v>
      </c>
      <c r="B81" s="1">
        <v>42664</v>
      </c>
      <c r="C81" s="1">
        <v>42664</v>
      </c>
      <c r="D81" t="s">
        <v>426</v>
      </c>
      <c r="E81" t="s">
        <v>427</v>
      </c>
      <c r="F81" t="s">
        <v>428</v>
      </c>
      <c r="G81" t="s">
        <v>91</v>
      </c>
      <c r="H81" t="s">
        <v>26</v>
      </c>
      <c r="I81" t="s">
        <v>429</v>
      </c>
      <c r="J81" t="s">
        <v>430</v>
      </c>
      <c r="K81" t="s">
        <v>68</v>
      </c>
      <c r="L81" t="s">
        <v>103</v>
      </c>
      <c r="M81" t="s">
        <v>31</v>
      </c>
      <c r="N81" t="s">
        <v>32</v>
      </c>
      <c r="O81" t="s">
        <v>104</v>
      </c>
      <c r="P81">
        <v>1043.92</v>
      </c>
      <c r="Q81">
        <v>4</v>
      </c>
      <c r="R81">
        <v>0</v>
      </c>
      <c r="S81">
        <v>271.41919999999999</v>
      </c>
      <c r="T81" t="s">
        <v>431</v>
      </c>
      <c r="U81" t="s">
        <v>49</v>
      </c>
    </row>
    <row r="82" spans="1:21" x14ac:dyDescent="0.25">
      <c r="A82" t="s">
        <v>432</v>
      </c>
      <c r="B82" s="1">
        <v>42974</v>
      </c>
      <c r="C82" s="1">
        <v>42979</v>
      </c>
      <c r="D82" t="s">
        <v>40</v>
      </c>
      <c r="E82" t="s">
        <v>433</v>
      </c>
      <c r="F82" t="s">
        <v>434</v>
      </c>
      <c r="G82" t="s">
        <v>91</v>
      </c>
      <c r="H82" t="s">
        <v>26</v>
      </c>
      <c r="I82" t="s">
        <v>238</v>
      </c>
      <c r="J82" t="s">
        <v>435</v>
      </c>
      <c r="K82" t="s">
        <v>68</v>
      </c>
      <c r="L82" t="s">
        <v>436</v>
      </c>
      <c r="M82" t="s">
        <v>31</v>
      </c>
      <c r="N82" t="s">
        <v>46</v>
      </c>
      <c r="O82" t="s">
        <v>437</v>
      </c>
      <c r="P82">
        <v>1488.424</v>
      </c>
      <c r="Q82">
        <v>7</v>
      </c>
      <c r="R82">
        <v>0.3</v>
      </c>
      <c r="S82">
        <v>-297.6848</v>
      </c>
      <c r="T82" t="s">
        <v>59</v>
      </c>
      <c r="U82" t="s">
        <v>254</v>
      </c>
    </row>
    <row r="83" spans="1:21" x14ac:dyDescent="0.25">
      <c r="A83" t="s">
        <v>438</v>
      </c>
      <c r="B83" s="1">
        <v>42335</v>
      </c>
      <c r="C83" s="1">
        <v>42340</v>
      </c>
      <c r="D83" t="s">
        <v>40</v>
      </c>
      <c r="E83" t="s">
        <v>439</v>
      </c>
      <c r="F83" t="s">
        <v>440</v>
      </c>
      <c r="G83" t="s">
        <v>25</v>
      </c>
      <c r="H83" t="s">
        <v>26</v>
      </c>
      <c r="I83" t="s">
        <v>441</v>
      </c>
      <c r="J83" t="s">
        <v>44</v>
      </c>
      <c r="K83" t="s">
        <v>29</v>
      </c>
      <c r="L83" t="s">
        <v>442</v>
      </c>
      <c r="M83" t="s">
        <v>31</v>
      </c>
      <c r="N83" t="s">
        <v>46</v>
      </c>
      <c r="O83" t="s">
        <v>443</v>
      </c>
      <c r="P83">
        <v>375.45749999999998</v>
      </c>
      <c r="Q83">
        <v>3</v>
      </c>
      <c r="R83">
        <v>0.45</v>
      </c>
      <c r="S83">
        <v>-157.0095</v>
      </c>
      <c r="T83" t="s">
        <v>59</v>
      </c>
      <c r="U83" t="s">
        <v>35</v>
      </c>
    </row>
    <row r="84" spans="1:21" x14ac:dyDescent="0.25">
      <c r="A84" t="s">
        <v>444</v>
      </c>
      <c r="B84" s="1">
        <v>42341</v>
      </c>
      <c r="C84" s="1">
        <v>42345</v>
      </c>
      <c r="D84" t="s">
        <v>40</v>
      </c>
      <c r="E84" t="s">
        <v>445</v>
      </c>
      <c r="F84" t="s">
        <v>446</v>
      </c>
      <c r="G84" t="s">
        <v>91</v>
      </c>
      <c r="H84" t="s">
        <v>26</v>
      </c>
      <c r="I84" t="s">
        <v>66</v>
      </c>
      <c r="J84" t="s">
        <v>67</v>
      </c>
      <c r="K84" t="s">
        <v>68</v>
      </c>
      <c r="L84" t="s">
        <v>447</v>
      </c>
      <c r="M84" t="s">
        <v>31</v>
      </c>
      <c r="N84" t="s">
        <v>57</v>
      </c>
      <c r="O84" t="s">
        <v>448</v>
      </c>
      <c r="P84">
        <v>2.96</v>
      </c>
      <c r="Q84">
        <v>1</v>
      </c>
      <c r="R84">
        <v>0.2</v>
      </c>
      <c r="S84">
        <v>0.77700000000000002</v>
      </c>
      <c r="T84" t="s">
        <v>84</v>
      </c>
      <c r="U84" t="s">
        <v>97</v>
      </c>
    </row>
    <row r="85" spans="1:21" x14ac:dyDescent="0.25">
      <c r="A85" t="s">
        <v>449</v>
      </c>
      <c r="B85" s="1">
        <v>42621</v>
      </c>
      <c r="C85" s="1">
        <v>42623</v>
      </c>
      <c r="D85" t="s">
        <v>22</v>
      </c>
      <c r="E85" t="s">
        <v>450</v>
      </c>
      <c r="F85" t="s">
        <v>451</v>
      </c>
      <c r="G85" t="s">
        <v>25</v>
      </c>
      <c r="H85" t="s">
        <v>26</v>
      </c>
      <c r="I85" t="s">
        <v>102</v>
      </c>
      <c r="J85" t="s">
        <v>93</v>
      </c>
      <c r="K85" t="s">
        <v>94</v>
      </c>
      <c r="L85" t="s">
        <v>82</v>
      </c>
      <c r="M85" t="s">
        <v>31</v>
      </c>
      <c r="N85" t="s">
        <v>32</v>
      </c>
      <c r="O85" t="s">
        <v>83</v>
      </c>
      <c r="P85">
        <v>2396.2656000000002</v>
      </c>
      <c r="Q85">
        <v>4</v>
      </c>
      <c r="R85">
        <v>0.32</v>
      </c>
      <c r="S85">
        <v>-317.15280000000001</v>
      </c>
      <c r="T85" t="s">
        <v>71</v>
      </c>
      <c r="U85" t="s">
        <v>78</v>
      </c>
    </row>
    <row r="86" spans="1:21" x14ac:dyDescent="0.25">
      <c r="A86" t="s">
        <v>452</v>
      </c>
      <c r="B86" s="1">
        <v>43077</v>
      </c>
      <c r="C86" s="1">
        <v>43081</v>
      </c>
      <c r="D86" t="s">
        <v>40</v>
      </c>
      <c r="E86" t="s">
        <v>453</v>
      </c>
      <c r="F86" t="s">
        <v>454</v>
      </c>
      <c r="G86" t="s">
        <v>25</v>
      </c>
      <c r="H86" t="s">
        <v>26</v>
      </c>
      <c r="I86" t="s">
        <v>329</v>
      </c>
      <c r="J86" t="s">
        <v>54</v>
      </c>
      <c r="K86" t="s">
        <v>55</v>
      </c>
      <c r="L86" t="s">
        <v>455</v>
      </c>
      <c r="M86" t="s">
        <v>31</v>
      </c>
      <c r="N86" t="s">
        <v>46</v>
      </c>
      <c r="O86" t="s">
        <v>456</v>
      </c>
      <c r="P86">
        <v>1004.024</v>
      </c>
      <c r="Q86">
        <v>7</v>
      </c>
      <c r="R86">
        <v>0.2</v>
      </c>
      <c r="S86">
        <v>-112.95269999999999</v>
      </c>
      <c r="T86" t="s">
        <v>84</v>
      </c>
      <c r="U86" t="s">
        <v>97</v>
      </c>
    </row>
    <row r="87" spans="1:21" x14ac:dyDescent="0.25">
      <c r="A87" t="s">
        <v>452</v>
      </c>
      <c r="B87" s="1">
        <v>43077</v>
      </c>
      <c r="C87" s="1">
        <v>43081</v>
      </c>
      <c r="D87" t="s">
        <v>40</v>
      </c>
      <c r="E87" t="s">
        <v>453</v>
      </c>
      <c r="F87" t="s">
        <v>454</v>
      </c>
      <c r="G87" t="s">
        <v>25</v>
      </c>
      <c r="H87" t="s">
        <v>26</v>
      </c>
      <c r="I87" t="s">
        <v>329</v>
      </c>
      <c r="J87" t="s">
        <v>54</v>
      </c>
      <c r="K87" t="s">
        <v>55</v>
      </c>
      <c r="L87" t="s">
        <v>457</v>
      </c>
      <c r="M87" t="s">
        <v>31</v>
      </c>
      <c r="N87" t="s">
        <v>32</v>
      </c>
      <c r="O87" t="s">
        <v>458</v>
      </c>
      <c r="P87">
        <v>1336.829</v>
      </c>
      <c r="Q87">
        <v>13</v>
      </c>
      <c r="R87">
        <v>0.15</v>
      </c>
      <c r="S87">
        <v>31.454799999999999</v>
      </c>
      <c r="T87" t="s">
        <v>84</v>
      </c>
      <c r="U87" t="s">
        <v>97</v>
      </c>
    </row>
    <row r="88" spans="1:21" x14ac:dyDescent="0.25">
      <c r="A88" t="s">
        <v>452</v>
      </c>
      <c r="B88" s="1">
        <v>43077</v>
      </c>
      <c r="C88" s="1">
        <v>43081</v>
      </c>
      <c r="D88" t="s">
        <v>40</v>
      </c>
      <c r="E88" t="s">
        <v>453</v>
      </c>
      <c r="F88" t="s">
        <v>454</v>
      </c>
      <c r="G88" t="s">
        <v>25</v>
      </c>
      <c r="H88" t="s">
        <v>26</v>
      </c>
      <c r="I88" t="s">
        <v>329</v>
      </c>
      <c r="J88" t="s">
        <v>54</v>
      </c>
      <c r="K88" t="s">
        <v>55</v>
      </c>
      <c r="L88" t="s">
        <v>459</v>
      </c>
      <c r="M88" t="s">
        <v>31</v>
      </c>
      <c r="N88" t="s">
        <v>37</v>
      </c>
      <c r="O88" t="s">
        <v>460</v>
      </c>
      <c r="P88">
        <v>113.568</v>
      </c>
      <c r="Q88">
        <v>2</v>
      </c>
      <c r="R88">
        <v>0.2</v>
      </c>
      <c r="S88">
        <v>-18.454799999999999</v>
      </c>
      <c r="T88" t="s">
        <v>84</v>
      </c>
      <c r="U88" t="s">
        <v>97</v>
      </c>
    </row>
    <row r="89" spans="1:21" x14ac:dyDescent="0.25">
      <c r="A89" t="s">
        <v>461</v>
      </c>
      <c r="B89" s="1">
        <v>43042</v>
      </c>
      <c r="C89" s="1">
        <v>43046</v>
      </c>
      <c r="D89" t="s">
        <v>40</v>
      </c>
      <c r="E89" t="s">
        <v>462</v>
      </c>
      <c r="F89" t="s">
        <v>463</v>
      </c>
      <c r="G89" t="s">
        <v>91</v>
      </c>
      <c r="H89" t="s">
        <v>26</v>
      </c>
      <c r="I89" t="s">
        <v>192</v>
      </c>
      <c r="J89" t="s">
        <v>193</v>
      </c>
      <c r="K89" t="s">
        <v>55</v>
      </c>
      <c r="L89" t="s">
        <v>357</v>
      </c>
      <c r="M89" t="s">
        <v>31</v>
      </c>
      <c r="N89" t="s">
        <v>37</v>
      </c>
      <c r="O89" t="s">
        <v>358</v>
      </c>
      <c r="P89">
        <v>307.13600000000002</v>
      </c>
      <c r="Q89">
        <v>4</v>
      </c>
      <c r="R89">
        <v>0.2</v>
      </c>
      <c r="S89">
        <v>26.874400000000001</v>
      </c>
      <c r="T89" t="s">
        <v>84</v>
      </c>
      <c r="U89" t="s">
        <v>35</v>
      </c>
    </row>
    <row r="90" spans="1:21" x14ac:dyDescent="0.25">
      <c r="A90" t="s">
        <v>464</v>
      </c>
      <c r="B90" s="1">
        <v>42474</v>
      </c>
      <c r="C90" s="1">
        <v>42478</v>
      </c>
      <c r="D90" t="s">
        <v>40</v>
      </c>
      <c r="E90" t="s">
        <v>465</v>
      </c>
      <c r="F90" t="s">
        <v>466</v>
      </c>
      <c r="G90" t="s">
        <v>25</v>
      </c>
      <c r="H90" t="s">
        <v>26</v>
      </c>
      <c r="I90" t="s">
        <v>53</v>
      </c>
      <c r="J90" t="s">
        <v>54</v>
      </c>
      <c r="K90" t="s">
        <v>55</v>
      </c>
      <c r="L90" t="s">
        <v>467</v>
      </c>
      <c r="M90" t="s">
        <v>31</v>
      </c>
      <c r="N90" t="s">
        <v>37</v>
      </c>
      <c r="O90" t="s">
        <v>468</v>
      </c>
      <c r="P90">
        <v>383.8</v>
      </c>
      <c r="Q90">
        <v>5</v>
      </c>
      <c r="R90">
        <v>0.2</v>
      </c>
      <c r="S90">
        <v>38.380000000000003</v>
      </c>
      <c r="T90" t="s">
        <v>84</v>
      </c>
      <c r="U90" t="s">
        <v>114</v>
      </c>
    </row>
    <row r="91" spans="1:21" x14ac:dyDescent="0.25">
      <c r="A91" t="s">
        <v>469</v>
      </c>
      <c r="B91" s="1">
        <v>43027</v>
      </c>
      <c r="C91" s="1">
        <v>43031</v>
      </c>
      <c r="D91" t="s">
        <v>40</v>
      </c>
      <c r="E91" t="s">
        <v>470</v>
      </c>
      <c r="F91" t="s">
        <v>471</v>
      </c>
      <c r="G91" t="s">
        <v>91</v>
      </c>
      <c r="H91" t="s">
        <v>26</v>
      </c>
      <c r="I91" t="s">
        <v>472</v>
      </c>
      <c r="J91" t="s">
        <v>435</v>
      </c>
      <c r="K91" t="s">
        <v>68</v>
      </c>
      <c r="L91" t="s">
        <v>473</v>
      </c>
      <c r="M91" t="s">
        <v>31</v>
      </c>
      <c r="N91" t="s">
        <v>57</v>
      </c>
      <c r="O91" t="s">
        <v>474</v>
      </c>
      <c r="P91">
        <v>56.56</v>
      </c>
      <c r="Q91">
        <v>4</v>
      </c>
      <c r="R91">
        <v>0</v>
      </c>
      <c r="S91">
        <v>14.7056</v>
      </c>
      <c r="T91" t="s">
        <v>84</v>
      </c>
      <c r="U91" t="s">
        <v>49</v>
      </c>
    </row>
    <row r="92" spans="1:21" x14ac:dyDescent="0.25">
      <c r="A92" t="s">
        <v>475</v>
      </c>
      <c r="B92" s="1">
        <v>42968</v>
      </c>
      <c r="C92" s="1">
        <v>42970</v>
      </c>
      <c r="D92" t="s">
        <v>22</v>
      </c>
      <c r="E92" t="s">
        <v>476</v>
      </c>
      <c r="F92" t="s">
        <v>477</v>
      </c>
      <c r="G92" t="s">
        <v>25</v>
      </c>
      <c r="H92" t="s">
        <v>26</v>
      </c>
      <c r="I92" t="s">
        <v>478</v>
      </c>
      <c r="J92" t="s">
        <v>479</v>
      </c>
      <c r="K92" t="s">
        <v>29</v>
      </c>
      <c r="L92" t="s">
        <v>480</v>
      </c>
      <c r="M92" t="s">
        <v>31</v>
      </c>
      <c r="N92" t="s">
        <v>37</v>
      </c>
      <c r="O92" t="s">
        <v>481</v>
      </c>
      <c r="P92">
        <v>866.4</v>
      </c>
      <c r="Q92">
        <v>4</v>
      </c>
      <c r="R92">
        <v>0</v>
      </c>
      <c r="S92">
        <v>225.26400000000001</v>
      </c>
      <c r="T92" t="s">
        <v>71</v>
      </c>
      <c r="U92" t="s">
        <v>254</v>
      </c>
    </row>
    <row r="93" spans="1:21" x14ac:dyDescent="0.25">
      <c r="A93" t="s">
        <v>482</v>
      </c>
      <c r="B93" s="1">
        <v>43062</v>
      </c>
      <c r="C93" s="1">
        <v>43065</v>
      </c>
      <c r="D93" t="s">
        <v>22</v>
      </c>
      <c r="E93" t="s">
        <v>483</v>
      </c>
      <c r="F93" t="s">
        <v>484</v>
      </c>
      <c r="G93" t="s">
        <v>91</v>
      </c>
      <c r="H93" t="s">
        <v>26</v>
      </c>
      <c r="I93" t="s">
        <v>485</v>
      </c>
      <c r="J93" t="s">
        <v>290</v>
      </c>
      <c r="K93" t="s">
        <v>94</v>
      </c>
      <c r="L93" t="s">
        <v>486</v>
      </c>
      <c r="M93" t="s">
        <v>31</v>
      </c>
      <c r="N93" t="s">
        <v>57</v>
      </c>
      <c r="O93" t="s">
        <v>487</v>
      </c>
      <c r="P93">
        <v>28.4</v>
      </c>
      <c r="Q93">
        <v>2</v>
      </c>
      <c r="R93">
        <v>0</v>
      </c>
      <c r="S93">
        <v>11.076000000000001</v>
      </c>
      <c r="T93" t="s">
        <v>34</v>
      </c>
      <c r="U93" t="s">
        <v>35</v>
      </c>
    </row>
    <row r="94" spans="1:21" x14ac:dyDescent="0.25">
      <c r="A94" t="s">
        <v>488</v>
      </c>
      <c r="B94" s="1">
        <v>42755</v>
      </c>
      <c r="C94" s="1">
        <v>42758</v>
      </c>
      <c r="D94" t="s">
        <v>22</v>
      </c>
      <c r="E94" t="s">
        <v>185</v>
      </c>
      <c r="F94" t="s">
        <v>186</v>
      </c>
      <c r="G94" t="s">
        <v>91</v>
      </c>
      <c r="H94" t="s">
        <v>26</v>
      </c>
      <c r="I94" t="s">
        <v>174</v>
      </c>
      <c r="J94" t="s">
        <v>121</v>
      </c>
      <c r="K94" t="s">
        <v>68</v>
      </c>
      <c r="L94" t="s">
        <v>489</v>
      </c>
      <c r="M94" t="s">
        <v>31</v>
      </c>
      <c r="N94" t="s">
        <v>37</v>
      </c>
      <c r="O94" t="s">
        <v>490</v>
      </c>
      <c r="P94">
        <v>207.846</v>
      </c>
      <c r="Q94">
        <v>3</v>
      </c>
      <c r="R94">
        <v>0.1</v>
      </c>
      <c r="S94">
        <v>2.3094000000000001</v>
      </c>
      <c r="T94" t="s">
        <v>34</v>
      </c>
      <c r="U94" t="s">
        <v>170</v>
      </c>
    </row>
    <row r="95" spans="1:21" x14ac:dyDescent="0.25">
      <c r="A95" t="s">
        <v>491</v>
      </c>
      <c r="B95" s="1">
        <v>42618</v>
      </c>
      <c r="C95" s="1">
        <v>42620</v>
      </c>
      <c r="D95" t="s">
        <v>22</v>
      </c>
      <c r="E95" t="s">
        <v>492</v>
      </c>
      <c r="F95" t="s">
        <v>493</v>
      </c>
      <c r="G95" t="s">
        <v>25</v>
      </c>
      <c r="H95" t="s">
        <v>26</v>
      </c>
      <c r="I95" t="s">
        <v>289</v>
      </c>
      <c r="J95" t="s">
        <v>290</v>
      </c>
      <c r="K95" t="s">
        <v>94</v>
      </c>
      <c r="L95" t="s">
        <v>494</v>
      </c>
      <c r="M95" t="s">
        <v>31</v>
      </c>
      <c r="N95" t="s">
        <v>57</v>
      </c>
      <c r="O95" t="s">
        <v>495</v>
      </c>
      <c r="P95">
        <v>12.22</v>
      </c>
      <c r="Q95">
        <v>1</v>
      </c>
      <c r="R95">
        <v>0</v>
      </c>
      <c r="S95">
        <v>3.6659999999999999</v>
      </c>
      <c r="T95" t="s">
        <v>71</v>
      </c>
      <c r="U95" t="s">
        <v>78</v>
      </c>
    </row>
    <row r="96" spans="1:21" x14ac:dyDescent="0.25">
      <c r="A96" t="s">
        <v>491</v>
      </c>
      <c r="B96" s="1">
        <v>42618</v>
      </c>
      <c r="C96" s="1">
        <v>42620</v>
      </c>
      <c r="D96" t="s">
        <v>22</v>
      </c>
      <c r="E96" t="s">
        <v>492</v>
      </c>
      <c r="F96" t="s">
        <v>493</v>
      </c>
      <c r="G96" t="s">
        <v>25</v>
      </c>
      <c r="H96" t="s">
        <v>26</v>
      </c>
      <c r="I96" t="s">
        <v>289</v>
      </c>
      <c r="J96" t="s">
        <v>290</v>
      </c>
      <c r="K96" t="s">
        <v>94</v>
      </c>
      <c r="L96" t="s">
        <v>496</v>
      </c>
      <c r="M96" t="s">
        <v>31</v>
      </c>
      <c r="N96" t="s">
        <v>37</v>
      </c>
      <c r="O96" t="s">
        <v>497</v>
      </c>
      <c r="P96">
        <v>242.94</v>
      </c>
      <c r="Q96">
        <v>3</v>
      </c>
      <c r="R96">
        <v>0</v>
      </c>
      <c r="S96">
        <v>29.152799999999999</v>
      </c>
      <c r="T96" t="s">
        <v>71</v>
      </c>
      <c r="U96" t="s">
        <v>78</v>
      </c>
    </row>
    <row r="97" spans="1:21" x14ac:dyDescent="0.25">
      <c r="A97" t="s">
        <v>498</v>
      </c>
      <c r="B97" s="1">
        <v>42814</v>
      </c>
      <c r="C97" s="1">
        <v>42819</v>
      </c>
      <c r="D97" t="s">
        <v>22</v>
      </c>
      <c r="E97" t="s">
        <v>499</v>
      </c>
      <c r="F97" t="s">
        <v>500</v>
      </c>
      <c r="G97" t="s">
        <v>25</v>
      </c>
      <c r="H97" t="s">
        <v>26</v>
      </c>
      <c r="I97" t="s">
        <v>348</v>
      </c>
      <c r="J97" t="s">
        <v>111</v>
      </c>
      <c r="K97" t="s">
        <v>94</v>
      </c>
      <c r="L97" t="s">
        <v>501</v>
      </c>
      <c r="M97" t="s">
        <v>31</v>
      </c>
      <c r="N97" t="s">
        <v>57</v>
      </c>
      <c r="O97" t="s">
        <v>502</v>
      </c>
      <c r="P97">
        <v>2.91</v>
      </c>
      <c r="Q97">
        <v>1</v>
      </c>
      <c r="R97">
        <v>0</v>
      </c>
      <c r="S97">
        <v>1.3676999999999999</v>
      </c>
      <c r="T97" t="s">
        <v>59</v>
      </c>
      <c r="U97" t="s">
        <v>196</v>
      </c>
    </row>
    <row r="98" spans="1:21" x14ac:dyDescent="0.25">
      <c r="A98" t="s">
        <v>503</v>
      </c>
      <c r="B98" s="1">
        <v>43028</v>
      </c>
      <c r="C98" s="1">
        <v>43032</v>
      </c>
      <c r="D98" t="s">
        <v>40</v>
      </c>
      <c r="E98" t="s">
        <v>504</v>
      </c>
      <c r="F98" t="s">
        <v>505</v>
      </c>
      <c r="G98" t="s">
        <v>91</v>
      </c>
      <c r="H98" t="s">
        <v>26</v>
      </c>
      <c r="I98" t="s">
        <v>506</v>
      </c>
      <c r="J98" t="s">
        <v>232</v>
      </c>
      <c r="K98" t="s">
        <v>68</v>
      </c>
      <c r="L98" t="s">
        <v>61</v>
      </c>
      <c r="M98" t="s">
        <v>31</v>
      </c>
      <c r="N98" t="s">
        <v>46</v>
      </c>
      <c r="O98" t="s">
        <v>62</v>
      </c>
      <c r="P98">
        <v>284.36399999999998</v>
      </c>
      <c r="Q98">
        <v>2</v>
      </c>
      <c r="R98">
        <v>0.4</v>
      </c>
      <c r="S98">
        <v>-75.830399999999997</v>
      </c>
      <c r="T98" t="s">
        <v>84</v>
      </c>
      <c r="U98" t="s">
        <v>49</v>
      </c>
    </row>
    <row r="99" spans="1:21" x14ac:dyDescent="0.25">
      <c r="A99" t="s">
        <v>507</v>
      </c>
      <c r="B99" s="1">
        <v>41682</v>
      </c>
      <c r="C99" s="1">
        <v>41688</v>
      </c>
      <c r="D99" t="s">
        <v>40</v>
      </c>
      <c r="E99" t="s">
        <v>508</v>
      </c>
      <c r="F99" t="s">
        <v>509</v>
      </c>
      <c r="G99" t="s">
        <v>25</v>
      </c>
      <c r="H99" t="s">
        <v>26</v>
      </c>
      <c r="I99" t="s">
        <v>510</v>
      </c>
      <c r="J99" t="s">
        <v>54</v>
      </c>
      <c r="K99" t="s">
        <v>55</v>
      </c>
      <c r="L99" t="s">
        <v>511</v>
      </c>
      <c r="M99" t="s">
        <v>31</v>
      </c>
      <c r="N99" t="s">
        <v>37</v>
      </c>
      <c r="O99" t="s">
        <v>512</v>
      </c>
      <c r="P99">
        <v>129.56800000000001</v>
      </c>
      <c r="Q99">
        <v>2</v>
      </c>
      <c r="R99">
        <v>0.2</v>
      </c>
      <c r="S99">
        <v>-24.294</v>
      </c>
      <c r="T99" t="s">
        <v>130</v>
      </c>
      <c r="U99" t="s">
        <v>298</v>
      </c>
    </row>
    <row r="100" spans="1:21" x14ac:dyDescent="0.25">
      <c r="A100" t="s">
        <v>513</v>
      </c>
      <c r="B100" s="1">
        <v>42639</v>
      </c>
      <c r="C100" s="1">
        <v>42644</v>
      </c>
      <c r="D100" t="s">
        <v>40</v>
      </c>
      <c r="E100" t="s">
        <v>476</v>
      </c>
      <c r="F100" t="s">
        <v>477</v>
      </c>
      <c r="G100" t="s">
        <v>25</v>
      </c>
      <c r="H100" t="s">
        <v>26</v>
      </c>
      <c r="I100" t="s">
        <v>514</v>
      </c>
      <c r="J100" t="s">
        <v>135</v>
      </c>
      <c r="K100" t="s">
        <v>94</v>
      </c>
      <c r="L100" t="s">
        <v>515</v>
      </c>
      <c r="M100" t="s">
        <v>31</v>
      </c>
      <c r="N100" t="s">
        <v>37</v>
      </c>
      <c r="O100" t="s">
        <v>516</v>
      </c>
      <c r="P100">
        <v>747.55799999999999</v>
      </c>
      <c r="Q100">
        <v>3</v>
      </c>
      <c r="R100">
        <v>0.3</v>
      </c>
      <c r="S100">
        <v>-96.114599999999996</v>
      </c>
      <c r="T100" t="s">
        <v>59</v>
      </c>
      <c r="U100" t="s">
        <v>78</v>
      </c>
    </row>
    <row r="101" spans="1:21" x14ac:dyDescent="0.25">
      <c r="A101" t="s">
        <v>517</v>
      </c>
      <c r="B101" s="1">
        <v>42482</v>
      </c>
      <c r="C101" s="1">
        <v>42489</v>
      </c>
      <c r="D101" t="s">
        <v>40</v>
      </c>
      <c r="E101" t="s">
        <v>518</v>
      </c>
      <c r="F101" t="s">
        <v>519</v>
      </c>
      <c r="G101" t="s">
        <v>101</v>
      </c>
      <c r="H101" t="s">
        <v>26</v>
      </c>
      <c r="I101" t="s">
        <v>520</v>
      </c>
      <c r="J101" t="s">
        <v>521</v>
      </c>
      <c r="K101" t="s">
        <v>55</v>
      </c>
      <c r="L101" t="s">
        <v>423</v>
      </c>
      <c r="M101" t="s">
        <v>31</v>
      </c>
      <c r="N101" t="s">
        <v>57</v>
      </c>
      <c r="O101" t="s">
        <v>424</v>
      </c>
      <c r="P101">
        <v>23.56</v>
      </c>
      <c r="Q101">
        <v>5</v>
      </c>
      <c r="R101">
        <v>0.2</v>
      </c>
      <c r="S101">
        <v>7.0679999999999996</v>
      </c>
      <c r="T101" t="s">
        <v>48</v>
      </c>
      <c r="U101" t="s">
        <v>114</v>
      </c>
    </row>
    <row r="102" spans="1:21" x14ac:dyDescent="0.25">
      <c r="A102" t="s">
        <v>517</v>
      </c>
      <c r="B102" s="1">
        <v>42482</v>
      </c>
      <c r="C102" s="1">
        <v>42489</v>
      </c>
      <c r="D102" t="s">
        <v>40</v>
      </c>
      <c r="E102" t="s">
        <v>518</v>
      </c>
      <c r="F102" t="s">
        <v>519</v>
      </c>
      <c r="G102" t="s">
        <v>101</v>
      </c>
      <c r="H102" t="s">
        <v>26</v>
      </c>
      <c r="I102" t="s">
        <v>520</v>
      </c>
      <c r="J102" t="s">
        <v>521</v>
      </c>
      <c r="K102" t="s">
        <v>55</v>
      </c>
      <c r="L102" t="s">
        <v>522</v>
      </c>
      <c r="M102" t="s">
        <v>31</v>
      </c>
      <c r="N102" t="s">
        <v>46</v>
      </c>
      <c r="O102" t="s">
        <v>523</v>
      </c>
      <c r="P102">
        <v>1272.6300000000001</v>
      </c>
      <c r="Q102">
        <v>6</v>
      </c>
      <c r="R102">
        <v>0.5</v>
      </c>
      <c r="S102">
        <v>-814.48320000000001</v>
      </c>
      <c r="T102" t="s">
        <v>48</v>
      </c>
      <c r="U102" t="s">
        <v>114</v>
      </c>
    </row>
    <row r="103" spans="1:21" x14ac:dyDescent="0.25">
      <c r="A103" t="s">
        <v>524</v>
      </c>
      <c r="B103" s="1">
        <v>42021</v>
      </c>
      <c r="C103" s="1">
        <v>42028</v>
      </c>
      <c r="D103" t="s">
        <v>40</v>
      </c>
      <c r="E103" t="s">
        <v>525</v>
      </c>
      <c r="F103" t="s">
        <v>526</v>
      </c>
      <c r="G103" t="s">
        <v>101</v>
      </c>
      <c r="H103" t="s">
        <v>26</v>
      </c>
      <c r="I103" t="s">
        <v>527</v>
      </c>
      <c r="J103" t="s">
        <v>135</v>
      </c>
      <c r="K103" t="s">
        <v>94</v>
      </c>
      <c r="L103" t="s">
        <v>359</v>
      </c>
      <c r="M103" t="s">
        <v>31</v>
      </c>
      <c r="N103" t="s">
        <v>57</v>
      </c>
      <c r="O103" t="s">
        <v>360</v>
      </c>
      <c r="P103">
        <v>254.744</v>
      </c>
      <c r="Q103">
        <v>7</v>
      </c>
      <c r="R103">
        <v>0.6</v>
      </c>
      <c r="S103">
        <v>-312.06139999999999</v>
      </c>
      <c r="T103" t="s">
        <v>48</v>
      </c>
      <c r="U103" t="s">
        <v>170</v>
      </c>
    </row>
    <row r="104" spans="1:21" x14ac:dyDescent="0.25">
      <c r="A104" t="s">
        <v>528</v>
      </c>
      <c r="B104" s="1">
        <v>42825</v>
      </c>
      <c r="C104" s="1">
        <v>42829</v>
      </c>
      <c r="D104" t="s">
        <v>40</v>
      </c>
      <c r="E104" t="s">
        <v>287</v>
      </c>
      <c r="F104" t="s">
        <v>288</v>
      </c>
      <c r="G104" t="s">
        <v>91</v>
      </c>
      <c r="H104" t="s">
        <v>26</v>
      </c>
      <c r="I104" t="s">
        <v>529</v>
      </c>
      <c r="J104" t="s">
        <v>93</v>
      </c>
      <c r="K104" t="s">
        <v>94</v>
      </c>
      <c r="L104" t="s">
        <v>530</v>
      </c>
      <c r="M104" t="s">
        <v>31</v>
      </c>
      <c r="N104" t="s">
        <v>32</v>
      </c>
      <c r="O104" t="s">
        <v>531</v>
      </c>
      <c r="P104">
        <v>205.33279999999999</v>
      </c>
      <c r="Q104">
        <v>2</v>
      </c>
      <c r="R104">
        <v>0.32</v>
      </c>
      <c r="S104">
        <v>-36.235199999999999</v>
      </c>
      <c r="T104" t="s">
        <v>84</v>
      </c>
      <c r="U104" t="s">
        <v>196</v>
      </c>
    </row>
    <row r="105" spans="1:21" x14ac:dyDescent="0.25">
      <c r="A105" t="s">
        <v>532</v>
      </c>
      <c r="B105" s="1">
        <v>41952</v>
      </c>
      <c r="C105" s="1">
        <v>41954</v>
      </c>
      <c r="D105" t="s">
        <v>22</v>
      </c>
      <c r="E105" t="s">
        <v>533</v>
      </c>
      <c r="F105" t="s">
        <v>534</v>
      </c>
      <c r="G105" t="s">
        <v>25</v>
      </c>
      <c r="H105" t="s">
        <v>26</v>
      </c>
      <c r="I105" t="s">
        <v>329</v>
      </c>
      <c r="J105" t="s">
        <v>54</v>
      </c>
      <c r="K105" t="s">
        <v>55</v>
      </c>
      <c r="L105" t="s">
        <v>535</v>
      </c>
      <c r="M105" t="s">
        <v>31</v>
      </c>
      <c r="N105" t="s">
        <v>32</v>
      </c>
      <c r="O105" t="s">
        <v>536</v>
      </c>
      <c r="P105">
        <v>222.666</v>
      </c>
      <c r="Q105">
        <v>2</v>
      </c>
      <c r="R105">
        <v>0.15</v>
      </c>
      <c r="S105">
        <v>10.478400000000001</v>
      </c>
      <c r="T105" t="s">
        <v>71</v>
      </c>
      <c r="U105" t="s">
        <v>35</v>
      </c>
    </row>
    <row r="106" spans="1:21" x14ac:dyDescent="0.25">
      <c r="A106" t="s">
        <v>537</v>
      </c>
      <c r="B106" s="1">
        <v>42670</v>
      </c>
      <c r="C106" s="1">
        <v>42676</v>
      </c>
      <c r="D106" t="s">
        <v>40</v>
      </c>
      <c r="E106" t="s">
        <v>538</v>
      </c>
      <c r="F106" t="s">
        <v>539</v>
      </c>
      <c r="G106" t="s">
        <v>25</v>
      </c>
      <c r="H106" t="s">
        <v>26</v>
      </c>
      <c r="I106" t="s">
        <v>120</v>
      </c>
      <c r="J106" t="s">
        <v>121</v>
      </c>
      <c r="K106" t="s">
        <v>68</v>
      </c>
      <c r="L106" t="s">
        <v>374</v>
      </c>
      <c r="M106" t="s">
        <v>31</v>
      </c>
      <c r="N106" t="s">
        <v>57</v>
      </c>
      <c r="O106" t="s">
        <v>375</v>
      </c>
      <c r="P106">
        <v>40.200000000000003</v>
      </c>
      <c r="Q106">
        <v>3</v>
      </c>
      <c r="R106">
        <v>0</v>
      </c>
      <c r="S106">
        <v>19.295999999999999</v>
      </c>
      <c r="T106" t="s">
        <v>130</v>
      </c>
      <c r="U106" t="s">
        <v>49</v>
      </c>
    </row>
    <row r="107" spans="1:21" x14ac:dyDescent="0.25">
      <c r="A107" t="s">
        <v>540</v>
      </c>
      <c r="B107" s="1">
        <v>42896</v>
      </c>
      <c r="C107" s="1">
        <v>42899</v>
      </c>
      <c r="D107" t="s">
        <v>88</v>
      </c>
      <c r="E107" t="s">
        <v>541</v>
      </c>
      <c r="F107" t="s">
        <v>542</v>
      </c>
      <c r="G107" t="s">
        <v>101</v>
      </c>
      <c r="H107" t="s">
        <v>26</v>
      </c>
      <c r="I107" t="s">
        <v>53</v>
      </c>
      <c r="J107" t="s">
        <v>54</v>
      </c>
      <c r="K107" t="s">
        <v>55</v>
      </c>
      <c r="L107" t="s">
        <v>543</v>
      </c>
      <c r="M107" t="s">
        <v>31</v>
      </c>
      <c r="N107" t="s">
        <v>32</v>
      </c>
      <c r="O107" t="s">
        <v>544</v>
      </c>
      <c r="P107">
        <v>514.16499999999996</v>
      </c>
      <c r="Q107">
        <v>5</v>
      </c>
      <c r="R107">
        <v>0.15</v>
      </c>
      <c r="S107">
        <v>-30.245000000000001</v>
      </c>
      <c r="T107" t="s">
        <v>34</v>
      </c>
      <c r="U107" t="s">
        <v>60</v>
      </c>
    </row>
    <row r="108" spans="1:21" x14ac:dyDescent="0.25">
      <c r="A108" t="s">
        <v>545</v>
      </c>
      <c r="B108" s="1">
        <v>42447</v>
      </c>
      <c r="C108" s="1">
        <v>42450</v>
      </c>
      <c r="D108" t="s">
        <v>22</v>
      </c>
      <c r="E108" t="s">
        <v>546</v>
      </c>
      <c r="F108" t="s">
        <v>547</v>
      </c>
      <c r="G108" t="s">
        <v>25</v>
      </c>
      <c r="H108" t="s">
        <v>26</v>
      </c>
      <c r="I108" t="s">
        <v>141</v>
      </c>
      <c r="J108" t="s">
        <v>142</v>
      </c>
      <c r="K108" t="s">
        <v>29</v>
      </c>
      <c r="L108" t="s">
        <v>548</v>
      </c>
      <c r="M108" t="s">
        <v>31</v>
      </c>
      <c r="N108" t="s">
        <v>46</v>
      </c>
      <c r="O108" t="s">
        <v>549</v>
      </c>
      <c r="P108">
        <v>189.88200000000001</v>
      </c>
      <c r="Q108">
        <v>3</v>
      </c>
      <c r="R108">
        <v>0.4</v>
      </c>
      <c r="S108">
        <v>-94.941000000000003</v>
      </c>
      <c r="T108" t="s">
        <v>34</v>
      </c>
      <c r="U108" t="s">
        <v>196</v>
      </c>
    </row>
    <row r="109" spans="1:21" x14ac:dyDescent="0.25">
      <c r="A109" t="s">
        <v>550</v>
      </c>
      <c r="B109" s="1">
        <v>42576</v>
      </c>
      <c r="C109" s="1">
        <v>42582</v>
      </c>
      <c r="D109" t="s">
        <v>40</v>
      </c>
      <c r="E109" t="s">
        <v>508</v>
      </c>
      <c r="F109" t="s">
        <v>509</v>
      </c>
      <c r="G109" t="s">
        <v>25</v>
      </c>
      <c r="H109" t="s">
        <v>26</v>
      </c>
      <c r="I109" t="s">
        <v>551</v>
      </c>
      <c r="J109" t="s">
        <v>54</v>
      </c>
      <c r="K109" t="s">
        <v>55</v>
      </c>
      <c r="L109" t="s">
        <v>552</v>
      </c>
      <c r="M109" t="s">
        <v>31</v>
      </c>
      <c r="N109" t="s">
        <v>57</v>
      </c>
      <c r="O109" t="s">
        <v>553</v>
      </c>
      <c r="P109">
        <v>255.76</v>
      </c>
      <c r="Q109">
        <v>4</v>
      </c>
      <c r="R109">
        <v>0</v>
      </c>
      <c r="S109">
        <v>81.843199999999996</v>
      </c>
      <c r="T109" t="s">
        <v>130</v>
      </c>
      <c r="U109" t="s">
        <v>72</v>
      </c>
    </row>
    <row r="110" spans="1:21" x14ac:dyDescent="0.25">
      <c r="A110" t="s">
        <v>550</v>
      </c>
      <c r="B110" s="1">
        <v>42576</v>
      </c>
      <c r="C110" s="1">
        <v>42582</v>
      </c>
      <c r="D110" t="s">
        <v>40</v>
      </c>
      <c r="E110" t="s">
        <v>508</v>
      </c>
      <c r="F110" t="s">
        <v>509</v>
      </c>
      <c r="G110" t="s">
        <v>25</v>
      </c>
      <c r="H110" t="s">
        <v>26</v>
      </c>
      <c r="I110" t="s">
        <v>551</v>
      </c>
      <c r="J110" t="s">
        <v>54</v>
      </c>
      <c r="K110" t="s">
        <v>55</v>
      </c>
      <c r="L110" t="s">
        <v>395</v>
      </c>
      <c r="M110" t="s">
        <v>31</v>
      </c>
      <c r="N110" t="s">
        <v>37</v>
      </c>
      <c r="O110" t="s">
        <v>396</v>
      </c>
      <c r="P110">
        <v>241.56800000000001</v>
      </c>
      <c r="Q110">
        <v>2</v>
      </c>
      <c r="R110">
        <v>0.2</v>
      </c>
      <c r="S110">
        <v>18.117599999999999</v>
      </c>
      <c r="T110" t="s">
        <v>130</v>
      </c>
      <c r="U110" t="s">
        <v>72</v>
      </c>
    </row>
    <row r="111" spans="1:21" x14ac:dyDescent="0.25">
      <c r="A111" t="s">
        <v>550</v>
      </c>
      <c r="B111" s="1">
        <v>42576</v>
      </c>
      <c r="C111" s="1">
        <v>42582</v>
      </c>
      <c r="D111" t="s">
        <v>40</v>
      </c>
      <c r="E111" t="s">
        <v>508</v>
      </c>
      <c r="F111" t="s">
        <v>509</v>
      </c>
      <c r="G111" t="s">
        <v>25</v>
      </c>
      <c r="H111" t="s">
        <v>26</v>
      </c>
      <c r="I111" t="s">
        <v>551</v>
      </c>
      <c r="J111" t="s">
        <v>54</v>
      </c>
      <c r="K111" t="s">
        <v>55</v>
      </c>
      <c r="L111" t="s">
        <v>554</v>
      </c>
      <c r="M111" t="s">
        <v>31</v>
      </c>
      <c r="N111" t="s">
        <v>57</v>
      </c>
      <c r="O111" t="s">
        <v>555</v>
      </c>
      <c r="P111">
        <v>69.3</v>
      </c>
      <c r="Q111">
        <v>9</v>
      </c>
      <c r="R111">
        <v>0</v>
      </c>
      <c r="S111">
        <v>22.869</v>
      </c>
      <c r="T111" t="s">
        <v>130</v>
      </c>
      <c r="U111" t="s">
        <v>72</v>
      </c>
    </row>
    <row r="112" spans="1:21" x14ac:dyDescent="0.25">
      <c r="A112" t="s">
        <v>556</v>
      </c>
      <c r="B112" s="1">
        <v>42520</v>
      </c>
      <c r="C112" s="1">
        <v>42525</v>
      </c>
      <c r="D112" t="s">
        <v>40</v>
      </c>
      <c r="E112" t="s">
        <v>557</v>
      </c>
      <c r="F112" t="s">
        <v>558</v>
      </c>
      <c r="G112" t="s">
        <v>91</v>
      </c>
      <c r="H112" t="s">
        <v>26</v>
      </c>
      <c r="I112" t="s">
        <v>559</v>
      </c>
      <c r="J112" t="s">
        <v>181</v>
      </c>
      <c r="K112" t="s">
        <v>55</v>
      </c>
      <c r="L112" t="s">
        <v>560</v>
      </c>
      <c r="M112" t="s">
        <v>31</v>
      </c>
      <c r="N112" t="s">
        <v>37</v>
      </c>
      <c r="O112" t="s">
        <v>561</v>
      </c>
      <c r="P112">
        <v>801.56799999999998</v>
      </c>
      <c r="Q112">
        <v>2</v>
      </c>
      <c r="R112">
        <v>0.2</v>
      </c>
      <c r="S112">
        <v>50.097999999999999</v>
      </c>
      <c r="T112" t="s">
        <v>59</v>
      </c>
      <c r="U112" t="s">
        <v>162</v>
      </c>
    </row>
    <row r="113" spans="1:21" x14ac:dyDescent="0.25">
      <c r="A113" t="s">
        <v>562</v>
      </c>
      <c r="B113" s="1">
        <v>43065</v>
      </c>
      <c r="C113" s="1">
        <v>43066</v>
      </c>
      <c r="D113" t="s">
        <v>88</v>
      </c>
      <c r="E113" t="s">
        <v>563</v>
      </c>
      <c r="F113" t="s">
        <v>564</v>
      </c>
      <c r="G113" t="s">
        <v>25</v>
      </c>
      <c r="H113" t="s">
        <v>26</v>
      </c>
      <c r="I113" t="s">
        <v>565</v>
      </c>
      <c r="J113" t="s">
        <v>566</v>
      </c>
      <c r="K113" t="s">
        <v>94</v>
      </c>
      <c r="L113" t="s">
        <v>567</v>
      </c>
      <c r="M113" t="s">
        <v>31</v>
      </c>
      <c r="N113" t="s">
        <v>57</v>
      </c>
      <c r="O113" t="s">
        <v>568</v>
      </c>
      <c r="P113">
        <v>126.3</v>
      </c>
      <c r="Q113">
        <v>3</v>
      </c>
      <c r="R113">
        <v>0</v>
      </c>
      <c r="S113">
        <v>40.415999999999997</v>
      </c>
      <c r="T113" t="s">
        <v>124</v>
      </c>
      <c r="U113" t="s">
        <v>35</v>
      </c>
    </row>
    <row r="114" spans="1:21" x14ac:dyDescent="0.25">
      <c r="A114" t="s">
        <v>569</v>
      </c>
      <c r="B114" s="1">
        <v>42758</v>
      </c>
      <c r="C114" s="1">
        <v>42760</v>
      </c>
      <c r="D114" t="s">
        <v>88</v>
      </c>
      <c r="E114" t="s">
        <v>570</v>
      </c>
      <c r="F114" t="s">
        <v>571</v>
      </c>
      <c r="G114" t="s">
        <v>91</v>
      </c>
      <c r="H114" t="s">
        <v>26</v>
      </c>
      <c r="I114" t="s">
        <v>289</v>
      </c>
      <c r="J114" t="s">
        <v>290</v>
      </c>
      <c r="K114" t="s">
        <v>94</v>
      </c>
      <c r="L114" t="s">
        <v>548</v>
      </c>
      <c r="M114" t="s">
        <v>31</v>
      </c>
      <c r="N114" t="s">
        <v>46</v>
      </c>
      <c r="O114" t="s">
        <v>549</v>
      </c>
      <c r="P114">
        <v>210.98</v>
      </c>
      <c r="Q114">
        <v>2</v>
      </c>
      <c r="R114">
        <v>0</v>
      </c>
      <c r="S114">
        <v>21.097999999999999</v>
      </c>
      <c r="T114" t="s">
        <v>71</v>
      </c>
      <c r="U114" t="s">
        <v>170</v>
      </c>
    </row>
    <row r="115" spans="1:21" x14ac:dyDescent="0.25">
      <c r="A115" t="s">
        <v>572</v>
      </c>
      <c r="B115" s="1">
        <v>43029</v>
      </c>
      <c r="C115" s="1">
        <v>43034</v>
      </c>
      <c r="D115" t="s">
        <v>40</v>
      </c>
      <c r="E115" t="s">
        <v>573</v>
      </c>
      <c r="F115" t="s">
        <v>574</v>
      </c>
      <c r="G115" t="s">
        <v>101</v>
      </c>
      <c r="H115" t="s">
        <v>26</v>
      </c>
      <c r="I115" t="s">
        <v>575</v>
      </c>
      <c r="J115" t="s">
        <v>44</v>
      </c>
      <c r="K115" t="s">
        <v>29</v>
      </c>
      <c r="L115" t="s">
        <v>576</v>
      </c>
      <c r="M115" t="s">
        <v>31</v>
      </c>
      <c r="N115" t="s">
        <v>37</v>
      </c>
      <c r="O115" t="s">
        <v>577</v>
      </c>
      <c r="P115">
        <v>683.952</v>
      </c>
      <c r="Q115">
        <v>3</v>
      </c>
      <c r="R115">
        <v>0.2</v>
      </c>
      <c r="S115">
        <v>42.747</v>
      </c>
      <c r="T115" t="s">
        <v>59</v>
      </c>
      <c r="U115" t="s">
        <v>49</v>
      </c>
    </row>
    <row r="116" spans="1:21" x14ac:dyDescent="0.25">
      <c r="A116" t="s">
        <v>572</v>
      </c>
      <c r="B116" s="1">
        <v>43029</v>
      </c>
      <c r="C116" s="1">
        <v>43034</v>
      </c>
      <c r="D116" t="s">
        <v>40</v>
      </c>
      <c r="E116" t="s">
        <v>573</v>
      </c>
      <c r="F116" t="s">
        <v>574</v>
      </c>
      <c r="G116" t="s">
        <v>101</v>
      </c>
      <c r="H116" t="s">
        <v>26</v>
      </c>
      <c r="I116" t="s">
        <v>575</v>
      </c>
      <c r="J116" t="s">
        <v>44</v>
      </c>
      <c r="K116" t="s">
        <v>29</v>
      </c>
      <c r="L116" t="s">
        <v>384</v>
      </c>
      <c r="M116" t="s">
        <v>31</v>
      </c>
      <c r="N116" t="s">
        <v>57</v>
      </c>
      <c r="O116" t="s">
        <v>385</v>
      </c>
      <c r="P116">
        <v>45.695999999999998</v>
      </c>
      <c r="Q116">
        <v>3</v>
      </c>
      <c r="R116">
        <v>0.2</v>
      </c>
      <c r="S116">
        <v>5.1407999999999996</v>
      </c>
      <c r="T116" t="s">
        <v>59</v>
      </c>
      <c r="U116" t="s">
        <v>49</v>
      </c>
    </row>
    <row r="117" spans="1:21" x14ac:dyDescent="0.25">
      <c r="A117" t="s">
        <v>578</v>
      </c>
      <c r="B117" s="1">
        <v>42315</v>
      </c>
      <c r="C117" s="1">
        <v>42317</v>
      </c>
      <c r="D117" t="s">
        <v>22</v>
      </c>
      <c r="E117" t="s">
        <v>579</v>
      </c>
      <c r="F117" t="s">
        <v>580</v>
      </c>
      <c r="G117" t="s">
        <v>91</v>
      </c>
      <c r="H117" t="s">
        <v>26</v>
      </c>
      <c r="I117" t="s">
        <v>53</v>
      </c>
      <c r="J117" t="s">
        <v>54</v>
      </c>
      <c r="K117" t="s">
        <v>55</v>
      </c>
      <c r="L117" t="s">
        <v>581</v>
      </c>
      <c r="M117" t="s">
        <v>31</v>
      </c>
      <c r="N117" t="s">
        <v>37</v>
      </c>
      <c r="O117" t="s">
        <v>582</v>
      </c>
      <c r="P117">
        <v>190.72</v>
      </c>
      <c r="Q117">
        <v>1</v>
      </c>
      <c r="R117">
        <v>0.2</v>
      </c>
      <c r="S117">
        <v>11.92</v>
      </c>
      <c r="T117" t="s">
        <v>71</v>
      </c>
      <c r="U117" t="s">
        <v>35</v>
      </c>
    </row>
    <row r="118" spans="1:21" x14ac:dyDescent="0.25">
      <c r="A118" t="s">
        <v>583</v>
      </c>
      <c r="B118" s="1">
        <v>42985</v>
      </c>
      <c r="C118" s="1">
        <v>42989</v>
      </c>
      <c r="D118" t="s">
        <v>40</v>
      </c>
      <c r="E118" t="s">
        <v>584</v>
      </c>
      <c r="F118" t="s">
        <v>585</v>
      </c>
      <c r="G118" t="s">
        <v>25</v>
      </c>
      <c r="H118" t="s">
        <v>26</v>
      </c>
      <c r="I118" t="s">
        <v>53</v>
      </c>
      <c r="J118" t="s">
        <v>54</v>
      </c>
      <c r="K118" t="s">
        <v>55</v>
      </c>
      <c r="L118" t="s">
        <v>586</v>
      </c>
      <c r="M118" t="s">
        <v>31</v>
      </c>
      <c r="N118" t="s">
        <v>57</v>
      </c>
      <c r="O118" t="s">
        <v>587</v>
      </c>
      <c r="P118">
        <v>47.94</v>
      </c>
      <c r="Q118">
        <v>3</v>
      </c>
      <c r="R118">
        <v>0</v>
      </c>
      <c r="S118">
        <v>2.3969999999999998</v>
      </c>
      <c r="T118" t="s">
        <v>84</v>
      </c>
      <c r="U118" t="s">
        <v>78</v>
      </c>
    </row>
    <row r="119" spans="1:21" x14ac:dyDescent="0.25">
      <c r="A119" t="s">
        <v>588</v>
      </c>
      <c r="B119" s="1">
        <v>42345</v>
      </c>
      <c r="C119" s="1">
        <v>42349</v>
      </c>
      <c r="D119" t="s">
        <v>40</v>
      </c>
      <c r="E119" t="s">
        <v>589</v>
      </c>
      <c r="F119" t="s">
        <v>590</v>
      </c>
      <c r="G119" t="s">
        <v>25</v>
      </c>
      <c r="H119" t="s">
        <v>26</v>
      </c>
      <c r="I119" t="s">
        <v>27</v>
      </c>
      <c r="J119" t="s">
        <v>28</v>
      </c>
      <c r="K119" t="s">
        <v>29</v>
      </c>
      <c r="L119" t="s">
        <v>591</v>
      </c>
      <c r="M119" t="s">
        <v>31</v>
      </c>
      <c r="N119" t="s">
        <v>37</v>
      </c>
      <c r="O119" t="s">
        <v>592</v>
      </c>
      <c r="P119">
        <v>283.92</v>
      </c>
      <c r="Q119">
        <v>4</v>
      </c>
      <c r="R119">
        <v>0</v>
      </c>
      <c r="S119">
        <v>70.98</v>
      </c>
      <c r="T119" t="s">
        <v>84</v>
      </c>
      <c r="U119" t="s">
        <v>97</v>
      </c>
    </row>
    <row r="120" spans="1:21" x14ac:dyDescent="0.25">
      <c r="A120" t="s">
        <v>593</v>
      </c>
      <c r="B120" s="1">
        <v>41770</v>
      </c>
      <c r="C120" s="1">
        <v>41775</v>
      </c>
      <c r="D120" t="s">
        <v>40</v>
      </c>
      <c r="E120" t="s">
        <v>594</v>
      </c>
      <c r="F120" t="s">
        <v>595</v>
      </c>
      <c r="G120" t="s">
        <v>25</v>
      </c>
      <c r="H120" t="s">
        <v>26</v>
      </c>
      <c r="I120" t="s">
        <v>596</v>
      </c>
      <c r="J120" t="s">
        <v>93</v>
      </c>
      <c r="K120" t="s">
        <v>94</v>
      </c>
      <c r="L120" t="s">
        <v>597</v>
      </c>
      <c r="M120" t="s">
        <v>31</v>
      </c>
      <c r="N120" t="s">
        <v>57</v>
      </c>
      <c r="O120" t="s">
        <v>598</v>
      </c>
      <c r="P120">
        <v>66.111999999999995</v>
      </c>
      <c r="Q120">
        <v>4</v>
      </c>
      <c r="R120">
        <v>0.6</v>
      </c>
      <c r="S120">
        <v>-84.2928</v>
      </c>
      <c r="T120" t="s">
        <v>59</v>
      </c>
      <c r="U120" t="s">
        <v>162</v>
      </c>
    </row>
    <row r="121" spans="1:21" x14ac:dyDescent="0.25">
      <c r="A121" t="s">
        <v>599</v>
      </c>
      <c r="B121" s="1">
        <v>42475</v>
      </c>
      <c r="C121" s="1">
        <v>42477</v>
      </c>
      <c r="D121" t="s">
        <v>22</v>
      </c>
      <c r="E121" t="s">
        <v>600</v>
      </c>
      <c r="F121" t="s">
        <v>601</v>
      </c>
      <c r="G121" t="s">
        <v>25</v>
      </c>
      <c r="H121" t="s">
        <v>26</v>
      </c>
      <c r="I121" t="s">
        <v>329</v>
      </c>
      <c r="J121" t="s">
        <v>54</v>
      </c>
      <c r="K121" t="s">
        <v>55</v>
      </c>
      <c r="L121" t="s">
        <v>602</v>
      </c>
      <c r="M121" t="s">
        <v>31</v>
      </c>
      <c r="N121" t="s">
        <v>37</v>
      </c>
      <c r="O121" t="s">
        <v>603</v>
      </c>
      <c r="P121">
        <v>1121.568</v>
      </c>
      <c r="Q121">
        <v>2</v>
      </c>
      <c r="R121">
        <v>0.2</v>
      </c>
      <c r="S121">
        <v>0</v>
      </c>
      <c r="T121" t="s">
        <v>71</v>
      </c>
      <c r="U121" t="s">
        <v>114</v>
      </c>
    </row>
    <row r="122" spans="1:21" x14ac:dyDescent="0.25">
      <c r="A122" t="s">
        <v>604</v>
      </c>
      <c r="B122" s="1">
        <v>42989</v>
      </c>
      <c r="C122" s="1">
        <v>42990</v>
      </c>
      <c r="D122" t="s">
        <v>88</v>
      </c>
      <c r="E122" t="s">
        <v>605</v>
      </c>
      <c r="F122" t="s">
        <v>606</v>
      </c>
      <c r="G122" t="s">
        <v>25</v>
      </c>
      <c r="H122" t="s">
        <v>26</v>
      </c>
      <c r="I122" t="s">
        <v>607</v>
      </c>
      <c r="J122" t="s">
        <v>44</v>
      </c>
      <c r="K122" t="s">
        <v>29</v>
      </c>
      <c r="L122" t="s">
        <v>608</v>
      </c>
      <c r="M122" t="s">
        <v>31</v>
      </c>
      <c r="N122" t="s">
        <v>57</v>
      </c>
      <c r="O122" t="s">
        <v>609</v>
      </c>
      <c r="P122">
        <v>34.503999999999998</v>
      </c>
      <c r="Q122">
        <v>1</v>
      </c>
      <c r="R122">
        <v>0.2</v>
      </c>
      <c r="S122">
        <v>6.0381999999999998</v>
      </c>
      <c r="T122" t="s">
        <v>124</v>
      </c>
      <c r="U122" t="s">
        <v>78</v>
      </c>
    </row>
    <row r="123" spans="1:21" x14ac:dyDescent="0.25">
      <c r="A123" t="s">
        <v>610</v>
      </c>
      <c r="B123" s="1">
        <v>42531</v>
      </c>
      <c r="C123" s="1">
        <v>42536</v>
      </c>
      <c r="D123" t="s">
        <v>40</v>
      </c>
      <c r="E123" t="s">
        <v>611</v>
      </c>
      <c r="F123" t="s">
        <v>612</v>
      </c>
      <c r="G123" t="s">
        <v>25</v>
      </c>
      <c r="H123" t="s">
        <v>26</v>
      </c>
      <c r="I123" t="s">
        <v>53</v>
      </c>
      <c r="J123" t="s">
        <v>54</v>
      </c>
      <c r="K123" t="s">
        <v>55</v>
      </c>
      <c r="L123" t="s">
        <v>613</v>
      </c>
      <c r="M123" t="s">
        <v>31</v>
      </c>
      <c r="N123" t="s">
        <v>46</v>
      </c>
      <c r="O123" t="s">
        <v>614</v>
      </c>
      <c r="P123">
        <v>1335.68</v>
      </c>
      <c r="Q123">
        <v>4</v>
      </c>
      <c r="R123">
        <v>0.2</v>
      </c>
      <c r="S123">
        <v>-217.048</v>
      </c>
      <c r="T123" t="s">
        <v>59</v>
      </c>
      <c r="U123" t="s">
        <v>60</v>
      </c>
    </row>
    <row r="124" spans="1:21" x14ac:dyDescent="0.25">
      <c r="A124" t="s">
        <v>615</v>
      </c>
      <c r="B124" s="1">
        <v>43059</v>
      </c>
      <c r="C124" s="1">
        <v>43061</v>
      </c>
      <c r="D124" t="s">
        <v>22</v>
      </c>
      <c r="E124" t="s">
        <v>616</v>
      </c>
      <c r="F124" t="s">
        <v>617</v>
      </c>
      <c r="G124" t="s">
        <v>25</v>
      </c>
      <c r="H124" t="s">
        <v>26</v>
      </c>
      <c r="I124" t="s">
        <v>329</v>
      </c>
      <c r="J124" t="s">
        <v>54</v>
      </c>
      <c r="K124" t="s">
        <v>55</v>
      </c>
      <c r="L124" t="s">
        <v>486</v>
      </c>
      <c r="M124" t="s">
        <v>31</v>
      </c>
      <c r="N124" t="s">
        <v>57</v>
      </c>
      <c r="O124" t="s">
        <v>487</v>
      </c>
      <c r="P124">
        <v>42.6</v>
      </c>
      <c r="Q124">
        <v>3</v>
      </c>
      <c r="R124">
        <v>0</v>
      </c>
      <c r="S124">
        <v>16.614000000000001</v>
      </c>
      <c r="T124" t="s">
        <v>71</v>
      </c>
      <c r="U124" t="s">
        <v>35</v>
      </c>
    </row>
    <row r="125" spans="1:21" x14ac:dyDescent="0.25">
      <c r="A125" t="s">
        <v>618</v>
      </c>
      <c r="B125" s="1">
        <v>41896</v>
      </c>
      <c r="C125" s="1">
        <v>41900</v>
      </c>
      <c r="D125" t="s">
        <v>22</v>
      </c>
      <c r="E125" t="s">
        <v>619</v>
      </c>
      <c r="F125" t="s">
        <v>620</v>
      </c>
      <c r="G125" t="s">
        <v>25</v>
      </c>
      <c r="H125" t="s">
        <v>26</v>
      </c>
      <c r="I125" t="s">
        <v>304</v>
      </c>
      <c r="J125" t="s">
        <v>44</v>
      </c>
      <c r="K125" t="s">
        <v>29</v>
      </c>
      <c r="L125" t="s">
        <v>621</v>
      </c>
      <c r="M125" t="s">
        <v>31</v>
      </c>
      <c r="N125" t="s">
        <v>57</v>
      </c>
      <c r="O125" t="s">
        <v>622</v>
      </c>
      <c r="P125">
        <v>13.128</v>
      </c>
      <c r="Q125">
        <v>3</v>
      </c>
      <c r="R125">
        <v>0.2</v>
      </c>
      <c r="S125">
        <v>3.7743000000000002</v>
      </c>
      <c r="T125" t="s">
        <v>84</v>
      </c>
      <c r="U125" t="s">
        <v>78</v>
      </c>
    </row>
    <row r="126" spans="1:21" x14ac:dyDescent="0.25">
      <c r="A126" t="s">
        <v>623</v>
      </c>
      <c r="B126" s="1">
        <v>43009</v>
      </c>
      <c r="C126" s="1">
        <v>43016</v>
      </c>
      <c r="D126" t="s">
        <v>40</v>
      </c>
      <c r="E126" t="s">
        <v>624</v>
      </c>
      <c r="F126" t="s">
        <v>625</v>
      </c>
      <c r="G126" t="s">
        <v>91</v>
      </c>
      <c r="H126" t="s">
        <v>26</v>
      </c>
      <c r="I126" t="s">
        <v>192</v>
      </c>
      <c r="J126" t="s">
        <v>193</v>
      </c>
      <c r="K126" t="s">
        <v>55</v>
      </c>
      <c r="L126" t="s">
        <v>626</v>
      </c>
      <c r="M126" t="s">
        <v>31</v>
      </c>
      <c r="N126" t="s">
        <v>37</v>
      </c>
      <c r="O126" t="s">
        <v>627</v>
      </c>
      <c r="P126">
        <v>451.15199999999999</v>
      </c>
      <c r="Q126">
        <v>3</v>
      </c>
      <c r="R126">
        <v>0.2</v>
      </c>
      <c r="S126">
        <v>0</v>
      </c>
      <c r="T126" t="s">
        <v>48</v>
      </c>
      <c r="U126" t="s">
        <v>49</v>
      </c>
    </row>
    <row r="127" spans="1:21" x14ac:dyDescent="0.25">
      <c r="A127" t="s">
        <v>628</v>
      </c>
      <c r="B127" s="1">
        <v>42936</v>
      </c>
      <c r="C127" s="1">
        <v>42942</v>
      </c>
      <c r="D127" t="s">
        <v>40</v>
      </c>
      <c r="E127" t="s">
        <v>629</v>
      </c>
      <c r="F127" t="s">
        <v>630</v>
      </c>
      <c r="G127" t="s">
        <v>25</v>
      </c>
      <c r="H127" t="s">
        <v>26</v>
      </c>
      <c r="I127" t="s">
        <v>134</v>
      </c>
      <c r="J127" t="s">
        <v>135</v>
      </c>
      <c r="K127" t="s">
        <v>94</v>
      </c>
      <c r="L127" t="s">
        <v>631</v>
      </c>
      <c r="M127" t="s">
        <v>31</v>
      </c>
      <c r="N127" t="s">
        <v>57</v>
      </c>
      <c r="O127" t="s">
        <v>632</v>
      </c>
      <c r="P127">
        <v>8.7919999999999998</v>
      </c>
      <c r="Q127">
        <v>1</v>
      </c>
      <c r="R127">
        <v>0.6</v>
      </c>
      <c r="S127">
        <v>-5.7148000000000003</v>
      </c>
      <c r="T127" t="s">
        <v>130</v>
      </c>
      <c r="U127" t="s">
        <v>72</v>
      </c>
    </row>
    <row r="128" spans="1:21" x14ac:dyDescent="0.25">
      <c r="A128" t="s">
        <v>633</v>
      </c>
      <c r="B128" s="1">
        <v>42188</v>
      </c>
      <c r="C128" s="1">
        <v>42194</v>
      </c>
      <c r="D128" t="s">
        <v>40</v>
      </c>
      <c r="E128" t="s">
        <v>634</v>
      </c>
      <c r="F128" t="s">
        <v>635</v>
      </c>
      <c r="G128" t="s">
        <v>25</v>
      </c>
      <c r="H128" t="s">
        <v>26</v>
      </c>
      <c r="I128" t="s">
        <v>636</v>
      </c>
      <c r="J128" t="s">
        <v>28</v>
      </c>
      <c r="K128" t="s">
        <v>29</v>
      </c>
      <c r="L128" t="s">
        <v>459</v>
      </c>
      <c r="M128" t="s">
        <v>31</v>
      </c>
      <c r="N128" t="s">
        <v>37</v>
      </c>
      <c r="O128" t="s">
        <v>460</v>
      </c>
      <c r="P128">
        <v>70.98</v>
      </c>
      <c r="Q128">
        <v>1</v>
      </c>
      <c r="R128">
        <v>0</v>
      </c>
      <c r="S128">
        <v>4.9686000000000003</v>
      </c>
      <c r="T128" t="s">
        <v>130</v>
      </c>
      <c r="U128" t="s">
        <v>72</v>
      </c>
    </row>
    <row r="129" spans="1:21" x14ac:dyDescent="0.25">
      <c r="A129" t="s">
        <v>637</v>
      </c>
      <c r="B129" s="1">
        <v>41859</v>
      </c>
      <c r="C129" s="1">
        <v>41866</v>
      </c>
      <c r="D129" t="s">
        <v>40</v>
      </c>
      <c r="E129" t="s">
        <v>638</v>
      </c>
      <c r="F129" t="s">
        <v>639</v>
      </c>
      <c r="G129" t="s">
        <v>25</v>
      </c>
      <c r="H129" t="s">
        <v>26</v>
      </c>
      <c r="I129" t="s">
        <v>640</v>
      </c>
      <c r="J129" t="s">
        <v>54</v>
      </c>
      <c r="K129" t="s">
        <v>55</v>
      </c>
      <c r="L129" t="s">
        <v>641</v>
      </c>
      <c r="M129" t="s">
        <v>31</v>
      </c>
      <c r="N129" t="s">
        <v>57</v>
      </c>
      <c r="O129" t="s">
        <v>642</v>
      </c>
      <c r="P129">
        <v>327.76</v>
      </c>
      <c r="Q129">
        <v>8</v>
      </c>
      <c r="R129">
        <v>0</v>
      </c>
      <c r="S129">
        <v>91.772800000000004</v>
      </c>
      <c r="T129" t="s">
        <v>48</v>
      </c>
      <c r="U129" t="s">
        <v>254</v>
      </c>
    </row>
    <row r="130" spans="1:21" x14ac:dyDescent="0.25">
      <c r="A130" t="s">
        <v>643</v>
      </c>
      <c r="B130" s="1">
        <v>41713</v>
      </c>
      <c r="C130" s="1">
        <v>41717</v>
      </c>
      <c r="D130" t="s">
        <v>40</v>
      </c>
      <c r="E130" t="s">
        <v>644</v>
      </c>
      <c r="F130" t="s">
        <v>645</v>
      </c>
      <c r="G130" t="s">
        <v>25</v>
      </c>
      <c r="H130" t="s">
        <v>26</v>
      </c>
      <c r="I130" t="s">
        <v>304</v>
      </c>
      <c r="J130" t="s">
        <v>44</v>
      </c>
      <c r="K130" t="s">
        <v>29</v>
      </c>
      <c r="L130" t="s">
        <v>384</v>
      </c>
      <c r="M130" t="s">
        <v>31</v>
      </c>
      <c r="N130" t="s">
        <v>57</v>
      </c>
      <c r="O130" t="s">
        <v>385</v>
      </c>
      <c r="P130">
        <v>45.695999999999998</v>
      </c>
      <c r="Q130">
        <v>3</v>
      </c>
      <c r="R130">
        <v>0.2</v>
      </c>
      <c r="S130">
        <v>5.1407999999999996</v>
      </c>
      <c r="T130" t="s">
        <v>84</v>
      </c>
      <c r="U130" t="s">
        <v>196</v>
      </c>
    </row>
    <row r="131" spans="1:21" x14ac:dyDescent="0.25">
      <c r="A131" t="s">
        <v>646</v>
      </c>
      <c r="B131" s="1">
        <v>42965</v>
      </c>
      <c r="C131" s="1">
        <v>42970</v>
      </c>
      <c r="D131" t="s">
        <v>22</v>
      </c>
      <c r="E131" t="s">
        <v>647</v>
      </c>
      <c r="F131" t="s">
        <v>648</v>
      </c>
      <c r="G131" t="s">
        <v>91</v>
      </c>
      <c r="H131" t="s">
        <v>26</v>
      </c>
      <c r="I131" t="s">
        <v>174</v>
      </c>
      <c r="J131" t="s">
        <v>121</v>
      </c>
      <c r="K131" t="s">
        <v>68</v>
      </c>
      <c r="L131" t="s">
        <v>649</v>
      </c>
      <c r="M131" t="s">
        <v>31</v>
      </c>
      <c r="N131" t="s">
        <v>57</v>
      </c>
      <c r="O131" t="s">
        <v>650</v>
      </c>
      <c r="P131">
        <v>40.479999999999997</v>
      </c>
      <c r="Q131">
        <v>2</v>
      </c>
      <c r="R131">
        <v>0</v>
      </c>
      <c r="S131">
        <v>15.7872</v>
      </c>
      <c r="T131" t="s">
        <v>59</v>
      </c>
      <c r="U131" t="s">
        <v>254</v>
      </c>
    </row>
    <row r="132" spans="1:21" x14ac:dyDescent="0.25">
      <c r="A132" t="s">
        <v>646</v>
      </c>
      <c r="B132" s="1">
        <v>42965</v>
      </c>
      <c r="C132" s="1">
        <v>42970</v>
      </c>
      <c r="D132" t="s">
        <v>22</v>
      </c>
      <c r="E132" t="s">
        <v>647</v>
      </c>
      <c r="F132" t="s">
        <v>648</v>
      </c>
      <c r="G132" t="s">
        <v>91</v>
      </c>
      <c r="H132" t="s">
        <v>26</v>
      </c>
      <c r="I132" t="s">
        <v>174</v>
      </c>
      <c r="J132" t="s">
        <v>121</v>
      </c>
      <c r="K132" t="s">
        <v>68</v>
      </c>
      <c r="L132" t="s">
        <v>651</v>
      </c>
      <c r="M132" t="s">
        <v>31</v>
      </c>
      <c r="N132" t="s">
        <v>57</v>
      </c>
      <c r="O132" t="s">
        <v>652</v>
      </c>
      <c r="P132">
        <v>9.94</v>
      </c>
      <c r="Q132">
        <v>2</v>
      </c>
      <c r="R132">
        <v>0</v>
      </c>
      <c r="S132">
        <v>3.0813999999999999</v>
      </c>
      <c r="T132" t="s">
        <v>59</v>
      </c>
      <c r="U132" t="s">
        <v>254</v>
      </c>
    </row>
    <row r="133" spans="1:21" x14ac:dyDescent="0.25">
      <c r="A133" t="s">
        <v>646</v>
      </c>
      <c r="B133" s="1">
        <v>42965</v>
      </c>
      <c r="C133" s="1">
        <v>42970</v>
      </c>
      <c r="D133" t="s">
        <v>22</v>
      </c>
      <c r="E133" t="s">
        <v>647</v>
      </c>
      <c r="F133" t="s">
        <v>648</v>
      </c>
      <c r="G133" t="s">
        <v>91</v>
      </c>
      <c r="H133" t="s">
        <v>26</v>
      </c>
      <c r="I133" t="s">
        <v>174</v>
      </c>
      <c r="J133" t="s">
        <v>121</v>
      </c>
      <c r="K133" t="s">
        <v>68</v>
      </c>
      <c r="L133" t="s">
        <v>233</v>
      </c>
      <c r="M133" t="s">
        <v>31</v>
      </c>
      <c r="N133" t="s">
        <v>57</v>
      </c>
      <c r="O133" t="s">
        <v>234</v>
      </c>
      <c r="P133">
        <v>88.02</v>
      </c>
      <c r="Q133">
        <v>3</v>
      </c>
      <c r="R133">
        <v>0</v>
      </c>
      <c r="S133">
        <v>27.286200000000001</v>
      </c>
      <c r="T133" t="s">
        <v>59</v>
      </c>
      <c r="U133" t="s">
        <v>254</v>
      </c>
    </row>
    <row r="134" spans="1:21" x14ac:dyDescent="0.25">
      <c r="A134" t="s">
        <v>653</v>
      </c>
      <c r="B134" s="1">
        <v>42337</v>
      </c>
      <c r="C134" s="1">
        <v>42341</v>
      </c>
      <c r="D134" t="s">
        <v>40</v>
      </c>
      <c r="E134" t="s">
        <v>654</v>
      </c>
      <c r="F134" t="s">
        <v>655</v>
      </c>
      <c r="G134" t="s">
        <v>91</v>
      </c>
      <c r="H134" t="s">
        <v>26</v>
      </c>
      <c r="I134" t="s">
        <v>656</v>
      </c>
      <c r="J134" t="s">
        <v>290</v>
      </c>
      <c r="K134" t="s">
        <v>94</v>
      </c>
      <c r="L134" t="s">
        <v>657</v>
      </c>
      <c r="M134" t="s">
        <v>31</v>
      </c>
      <c r="N134" t="s">
        <v>37</v>
      </c>
      <c r="O134" t="s">
        <v>658</v>
      </c>
      <c r="P134">
        <v>301.95999999999998</v>
      </c>
      <c r="Q134">
        <v>2</v>
      </c>
      <c r="R134">
        <v>0</v>
      </c>
      <c r="S134">
        <v>87.568399999999997</v>
      </c>
      <c r="T134" t="s">
        <v>84</v>
      </c>
      <c r="U134" t="s">
        <v>35</v>
      </c>
    </row>
    <row r="135" spans="1:21" x14ac:dyDescent="0.25">
      <c r="A135" t="s">
        <v>659</v>
      </c>
      <c r="B135" s="1">
        <v>42993</v>
      </c>
      <c r="C135" s="1">
        <v>42997</v>
      </c>
      <c r="D135" t="s">
        <v>40</v>
      </c>
      <c r="E135" t="s">
        <v>660</v>
      </c>
      <c r="F135" t="s">
        <v>661</v>
      </c>
      <c r="G135" t="s">
        <v>101</v>
      </c>
      <c r="H135" t="s">
        <v>26</v>
      </c>
      <c r="I135" t="s">
        <v>174</v>
      </c>
      <c r="J135" t="s">
        <v>121</v>
      </c>
      <c r="K135" t="s">
        <v>68</v>
      </c>
      <c r="L135" t="s">
        <v>662</v>
      </c>
      <c r="M135" t="s">
        <v>31</v>
      </c>
      <c r="N135" t="s">
        <v>57</v>
      </c>
      <c r="O135" t="s">
        <v>663</v>
      </c>
      <c r="P135">
        <v>35.56</v>
      </c>
      <c r="Q135">
        <v>7</v>
      </c>
      <c r="R135">
        <v>0</v>
      </c>
      <c r="S135">
        <v>12.090400000000001</v>
      </c>
      <c r="T135" t="s">
        <v>84</v>
      </c>
      <c r="U135" t="s">
        <v>78</v>
      </c>
    </row>
    <row r="136" spans="1:21" x14ac:dyDescent="0.25">
      <c r="A136" t="s">
        <v>664</v>
      </c>
      <c r="B136" s="1">
        <v>42281</v>
      </c>
      <c r="C136" s="1">
        <v>42286</v>
      </c>
      <c r="D136" t="s">
        <v>22</v>
      </c>
      <c r="E136" t="s">
        <v>665</v>
      </c>
      <c r="F136" t="s">
        <v>666</v>
      </c>
      <c r="G136" t="s">
        <v>91</v>
      </c>
      <c r="H136" t="s">
        <v>26</v>
      </c>
      <c r="I136" t="s">
        <v>667</v>
      </c>
      <c r="J136" t="s">
        <v>668</v>
      </c>
      <c r="K136" t="s">
        <v>29</v>
      </c>
      <c r="L136" t="s">
        <v>669</v>
      </c>
      <c r="M136" t="s">
        <v>31</v>
      </c>
      <c r="N136" t="s">
        <v>37</v>
      </c>
      <c r="O136" t="s">
        <v>670</v>
      </c>
      <c r="P136">
        <v>392.94</v>
      </c>
      <c r="Q136">
        <v>3</v>
      </c>
      <c r="R136">
        <v>0</v>
      </c>
      <c r="S136">
        <v>43.223399999999998</v>
      </c>
      <c r="T136" t="s">
        <v>59</v>
      </c>
      <c r="U136" t="s">
        <v>49</v>
      </c>
    </row>
    <row r="137" spans="1:21" x14ac:dyDescent="0.25">
      <c r="A137" t="s">
        <v>671</v>
      </c>
      <c r="B137" s="1">
        <v>42510</v>
      </c>
      <c r="C137" s="1">
        <v>42515</v>
      </c>
      <c r="D137" t="s">
        <v>40</v>
      </c>
      <c r="E137" t="s">
        <v>672</v>
      </c>
      <c r="F137" t="s">
        <v>673</v>
      </c>
      <c r="G137" t="s">
        <v>101</v>
      </c>
      <c r="H137" t="s">
        <v>26</v>
      </c>
      <c r="I137" t="s">
        <v>674</v>
      </c>
      <c r="J137" t="s">
        <v>54</v>
      </c>
      <c r="K137" t="s">
        <v>55</v>
      </c>
      <c r="L137" t="s">
        <v>314</v>
      </c>
      <c r="M137" t="s">
        <v>31</v>
      </c>
      <c r="N137" t="s">
        <v>57</v>
      </c>
      <c r="O137" t="s">
        <v>315</v>
      </c>
      <c r="P137">
        <v>1049.2</v>
      </c>
      <c r="Q137">
        <v>5</v>
      </c>
      <c r="R137">
        <v>0</v>
      </c>
      <c r="S137">
        <v>272.79199999999997</v>
      </c>
      <c r="T137" t="s">
        <v>59</v>
      </c>
      <c r="U137" t="s">
        <v>162</v>
      </c>
    </row>
    <row r="138" spans="1:21" x14ac:dyDescent="0.25">
      <c r="A138" t="s">
        <v>675</v>
      </c>
      <c r="B138" s="1">
        <v>42722</v>
      </c>
      <c r="C138" s="1">
        <v>42726</v>
      </c>
      <c r="D138" t="s">
        <v>40</v>
      </c>
      <c r="E138" t="s">
        <v>676</v>
      </c>
      <c r="F138" t="s">
        <v>677</v>
      </c>
      <c r="G138" t="s">
        <v>91</v>
      </c>
      <c r="H138" t="s">
        <v>26</v>
      </c>
      <c r="I138" t="s">
        <v>166</v>
      </c>
      <c r="J138" t="s">
        <v>167</v>
      </c>
      <c r="K138" t="s">
        <v>94</v>
      </c>
      <c r="L138" t="s">
        <v>678</v>
      </c>
      <c r="M138" t="s">
        <v>31</v>
      </c>
      <c r="N138" t="s">
        <v>57</v>
      </c>
      <c r="O138" t="s">
        <v>679</v>
      </c>
      <c r="P138">
        <v>18.84</v>
      </c>
      <c r="Q138">
        <v>3</v>
      </c>
      <c r="R138">
        <v>0</v>
      </c>
      <c r="S138">
        <v>6.0288000000000004</v>
      </c>
      <c r="T138" t="s">
        <v>84</v>
      </c>
      <c r="U138" t="s">
        <v>97</v>
      </c>
    </row>
    <row r="139" spans="1:21" x14ac:dyDescent="0.25">
      <c r="A139" t="s">
        <v>680</v>
      </c>
      <c r="B139" s="1">
        <v>42715</v>
      </c>
      <c r="C139" s="1">
        <v>42720</v>
      </c>
      <c r="D139" t="s">
        <v>22</v>
      </c>
      <c r="E139" t="s">
        <v>681</v>
      </c>
      <c r="F139" t="s">
        <v>682</v>
      </c>
      <c r="G139" t="s">
        <v>91</v>
      </c>
      <c r="H139" t="s">
        <v>26</v>
      </c>
      <c r="I139" t="s">
        <v>683</v>
      </c>
      <c r="J139" t="s">
        <v>193</v>
      </c>
      <c r="K139" t="s">
        <v>55</v>
      </c>
      <c r="L139" t="s">
        <v>447</v>
      </c>
      <c r="M139" t="s">
        <v>31</v>
      </c>
      <c r="N139" t="s">
        <v>57</v>
      </c>
      <c r="O139" t="s">
        <v>448</v>
      </c>
      <c r="P139">
        <v>14.8</v>
      </c>
      <c r="Q139">
        <v>4</v>
      </c>
      <c r="R139">
        <v>0</v>
      </c>
      <c r="S139">
        <v>6.0679999999999996</v>
      </c>
      <c r="T139" t="s">
        <v>59</v>
      </c>
      <c r="U139" t="s">
        <v>97</v>
      </c>
    </row>
    <row r="140" spans="1:21" x14ac:dyDescent="0.25">
      <c r="A140" t="s">
        <v>684</v>
      </c>
      <c r="B140" s="1">
        <v>42632</v>
      </c>
      <c r="C140" s="1">
        <v>42632</v>
      </c>
      <c r="D140" t="s">
        <v>426</v>
      </c>
      <c r="E140" t="s">
        <v>685</v>
      </c>
      <c r="F140" t="s">
        <v>686</v>
      </c>
      <c r="G140" t="s">
        <v>101</v>
      </c>
      <c r="H140" t="s">
        <v>26</v>
      </c>
      <c r="I140" t="s">
        <v>180</v>
      </c>
      <c r="J140" t="s">
        <v>135</v>
      </c>
      <c r="K140" t="s">
        <v>94</v>
      </c>
      <c r="L140" t="s">
        <v>560</v>
      </c>
      <c r="M140" t="s">
        <v>31</v>
      </c>
      <c r="N140" t="s">
        <v>37</v>
      </c>
      <c r="O140" t="s">
        <v>561</v>
      </c>
      <c r="P140">
        <v>701.37199999999996</v>
      </c>
      <c r="Q140">
        <v>2</v>
      </c>
      <c r="R140">
        <v>0.3</v>
      </c>
      <c r="S140">
        <v>-50.097999999999999</v>
      </c>
      <c r="T140" t="s">
        <v>431</v>
      </c>
      <c r="U140" t="s">
        <v>78</v>
      </c>
    </row>
    <row r="141" spans="1:21" x14ac:dyDescent="0.25">
      <c r="A141" t="s">
        <v>687</v>
      </c>
      <c r="B141" s="1">
        <v>42240</v>
      </c>
      <c r="C141" s="1">
        <v>42244</v>
      </c>
      <c r="D141" t="s">
        <v>40</v>
      </c>
      <c r="E141" t="s">
        <v>688</v>
      </c>
      <c r="F141" t="s">
        <v>689</v>
      </c>
      <c r="G141" t="s">
        <v>25</v>
      </c>
      <c r="H141" t="s">
        <v>26</v>
      </c>
      <c r="I141" t="s">
        <v>690</v>
      </c>
      <c r="J141" t="s">
        <v>93</v>
      </c>
      <c r="K141" t="s">
        <v>94</v>
      </c>
      <c r="L141" t="s">
        <v>194</v>
      </c>
      <c r="M141" t="s">
        <v>31</v>
      </c>
      <c r="N141" t="s">
        <v>46</v>
      </c>
      <c r="O141" t="s">
        <v>195</v>
      </c>
      <c r="P141">
        <v>918.78499999999997</v>
      </c>
      <c r="Q141">
        <v>5</v>
      </c>
      <c r="R141">
        <v>0.3</v>
      </c>
      <c r="S141">
        <v>-118.12949999999999</v>
      </c>
      <c r="T141" t="s">
        <v>84</v>
      </c>
      <c r="U141" t="s">
        <v>254</v>
      </c>
    </row>
    <row r="142" spans="1:21" x14ac:dyDescent="0.25">
      <c r="A142" t="s">
        <v>691</v>
      </c>
      <c r="B142" s="1">
        <v>41997</v>
      </c>
      <c r="C142" s="1">
        <v>41999</v>
      </c>
      <c r="D142" t="s">
        <v>88</v>
      </c>
      <c r="E142" t="s">
        <v>692</v>
      </c>
      <c r="F142" t="s">
        <v>693</v>
      </c>
      <c r="G142" t="s">
        <v>25</v>
      </c>
      <c r="H142" t="s">
        <v>26</v>
      </c>
      <c r="I142" t="s">
        <v>694</v>
      </c>
      <c r="J142" t="s">
        <v>232</v>
      </c>
      <c r="K142" t="s">
        <v>68</v>
      </c>
      <c r="L142" t="s">
        <v>695</v>
      </c>
      <c r="M142" t="s">
        <v>31</v>
      </c>
      <c r="N142" t="s">
        <v>57</v>
      </c>
      <c r="O142" t="s">
        <v>696</v>
      </c>
      <c r="P142">
        <v>30.36</v>
      </c>
      <c r="Q142">
        <v>5</v>
      </c>
      <c r="R142">
        <v>0.2</v>
      </c>
      <c r="S142">
        <v>8.7285000000000004</v>
      </c>
      <c r="T142" t="s">
        <v>71</v>
      </c>
      <c r="U142" t="s">
        <v>97</v>
      </c>
    </row>
    <row r="143" spans="1:21" x14ac:dyDescent="0.25">
      <c r="A143" t="s">
        <v>697</v>
      </c>
      <c r="B143" s="1">
        <v>42895</v>
      </c>
      <c r="C143" s="1">
        <v>42899</v>
      </c>
      <c r="D143" t="s">
        <v>40</v>
      </c>
      <c r="E143" t="s">
        <v>660</v>
      </c>
      <c r="F143" t="s">
        <v>661</v>
      </c>
      <c r="G143" t="s">
        <v>101</v>
      </c>
      <c r="H143" t="s">
        <v>26</v>
      </c>
      <c r="I143" t="s">
        <v>134</v>
      </c>
      <c r="J143" t="s">
        <v>135</v>
      </c>
      <c r="K143" t="s">
        <v>94</v>
      </c>
      <c r="L143" t="s">
        <v>698</v>
      </c>
      <c r="M143" t="s">
        <v>31</v>
      </c>
      <c r="N143" t="s">
        <v>57</v>
      </c>
      <c r="O143" t="s">
        <v>699</v>
      </c>
      <c r="P143">
        <v>23.975999999999999</v>
      </c>
      <c r="Q143">
        <v>3</v>
      </c>
      <c r="R143">
        <v>0.6</v>
      </c>
      <c r="S143">
        <v>-14.3856</v>
      </c>
      <c r="T143" t="s">
        <v>84</v>
      </c>
      <c r="U143" t="s">
        <v>60</v>
      </c>
    </row>
    <row r="144" spans="1:21" x14ac:dyDescent="0.25">
      <c r="A144" t="s">
        <v>697</v>
      </c>
      <c r="B144" s="1">
        <v>42895</v>
      </c>
      <c r="C144" s="1">
        <v>42899</v>
      </c>
      <c r="D144" t="s">
        <v>40</v>
      </c>
      <c r="E144" t="s">
        <v>660</v>
      </c>
      <c r="F144" t="s">
        <v>661</v>
      </c>
      <c r="G144" t="s">
        <v>101</v>
      </c>
      <c r="H144" t="s">
        <v>26</v>
      </c>
      <c r="I144" t="s">
        <v>134</v>
      </c>
      <c r="J144" t="s">
        <v>135</v>
      </c>
      <c r="K144" t="s">
        <v>94</v>
      </c>
      <c r="L144" t="s">
        <v>700</v>
      </c>
      <c r="M144" t="s">
        <v>31</v>
      </c>
      <c r="N144" t="s">
        <v>46</v>
      </c>
      <c r="O144" t="s">
        <v>701</v>
      </c>
      <c r="P144">
        <v>108.925</v>
      </c>
      <c r="Q144">
        <v>1</v>
      </c>
      <c r="R144">
        <v>0.5</v>
      </c>
      <c r="S144">
        <v>-71.890500000000003</v>
      </c>
      <c r="T144" t="s">
        <v>84</v>
      </c>
      <c r="U144" t="s">
        <v>60</v>
      </c>
    </row>
    <row r="145" spans="1:21" x14ac:dyDescent="0.25">
      <c r="A145" t="s">
        <v>702</v>
      </c>
      <c r="B145" s="1">
        <v>42812</v>
      </c>
      <c r="C145" s="1">
        <v>42817</v>
      </c>
      <c r="D145" t="s">
        <v>40</v>
      </c>
      <c r="E145" t="s">
        <v>703</v>
      </c>
      <c r="F145" t="s">
        <v>704</v>
      </c>
      <c r="G145" t="s">
        <v>25</v>
      </c>
      <c r="H145" t="s">
        <v>26</v>
      </c>
      <c r="I145" t="s">
        <v>705</v>
      </c>
      <c r="J145" t="s">
        <v>93</v>
      </c>
      <c r="K145" t="s">
        <v>94</v>
      </c>
      <c r="L145" t="s">
        <v>706</v>
      </c>
      <c r="M145" t="s">
        <v>31</v>
      </c>
      <c r="N145" t="s">
        <v>57</v>
      </c>
      <c r="O145" t="s">
        <v>707</v>
      </c>
      <c r="P145">
        <v>82.524000000000001</v>
      </c>
      <c r="Q145">
        <v>3</v>
      </c>
      <c r="R145">
        <v>0.6</v>
      </c>
      <c r="S145">
        <v>-41.262</v>
      </c>
      <c r="T145" t="s">
        <v>59</v>
      </c>
      <c r="U145" t="s">
        <v>196</v>
      </c>
    </row>
    <row r="146" spans="1:21" x14ac:dyDescent="0.25">
      <c r="A146" t="s">
        <v>708</v>
      </c>
      <c r="B146" s="1">
        <v>43094</v>
      </c>
      <c r="C146" s="1">
        <v>43098</v>
      </c>
      <c r="D146" t="s">
        <v>40</v>
      </c>
      <c r="E146" t="s">
        <v>709</v>
      </c>
      <c r="F146" t="s">
        <v>710</v>
      </c>
      <c r="G146" t="s">
        <v>25</v>
      </c>
      <c r="H146" t="s">
        <v>26</v>
      </c>
      <c r="I146" t="s">
        <v>174</v>
      </c>
      <c r="J146" t="s">
        <v>121</v>
      </c>
      <c r="K146" t="s">
        <v>68</v>
      </c>
      <c r="L146" t="s">
        <v>711</v>
      </c>
      <c r="M146" t="s">
        <v>31</v>
      </c>
      <c r="N146" t="s">
        <v>32</v>
      </c>
      <c r="O146" t="s">
        <v>712</v>
      </c>
      <c r="P146">
        <v>191.98400000000001</v>
      </c>
      <c r="Q146">
        <v>2</v>
      </c>
      <c r="R146">
        <v>0.2</v>
      </c>
      <c r="S146">
        <v>4.7995999999999999</v>
      </c>
      <c r="T146" t="s">
        <v>84</v>
      </c>
      <c r="U146" t="s">
        <v>97</v>
      </c>
    </row>
    <row r="147" spans="1:21" x14ac:dyDescent="0.25">
      <c r="A147" t="s">
        <v>713</v>
      </c>
      <c r="B147" s="1">
        <v>41811</v>
      </c>
      <c r="C147" s="1">
        <v>41813</v>
      </c>
      <c r="D147" t="s">
        <v>22</v>
      </c>
      <c r="E147" t="s">
        <v>714</v>
      </c>
      <c r="F147" t="s">
        <v>715</v>
      </c>
      <c r="G147" t="s">
        <v>25</v>
      </c>
      <c r="H147" t="s">
        <v>26</v>
      </c>
      <c r="I147" t="s">
        <v>716</v>
      </c>
      <c r="J147" t="s">
        <v>717</v>
      </c>
      <c r="K147" t="s">
        <v>29</v>
      </c>
      <c r="L147" t="s">
        <v>718</v>
      </c>
      <c r="M147" t="s">
        <v>31</v>
      </c>
      <c r="N147" t="s">
        <v>57</v>
      </c>
      <c r="O147" t="s">
        <v>719</v>
      </c>
      <c r="P147">
        <v>104.01</v>
      </c>
      <c r="Q147">
        <v>1</v>
      </c>
      <c r="R147">
        <v>0</v>
      </c>
      <c r="S147">
        <v>14.561400000000001</v>
      </c>
      <c r="T147" t="s">
        <v>71</v>
      </c>
      <c r="U147" t="s">
        <v>60</v>
      </c>
    </row>
    <row r="148" spans="1:21" x14ac:dyDescent="0.25">
      <c r="A148" t="s">
        <v>720</v>
      </c>
      <c r="B148" s="1">
        <v>42980</v>
      </c>
      <c r="C148" s="1">
        <v>42986</v>
      </c>
      <c r="D148" t="s">
        <v>40</v>
      </c>
      <c r="E148" t="s">
        <v>721</v>
      </c>
      <c r="F148" t="s">
        <v>722</v>
      </c>
      <c r="G148" t="s">
        <v>91</v>
      </c>
      <c r="H148" t="s">
        <v>26</v>
      </c>
      <c r="I148" t="s">
        <v>694</v>
      </c>
      <c r="J148" t="s">
        <v>232</v>
      </c>
      <c r="K148" t="s">
        <v>68</v>
      </c>
      <c r="L148" t="s">
        <v>272</v>
      </c>
      <c r="M148" t="s">
        <v>31</v>
      </c>
      <c r="N148" t="s">
        <v>57</v>
      </c>
      <c r="O148" t="s">
        <v>273</v>
      </c>
      <c r="P148">
        <v>15.071999999999999</v>
      </c>
      <c r="Q148">
        <v>3</v>
      </c>
      <c r="R148">
        <v>0.2</v>
      </c>
      <c r="S148">
        <v>4.1448</v>
      </c>
      <c r="T148" t="s">
        <v>130</v>
      </c>
      <c r="U148" t="s">
        <v>78</v>
      </c>
    </row>
    <row r="149" spans="1:21" x14ac:dyDescent="0.25">
      <c r="A149" t="s">
        <v>723</v>
      </c>
      <c r="B149" s="1">
        <v>42678</v>
      </c>
      <c r="C149" s="1">
        <v>42682</v>
      </c>
      <c r="D149" t="s">
        <v>22</v>
      </c>
      <c r="E149" t="s">
        <v>724</v>
      </c>
      <c r="F149" t="s">
        <v>725</v>
      </c>
      <c r="G149" t="s">
        <v>91</v>
      </c>
      <c r="H149" t="s">
        <v>26</v>
      </c>
      <c r="I149" t="s">
        <v>192</v>
      </c>
      <c r="J149" t="s">
        <v>193</v>
      </c>
      <c r="K149" t="s">
        <v>55</v>
      </c>
      <c r="L149" t="s">
        <v>726</v>
      </c>
      <c r="M149" t="s">
        <v>31</v>
      </c>
      <c r="N149" t="s">
        <v>57</v>
      </c>
      <c r="O149" t="s">
        <v>727</v>
      </c>
      <c r="P149">
        <v>209.88</v>
      </c>
      <c r="Q149">
        <v>3</v>
      </c>
      <c r="R149">
        <v>0</v>
      </c>
      <c r="S149">
        <v>35.679600000000001</v>
      </c>
      <c r="T149" t="s">
        <v>84</v>
      </c>
      <c r="U149" t="s">
        <v>35</v>
      </c>
    </row>
    <row r="150" spans="1:21" x14ac:dyDescent="0.25">
      <c r="A150" t="s">
        <v>728</v>
      </c>
      <c r="B150" s="1">
        <v>42103</v>
      </c>
      <c r="C150" s="1">
        <v>42108</v>
      </c>
      <c r="D150" t="s">
        <v>40</v>
      </c>
      <c r="E150" t="s">
        <v>729</v>
      </c>
      <c r="F150" t="s">
        <v>730</v>
      </c>
      <c r="G150" t="s">
        <v>25</v>
      </c>
      <c r="H150" t="s">
        <v>26</v>
      </c>
      <c r="I150" t="s">
        <v>731</v>
      </c>
      <c r="J150" t="s">
        <v>54</v>
      </c>
      <c r="K150" t="s">
        <v>55</v>
      </c>
      <c r="L150" t="s">
        <v>732</v>
      </c>
      <c r="M150" t="s">
        <v>31</v>
      </c>
      <c r="N150" t="s">
        <v>46</v>
      </c>
      <c r="O150" t="s">
        <v>733</v>
      </c>
      <c r="P150">
        <v>369.91199999999998</v>
      </c>
      <c r="Q150">
        <v>3</v>
      </c>
      <c r="R150">
        <v>0.2</v>
      </c>
      <c r="S150">
        <v>-13.871700000000001</v>
      </c>
      <c r="T150" t="s">
        <v>59</v>
      </c>
      <c r="U150" t="s">
        <v>114</v>
      </c>
    </row>
    <row r="151" spans="1:21" x14ac:dyDescent="0.25">
      <c r="A151" t="s">
        <v>734</v>
      </c>
      <c r="B151" s="1">
        <v>41975</v>
      </c>
      <c r="C151" s="1">
        <v>41977</v>
      </c>
      <c r="D151" t="s">
        <v>88</v>
      </c>
      <c r="E151" t="s">
        <v>735</v>
      </c>
      <c r="F151" t="s">
        <v>736</v>
      </c>
      <c r="G151" t="s">
        <v>25</v>
      </c>
      <c r="H151" t="s">
        <v>26</v>
      </c>
      <c r="I151" t="s">
        <v>174</v>
      </c>
      <c r="J151" t="s">
        <v>121</v>
      </c>
      <c r="K151" t="s">
        <v>68</v>
      </c>
      <c r="L151" t="s">
        <v>737</v>
      </c>
      <c r="M151" t="s">
        <v>31</v>
      </c>
      <c r="N151" t="s">
        <v>32</v>
      </c>
      <c r="O151" t="s">
        <v>738</v>
      </c>
      <c r="P151">
        <v>883.92</v>
      </c>
      <c r="Q151">
        <v>5</v>
      </c>
      <c r="R151">
        <v>0.2</v>
      </c>
      <c r="S151">
        <v>-110.49</v>
      </c>
      <c r="T151" t="s">
        <v>71</v>
      </c>
      <c r="U151" t="s">
        <v>97</v>
      </c>
    </row>
    <row r="152" spans="1:21" x14ac:dyDescent="0.25">
      <c r="A152" t="s">
        <v>739</v>
      </c>
      <c r="B152" s="1">
        <v>41650</v>
      </c>
      <c r="C152" s="1">
        <v>41653</v>
      </c>
      <c r="D152" t="s">
        <v>88</v>
      </c>
      <c r="E152" t="s">
        <v>740</v>
      </c>
      <c r="F152" t="s">
        <v>741</v>
      </c>
      <c r="G152" t="s">
        <v>25</v>
      </c>
      <c r="H152" t="s">
        <v>26</v>
      </c>
      <c r="I152" t="s">
        <v>742</v>
      </c>
      <c r="J152" t="s">
        <v>201</v>
      </c>
      <c r="K152" t="s">
        <v>68</v>
      </c>
      <c r="L152" t="s">
        <v>651</v>
      </c>
      <c r="M152" t="s">
        <v>31</v>
      </c>
      <c r="N152" t="s">
        <v>57</v>
      </c>
      <c r="O152" t="s">
        <v>652</v>
      </c>
      <c r="P152">
        <v>9.94</v>
      </c>
      <c r="Q152">
        <v>2</v>
      </c>
      <c r="R152">
        <v>0</v>
      </c>
      <c r="S152">
        <v>3.0813999999999999</v>
      </c>
      <c r="T152" t="s">
        <v>34</v>
      </c>
      <c r="U152" t="s">
        <v>170</v>
      </c>
    </row>
    <row r="153" spans="1:21" x14ac:dyDescent="0.25">
      <c r="A153" t="s">
        <v>743</v>
      </c>
      <c r="B153" s="1">
        <v>43002</v>
      </c>
      <c r="C153" s="1">
        <v>43007</v>
      </c>
      <c r="D153" t="s">
        <v>40</v>
      </c>
      <c r="E153" t="s">
        <v>744</v>
      </c>
      <c r="F153" t="s">
        <v>745</v>
      </c>
      <c r="G153" t="s">
        <v>25</v>
      </c>
      <c r="H153" t="s">
        <v>26</v>
      </c>
      <c r="I153" t="s">
        <v>231</v>
      </c>
      <c r="J153" t="s">
        <v>232</v>
      </c>
      <c r="K153" t="s">
        <v>68</v>
      </c>
      <c r="L153" t="s">
        <v>746</v>
      </c>
      <c r="M153" t="s">
        <v>31</v>
      </c>
      <c r="N153" t="s">
        <v>57</v>
      </c>
      <c r="O153" t="s">
        <v>747</v>
      </c>
      <c r="P153">
        <v>103.056</v>
      </c>
      <c r="Q153">
        <v>3</v>
      </c>
      <c r="R153">
        <v>0.2</v>
      </c>
      <c r="S153">
        <v>24.4758</v>
      </c>
      <c r="T153" t="s">
        <v>59</v>
      </c>
      <c r="U153" t="s">
        <v>78</v>
      </c>
    </row>
    <row r="154" spans="1:21" x14ac:dyDescent="0.25">
      <c r="A154" t="s">
        <v>748</v>
      </c>
      <c r="B154" s="1">
        <v>41792</v>
      </c>
      <c r="C154" s="1">
        <v>41797</v>
      </c>
      <c r="D154" t="s">
        <v>40</v>
      </c>
      <c r="E154" t="s">
        <v>749</v>
      </c>
      <c r="F154" t="s">
        <v>750</v>
      </c>
      <c r="G154" t="s">
        <v>101</v>
      </c>
      <c r="H154" t="s">
        <v>26</v>
      </c>
      <c r="I154" t="s">
        <v>76</v>
      </c>
      <c r="J154" t="s">
        <v>77</v>
      </c>
      <c r="K154" t="s">
        <v>55</v>
      </c>
      <c r="L154" t="s">
        <v>494</v>
      </c>
      <c r="M154" t="s">
        <v>31</v>
      </c>
      <c r="N154" t="s">
        <v>57</v>
      </c>
      <c r="O154" t="s">
        <v>495</v>
      </c>
      <c r="P154">
        <v>73.319999999999993</v>
      </c>
      <c r="Q154">
        <v>6</v>
      </c>
      <c r="R154">
        <v>0</v>
      </c>
      <c r="S154">
        <v>21.995999999999999</v>
      </c>
      <c r="T154" t="s">
        <v>59</v>
      </c>
      <c r="U154" t="s">
        <v>60</v>
      </c>
    </row>
    <row r="155" spans="1:21" x14ac:dyDescent="0.25">
      <c r="A155" t="s">
        <v>751</v>
      </c>
      <c r="B155" s="1">
        <v>42719</v>
      </c>
      <c r="C155" s="1">
        <v>42723</v>
      </c>
      <c r="D155" t="s">
        <v>40</v>
      </c>
      <c r="E155" t="s">
        <v>470</v>
      </c>
      <c r="F155" t="s">
        <v>471</v>
      </c>
      <c r="G155" t="s">
        <v>91</v>
      </c>
      <c r="H155" t="s">
        <v>26</v>
      </c>
      <c r="I155" t="s">
        <v>289</v>
      </c>
      <c r="J155" t="s">
        <v>290</v>
      </c>
      <c r="K155" t="s">
        <v>94</v>
      </c>
      <c r="L155" t="s">
        <v>752</v>
      </c>
      <c r="M155" t="s">
        <v>31</v>
      </c>
      <c r="N155" t="s">
        <v>46</v>
      </c>
      <c r="O155" t="s">
        <v>753</v>
      </c>
      <c r="P155">
        <v>1652.94</v>
      </c>
      <c r="Q155">
        <v>3</v>
      </c>
      <c r="R155">
        <v>0</v>
      </c>
      <c r="S155">
        <v>231.41159999999999</v>
      </c>
      <c r="T155" t="s">
        <v>84</v>
      </c>
      <c r="U155" t="s">
        <v>97</v>
      </c>
    </row>
    <row r="156" spans="1:21" x14ac:dyDescent="0.25">
      <c r="A156" t="s">
        <v>754</v>
      </c>
      <c r="B156" s="1">
        <v>41919</v>
      </c>
      <c r="C156" s="1">
        <v>41925</v>
      </c>
      <c r="D156" t="s">
        <v>40</v>
      </c>
      <c r="E156" t="s">
        <v>755</v>
      </c>
      <c r="F156" t="s">
        <v>756</v>
      </c>
      <c r="G156" t="s">
        <v>101</v>
      </c>
      <c r="H156" t="s">
        <v>26</v>
      </c>
      <c r="I156" t="s">
        <v>66</v>
      </c>
      <c r="J156" t="s">
        <v>67</v>
      </c>
      <c r="K156" t="s">
        <v>68</v>
      </c>
      <c r="L156" t="s">
        <v>757</v>
      </c>
      <c r="M156" t="s">
        <v>31</v>
      </c>
      <c r="N156" t="s">
        <v>57</v>
      </c>
      <c r="O156" t="s">
        <v>758</v>
      </c>
      <c r="P156">
        <v>129.91999999999999</v>
      </c>
      <c r="Q156">
        <v>5</v>
      </c>
      <c r="R156">
        <v>0.2</v>
      </c>
      <c r="S156">
        <v>21.111999999999998</v>
      </c>
      <c r="T156" t="s">
        <v>130</v>
      </c>
      <c r="U156" t="s">
        <v>49</v>
      </c>
    </row>
    <row r="157" spans="1:21" x14ac:dyDescent="0.25">
      <c r="A157" t="s">
        <v>759</v>
      </c>
      <c r="B157" s="1">
        <v>42707</v>
      </c>
      <c r="C157" s="1">
        <v>42710</v>
      </c>
      <c r="D157" t="s">
        <v>88</v>
      </c>
      <c r="E157" t="s">
        <v>760</v>
      </c>
      <c r="F157" t="s">
        <v>761</v>
      </c>
      <c r="G157" t="s">
        <v>25</v>
      </c>
      <c r="H157" t="s">
        <v>26</v>
      </c>
      <c r="I157" t="s">
        <v>762</v>
      </c>
      <c r="J157" t="s">
        <v>121</v>
      </c>
      <c r="K157" t="s">
        <v>68</v>
      </c>
      <c r="L157" t="s">
        <v>763</v>
      </c>
      <c r="M157" t="s">
        <v>31</v>
      </c>
      <c r="N157" t="s">
        <v>46</v>
      </c>
      <c r="O157" t="s">
        <v>764</v>
      </c>
      <c r="P157">
        <v>400.03199999999998</v>
      </c>
      <c r="Q157">
        <v>2</v>
      </c>
      <c r="R157">
        <v>0.4</v>
      </c>
      <c r="S157">
        <v>-153.34559999999999</v>
      </c>
      <c r="T157" t="s">
        <v>34</v>
      </c>
      <c r="U157" t="s">
        <v>97</v>
      </c>
    </row>
    <row r="158" spans="1:21" x14ac:dyDescent="0.25">
      <c r="A158" t="s">
        <v>759</v>
      </c>
      <c r="B158" s="1">
        <v>42707</v>
      </c>
      <c r="C158" s="1">
        <v>42710</v>
      </c>
      <c r="D158" t="s">
        <v>88</v>
      </c>
      <c r="E158" t="s">
        <v>760</v>
      </c>
      <c r="F158" t="s">
        <v>761</v>
      </c>
      <c r="G158" t="s">
        <v>25</v>
      </c>
      <c r="H158" t="s">
        <v>26</v>
      </c>
      <c r="I158" t="s">
        <v>762</v>
      </c>
      <c r="J158" t="s">
        <v>121</v>
      </c>
      <c r="K158" t="s">
        <v>68</v>
      </c>
      <c r="L158" t="s">
        <v>330</v>
      </c>
      <c r="M158" t="s">
        <v>31</v>
      </c>
      <c r="N158" t="s">
        <v>37</v>
      </c>
      <c r="O158" t="s">
        <v>331</v>
      </c>
      <c r="P158">
        <v>542.64599999999996</v>
      </c>
      <c r="Q158">
        <v>3</v>
      </c>
      <c r="R158">
        <v>0.1</v>
      </c>
      <c r="S158">
        <v>102.49979999999999</v>
      </c>
      <c r="T158" t="s">
        <v>34</v>
      </c>
      <c r="U158" t="s">
        <v>97</v>
      </c>
    </row>
    <row r="159" spans="1:21" x14ac:dyDescent="0.25">
      <c r="A159" t="s">
        <v>765</v>
      </c>
      <c r="B159" s="1">
        <v>42756</v>
      </c>
      <c r="C159" s="1">
        <v>42760</v>
      </c>
      <c r="D159" t="s">
        <v>40</v>
      </c>
      <c r="E159" t="s">
        <v>766</v>
      </c>
      <c r="F159" t="s">
        <v>767</v>
      </c>
      <c r="G159" t="s">
        <v>101</v>
      </c>
      <c r="H159" t="s">
        <v>26</v>
      </c>
      <c r="I159" t="s">
        <v>192</v>
      </c>
      <c r="J159" t="s">
        <v>193</v>
      </c>
      <c r="K159" t="s">
        <v>55</v>
      </c>
      <c r="L159" t="s">
        <v>768</v>
      </c>
      <c r="M159" t="s">
        <v>31</v>
      </c>
      <c r="N159" t="s">
        <v>32</v>
      </c>
      <c r="O159" t="s">
        <v>769</v>
      </c>
      <c r="P159">
        <v>84.98</v>
      </c>
      <c r="Q159">
        <v>1</v>
      </c>
      <c r="R159">
        <v>0</v>
      </c>
      <c r="S159">
        <v>18.695599999999999</v>
      </c>
      <c r="T159" t="s">
        <v>84</v>
      </c>
      <c r="U159" t="s">
        <v>170</v>
      </c>
    </row>
    <row r="160" spans="1:21" x14ac:dyDescent="0.25">
      <c r="A160" t="s">
        <v>770</v>
      </c>
      <c r="B160" s="1">
        <v>41786</v>
      </c>
      <c r="C160" s="1">
        <v>41786</v>
      </c>
      <c r="D160" t="s">
        <v>426</v>
      </c>
      <c r="E160" t="s">
        <v>771</v>
      </c>
      <c r="F160" t="s">
        <v>772</v>
      </c>
      <c r="G160" t="s">
        <v>91</v>
      </c>
      <c r="H160" t="s">
        <v>26</v>
      </c>
      <c r="I160" t="s">
        <v>640</v>
      </c>
      <c r="J160" t="s">
        <v>54</v>
      </c>
      <c r="K160" t="s">
        <v>55</v>
      </c>
      <c r="L160" t="s">
        <v>318</v>
      </c>
      <c r="M160" t="s">
        <v>31</v>
      </c>
      <c r="N160" t="s">
        <v>46</v>
      </c>
      <c r="O160" t="s">
        <v>319</v>
      </c>
      <c r="P160">
        <v>567.12</v>
      </c>
      <c r="Q160">
        <v>10</v>
      </c>
      <c r="R160">
        <v>0.2</v>
      </c>
      <c r="S160">
        <v>-28.356000000000002</v>
      </c>
      <c r="T160" t="s">
        <v>431</v>
      </c>
      <c r="U160" t="s">
        <v>162</v>
      </c>
    </row>
    <row r="161" spans="1:21" x14ac:dyDescent="0.25">
      <c r="A161" t="s">
        <v>773</v>
      </c>
      <c r="B161" s="1">
        <v>43010</v>
      </c>
      <c r="C161" s="1">
        <v>43014</v>
      </c>
      <c r="D161" t="s">
        <v>40</v>
      </c>
      <c r="E161" t="s">
        <v>774</v>
      </c>
      <c r="F161" t="s">
        <v>775</v>
      </c>
      <c r="G161" t="s">
        <v>25</v>
      </c>
      <c r="H161" t="s">
        <v>26</v>
      </c>
      <c r="I161" t="s">
        <v>776</v>
      </c>
      <c r="J161" t="s">
        <v>290</v>
      </c>
      <c r="K161" t="s">
        <v>94</v>
      </c>
      <c r="L161" t="s">
        <v>777</v>
      </c>
      <c r="M161" t="s">
        <v>31</v>
      </c>
      <c r="N161" t="s">
        <v>57</v>
      </c>
      <c r="O161" t="s">
        <v>778</v>
      </c>
      <c r="P161">
        <v>157.74</v>
      </c>
      <c r="Q161">
        <v>11</v>
      </c>
      <c r="R161">
        <v>0</v>
      </c>
      <c r="S161">
        <v>56.7864</v>
      </c>
      <c r="T161" t="s">
        <v>84</v>
      </c>
      <c r="U161" t="s">
        <v>49</v>
      </c>
    </row>
    <row r="162" spans="1:21" x14ac:dyDescent="0.25">
      <c r="A162" t="s">
        <v>779</v>
      </c>
      <c r="B162" s="1">
        <v>42345</v>
      </c>
      <c r="C162" s="1">
        <v>42350</v>
      </c>
      <c r="D162" t="s">
        <v>40</v>
      </c>
      <c r="E162" t="s">
        <v>780</v>
      </c>
      <c r="F162" t="s">
        <v>781</v>
      </c>
      <c r="G162" t="s">
        <v>25</v>
      </c>
      <c r="H162" t="s">
        <v>26</v>
      </c>
      <c r="I162" t="s">
        <v>53</v>
      </c>
      <c r="J162" t="s">
        <v>54</v>
      </c>
      <c r="K162" t="s">
        <v>55</v>
      </c>
      <c r="L162" t="s">
        <v>698</v>
      </c>
      <c r="M162" t="s">
        <v>31</v>
      </c>
      <c r="N162" t="s">
        <v>57</v>
      </c>
      <c r="O162" t="s">
        <v>699</v>
      </c>
      <c r="P162">
        <v>79.92</v>
      </c>
      <c r="Q162">
        <v>4</v>
      </c>
      <c r="R162">
        <v>0</v>
      </c>
      <c r="S162">
        <v>28.7712</v>
      </c>
      <c r="T162" t="s">
        <v>59</v>
      </c>
      <c r="U162" t="s">
        <v>97</v>
      </c>
    </row>
    <row r="163" spans="1:21" x14ac:dyDescent="0.25">
      <c r="A163" t="s">
        <v>782</v>
      </c>
      <c r="B163" s="1">
        <v>42631</v>
      </c>
      <c r="C163" s="1">
        <v>42635</v>
      </c>
      <c r="D163" t="s">
        <v>40</v>
      </c>
      <c r="E163" t="s">
        <v>783</v>
      </c>
      <c r="F163" t="s">
        <v>784</v>
      </c>
      <c r="G163" t="s">
        <v>91</v>
      </c>
      <c r="H163" t="s">
        <v>26</v>
      </c>
      <c r="I163" t="s">
        <v>607</v>
      </c>
      <c r="J163" t="s">
        <v>44</v>
      </c>
      <c r="K163" t="s">
        <v>29</v>
      </c>
      <c r="L163" t="s">
        <v>785</v>
      </c>
      <c r="M163" t="s">
        <v>31</v>
      </c>
      <c r="N163" t="s">
        <v>46</v>
      </c>
      <c r="O163" t="s">
        <v>786</v>
      </c>
      <c r="P163">
        <v>383.43799999999999</v>
      </c>
      <c r="Q163">
        <v>4</v>
      </c>
      <c r="R163">
        <v>0.45</v>
      </c>
      <c r="S163">
        <v>-167.3184</v>
      </c>
      <c r="T163" t="s">
        <v>84</v>
      </c>
      <c r="U163" t="s">
        <v>78</v>
      </c>
    </row>
    <row r="164" spans="1:21" x14ac:dyDescent="0.25">
      <c r="A164" t="s">
        <v>787</v>
      </c>
      <c r="B164" s="1">
        <v>41773</v>
      </c>
      <c r="C164" s="1">
        <v>41779</v>
      </c>
      <c r="D164" t="s">
        <v>40</v>
      </c>
      <c r="E164" t="s">
        <v>788</v>
      </c>
      <c r="F164" t="s">
        <v>789</v>
      </c>
      <c r="G164" t="s">
        <v>91</v>
      </c>
      <c r="H164" t="s">
        <v>26</v>
      </c>
      <c r="I164" t="s">
        <v>790</v>
      </c>
      <c r="J164" t="s">
        <v>44</v>
      </c>
      <c r="K164" t="s">
        <v>29</v>
      </c>
      <c r="L164" t="s">
        <v>791</v>
      </c>
      <c r="M164" t="s">
        <v>31</v>
      </c>
      <c r="N164" t="s">
        <v>57</v>
      </c>
      <c r="O164" t="s">
        <v>792</v>
      </c>
      <c r="P164">
        <v>310.88</v>
      </c>
      <c r="Q164">
        <v>2</v>
      </c>
      <c r="R164">
        <v>0.2</v>
      </c>
      <c r="S164">
        <v>23.315999999999999</v>
      </c>
      <c r="T164" t="s">
        <v>130</v>
      </c>
      <c r="U164" t="s">
        <v>162</v>
      </c>
    </row>
    <row r="165" spans="1:21" x14ac:dyDescent="0.25">
      <c r="A165" t="s">
        <v>793</v>
      </c>
      <c r="B165" s="1">
        <v>42509</v>
      </c>
      <c r="C165" s="1">
        <v>42514</v>
      </c>
      <c r="D165" t="s">
        <v>40</v>
      </c>
      <c r="E165" t="s">
        <v>794</v>
      </c>
      <c r="F165" t="s">
        <v>795</v>
      </c>
      <c r="G165" t="s">
        <v>25</v>
      </c>
      <c r="H165" t="s">
        <v>26</v>
      </c>
      <c r="I165" t="s">
        <v>690</v>
      </c>
      <c r="J165" t="s">
        <v>717</v>
      </c>
      <c r="K165" t="s">
        <v>29</v>
      </c>
      <c r="L165" t="s">
        <v>796</v>
      </c>
      <c r="M165" t="s">
        <v>31</v>
      </c>
      <c r="N165" t="s">
        <v>37</v>
      </c>
      <c r="O165" t="s">
        <v>797</v>
      </c>
      <c r="P165">
        <v>641.96</v>
      </c>
      <c r="Q165">
        <v>2</v>
      </c>
      <c r="R165">
        <v>0</v>
      </c>
      <c r="S165">
        <v>179.74879999999999</v>
      </c>
      <c r="T165" t="s">
        <v>59</v>
      </c>
      <c r="U165" t="s">
        <v>162</v>
      </c>
    </row>
    <row r="166" spans="1:21" x14ac:dyDescent="0.25">
      <c r="A166" t="s">
        <v>798</v>
      </c>
      <c r="B166" s="1">
        <v>42765</v>
      </c>
      <c r="C166" s="1">
        <v>42771</v>
      </c>
      <c r="D166" t="s">
        <v>40</v>
      </c>
      <c r="E166" t="s">
        <v>799</v>
      </c>
      <c r="F166" t="s">
        <v>800</v>
      </c>
      <c r="G166" t="s">
        <v>91</v>
      </c>
      <c r="H166" t="s">
        <v>26</v>
      </c>
      <c r="I166" t="s">
        <v>801</v>
      </c>
      <c r="J166" t="s">
        <v>802</v>
      </c>
      <c r="K166" t="s">
        <v>94</v>
      </c>
      <c r="L166" t="s">
        <v>803</v>
      </c>
      <c r="M166" t="s">
        <v>31</v>
      </c>
      <c r="N166" t="s">
        <v>57</v>
      </c>
      <c r="O166" t="s">
        <v>804</v>
      </c>
      <c r="P166">
        <v>34.58</v>
      </c>
      <c r="Q166">
        <v>7</v>
      </c>
      <c r="R166">
        <v>0</v>
      </c>
      <c r="S166">
        <v>14.5236</v>
      </c>
      <c r="T166" t="s">
        <v>130</v>
      </c>
      <c r="U166" t="s">
        <v>170</v>
      </c>
    </row>
    <row r="167" spans="1:21" x14ac:dyDescent="0.25">
      <c r="A167" t="s">
        <v>805</v>
      </c>
      <c r="B167" s="1">
        <v>42237</v>
      </c>
      <c r="C167" s="1">
        <v>42239</v>
      </c>
      <c r="D167" t="s">
        <v>88</v>
      </c>
      <c r="E167" t="s">
        <v>346</v>
      </c>
      <c r="F167" t="s">
        <v>347</v>
      </c>
      <c r="G167" t="s">
        <v>101</v>
      </c>
      <c r="H167" t="s">
        <v>26</v>
      </c>
      <c r="I167" t="s">
        <v>329</v>
      </c>
      <c r="J167" t="s">
        <v>54</v>
      </c>
      <c r="K167" t="s">
        <v>55</v>
      </c>
      <c r="L167" t="s">
        <v>806</v>
      </c>
      <c r="M167" t="s">
        <v>31</v>
      </c>
      <c r="N167" t="s">
        <v>37</v>
      </c>
      <c r="O167" t="s">
        <v>807</v>
      </c>
      <c r="P167">
        <v>544.00800000000004</v>
      </c>
      <c r="Q167">
        <v>3</v>
      </c>
      <c r="R167">
        <v>0.2</v>
      </c>
      <c r="S167">
        <v>40.800600000000003</v>
      </c>
      <c r="T167" t="s">
        <v>71</v>
      </c>
      <c r="U167" t="s">
        <v>254</v>
      </c>
    </row>
    <row r="168" spans="1:21" x14ac:dyDescent="0.25">
      <c r="A168" t="s">
        <v>808</v>
      </c>
      <c r="B168" s="1">
        <v>42280</v>
      </c>
      <c r="C168" s="1">
        <v>42283</v>
      </c>
      <c r="D168" t="s">
        <v>22</v>
      </c>
      <c r="E168" t="s">
        <v>809</v>
      </c>
      <c r="F168" t="s">
        <v>810</v>
      </c>
      <c r="G168" t="s">
        <v>25</v>
      </c>
      <c r="H168" t="s">
        <v>26</v>
      </c>
      <c r="I168" t="s">
        <v>348</v>
      </c>
      <c r="J168" t="s">
        <v>232</v>
      </c>
      <c r="K168" t="s">
        <v>68</v>
      </c>
      <c r="L168" t="s">
        <v>811</v>
      </c>
      <c r="M168" t="s">
        <v>31</v>
      </c>
      <c r="N168" t="s">
        <v>32</v>
      </c>
      <c r="O168" t="s">
        <v>812</v>
      </c>
      <c r="P168">
        <v>35.49</v>
      </c>
      <c r="Q168">
        <v>1</v>
      </c>
      <c r="R168">
        <v>0.5</v>
      </c>
      <c r="S168">
        <v>-15.615600000000001</v>
      </c>
      <c r="T168" t="s">
        <v>34</v>
      </c>
      <c r="U168" t="s">
        <v>49</v>
      </c>
    </row>
    <row r="169" spans="1:21" x14ac:dyDescent="0.25">
      <c r="A169" t="s">
        <v>813</v>
      </c>
      <c r="B169" s="1">
        <v>42350</v>
      </c>
      <c r="C169" s="1">
        <v>42354</v>
      </c>
      <c r="D169" t="s">
        <v>40</v>
      </c>
      <c r="E169" t="s">
        <v>814</v>
      </c>
      <c r="F169" t="s">
        <v>815</v>
      </c>
      <c r="G169" t="s">
        <v>25</v>
      </c>
      <c r="H169" t="s">
        <v>26</v>
      </c>
      <c r="I169" t="s">
        <v>816</v>
      </c>
      <c r="J169" t="s">
        <v>54</v>
      </c>
      <c r="K169" t="s">
        <v>55</v>
      </c>
      <c r="L169" t="s">
        <v>817</v>
      </c>
      <c r="M169" t="s">
        <v>31</v>
      </c>
      <c r="N169" t="s">
        <v>37</v>
      </c>
      <c r="O169" t="s">
        <v>818</v>
      </c>
      <c r="P169">
        <v>348.928</v>
      </c>
      <c r="Q169">
        <v>2</v>
      </c>
      <c r="R169">
        <v>0.2</v>
      </c>
      <c r="S169">
        <v>34.892800000000001</v>
      </c>
      <c r="T169" t="s">
        <v>84</v>
      </c>
      <c r="U169" t="s">
        <v>97</v>
      </c>
    </row>
    <row r="170" spans="1:21" x14ac:dyDescent="0.25">
      <c r="A170" t="s">
        <v>819</v>
      </c>
      <c r="B170" s="1">
        <v>42181</v>
      </c>
      <c r="C170" s="1">
        <v>42185</v>
      </c>
      <c r="D170" t="s">
        <v>40</v>
      </c>
      <c r="E170" t="s">
        <v>820</v>
      </c>
      <c r="F170" t="s">
        <v>821</v>
      </c>
      <c r="G170" t="s">
        <v>25</v>
      </c>
      <c r="H170" t="s">
        <v>26</v>
      </c>
      <c r="I170" t="s">
        <v>636</v>
      </c>
      <c r="J170" t="s">
        <v>717</v>
      </c>
      <c r="K170" t="s">
        <v>29</v>
      </c>
      <c r="L170" t="s">
        <v>822</v>
      </c>
      <c r="M170" t="s">
        <v>31</v>
      </c>
      <c r="N170" t="s">
        <v>37</v>
      </c>
      <c r="O170" t="s">
        <v>823</v>
      </c>
      <c r="P170">
        <v>332.94</v>
      </c>
      <c r="Q170">
        <v>3</v>
      </c>
      <c r="R170">
        <v>0</v>
      </c>
      <c r="S170">
        <v>79.905600000000007</v>
      </c>
      <c r="T170" t="s">
        <v>84</v>
      </c>
      <c r="U170" t="s">
        <v>60</v>
      </c>
    </row>
    <row r="171" spans="1:21" x14ac:dyDescent="0.25">
      <c r="A171" t="s">
        <v>824</v>
      </c>
      <c r="B171" s="1">
        <v>42335</v>
      </c>
      <c r="C171" s="1">
        <v>42341</v>
      </c>
      <c r="D171" t="s">
        <v>40</v>
      </c>
      <c r="E171" t="s">
        <v>825</v>
      </c>
      <c r="F171" t="s">
        <v>826</v>
      </c>
      <c r="G171" t="s">
        <v>25</v>
      </c>
      <c r="H171" t="s">
        <v>26</v>
      </c>
      <c r="I171" t="s">
        <v>827</v>
      </c>
      <c r="J171" t="s">
        <v>54</v>
      </c>
      <c r="K171" t="s">
        <v>55</v>
      </c>
      <c r="L171" t="s">
        <v>591</v>
      </c>
      <c r="M171" t="s">
        <v>31</v>
      </c>
      <c r="N171" t="s">
        <v>37</v>
      </c>
      <c r="O171" t="s">
        <v>592</v>
      </c>
      <c r="P171">
        <v>283.92</v>
      </c>
      <c r="Q171">
        <v>5</v>
      </c>
      <c r="R171">
        <v>0.2</v>
      </c>
      <c r="S171">
        <v>17.745000000000001</v>
      </c>
      <c r="T171" t="s">
        <v>130</v>
      </c>
      <c r="U171" t="s">
        <v>35</v>
      </c>
    </row>
    <row r="172" spans="1:21" x14ac:dyDescent="0.25">
      <c r="A172" t="s">
        <v>828</v>
      </c>
      <c r="B172" s="1">
        <v>42786</v>
      </c>
      <c r="C172" s="1">
        <v>42789</v>
      </c>
      <c r="D172" t="s">
        <v>88</v>
      </c>
      <c r="E172" t="s">
        <v>829</v>
      </c>
      <c r="F172" t="s">
        <v>830</v>
      </c>
      <c r="G172" t="s">
        <v>91</v>
      </c>
      <c r="H172" t="s">
        <v>26</v>
      </c>
      <c r="I172" t="s">
        <v>640</v>
      </c>
      <c r="J172" t="s">
        <v>54</v>
      </c>
      <c r="K172" t="s">
        <v>55</v>
      </c>
      <c r="L172" t="s">
        <v>831</v>
      </c>
      <c r="M172" t="s">
        <v>31</v>
      </c>
      <c r="N172" t="s">
        <v>57</v>
      </c>
      <c r="O172" t="s">
        <v>832</v>
      </c>
      <c r="P172">
        <v>22.23</v>
      </c>
      <c r="Q172">
        <v>1</v>
      </c>
      <c r="R172">
        <v>0</v>
      </c>
      <c r="S172">
        <v>7.3358999999999996</v>
      </c>
      <c r="T172" t="s">
        <v>34</v>
      </c>
      <c r="U172" t="s">
        <v>298</v>
      </c>
    </row>
    <row r="173" spans="1:21" x14ac:dyDescent="0.25">
      <c r="A173" t="s">
        <v>833</v>
      </c>
      <c r="B173" s="1">
        <v>42847</v>
      </c>
      <c r="C173" s="1">
        <v>42849</v>
      </c>
      <c r="D173" t="s">
        <v>88</v>
      </c>
      <c r="E173" t="s">
        <v>834</v>
      </c>
      <c r="F173" t="s">
        <v>835</v>
      </c>
      <c r="G173" t="s">
        <v>25</v>
      </c>
      <c r="H173" t="s">
        <v>26</v>
      </c>
      <c r="I173" t="s">
        <v>329</v>
      </c>
      <c r="J173" t="s">
        <v>54</v>
      </c>
      <c r="K173" t="s">
        <v>55</v>
      </c>
      <c r="L173" t="s">
        <v>836</v>
      </c>
      <c r="M173" t="s">
        <v>31</v>
      </c>
      <c r="N173" t="s">
        <v>57</v>
      </c>
      <c r="O173" t="s">
        <v>837</v>
      </c>
      <c r="P173">
        <v>18.28</v>
      </c>
      <c r="Q173">
        <v>2</v>
      </c>
      <c r="R173">
        <v>0</v>
      </c>
      <c r="S173">
        <v>6.2152000000000003</v>
      </c>
      <c r="T173" t="s">
        <v>71</v>
      </c>
      <c r="U173" t="s">
        <v>114</v>
      </c>
    </row>
    <row r="174" spans="1:21" x14ac:dyDescent="0.25">
      <c r="A174" t="s">
        <v>838</v>
      </c>
      <c r="B174" s="1">
        <v>42038</v>
      </c>
      <c r="C174" s="1">
        <v>42040</v>
      </c>
      <c r="D174" t="s">
        <v>88</v>
      </c>
      <c r="E174" t="s">
        <v>839</v>
      </c>
      <c r="F174" t="s">
        <v>840</v>
      </c>
      <c r="G174" t="s">
        <v>25</v>
      </c>
      <c r="H174" t="s">
        <v>26</v>
      </c>
      <c r="I174" t="s">
        <v>841</v>
      </c>
      <c r="J174" t="s">
        <v>842</v>
      </c>
      <c r="K174" t="s">
        <v>94</v>
      </c>
      <c r="L174" t="s">
        <v>486</v>
      </c>
      <c r="M174" t="s">
        <v>31</v>
      </c>
      <c r="N174" t="s">
        <v>57</v>
      </c>
      <c r="O174" t="s">
        <v>487</v>
      </c>
      <c r="P174">
        <v>28.4</v>
      </c>
      <c r="Q174">
        <v>2</v>
      </c>
      <c r="R174">
        <v>0</v>
      </c>
      <c r="S174">
        <v>11.076000000000001</v>
      </c>
      <c r="T174" t="s">
        <v>71</v>
      </c>
      <c r="U174" t="s">
        <v>298</v>
      </c>
    </row>
    <row r="175" spans="1:21" x14ac:dyDescent="0.25">
      <c r="A175" t="s">
        <v>843</v>
      </c>
      <c r="B175" s="1">
        <v>41925</v>
      </c>
      <c r="C175" s="1">
        <v>41927</v>
      </c>
      <c r="D175" t="s">
        <v>88</v>
      </c>
      <c r="E175" t="s">
        <v>844</v>
      </c>
      <c r="F175" t="s">
        <v>845</v>
      </c>
      <c r="G175" t="s">
        <v>25</v>
      </c>
      <c r="H175" t="s">
        <v>26</v>
      </c>
      <c r="I175" t="s">
        <v>846</v>
      </c>
      <c r="J175" t="s">
        <v>193</v>
      </c>
      <c r="K175" t="s">
        <v>55</v>
      </c>
      <c r="L175" t="s">
        <v>343</v>
      </c>
      <c r="M175" t="s">
        <v>31</v>
      </c>
      <c r="N175" t="s">
        <v>46</v>
      </c>
      <c r="O175" t="s">
        <v>344</v>
      </c>
      <c r="P175">
        <v>1298.55</v>
      </c>
      <c r="Q175">
        <v>5</v>
      </c>
      <c r="R175">
        <v>0</v>
      </c>
      <c r="S175">
        <v>311.65199999999999</v>
      </c>
      <c r="T175" t="s">
        <v>71</v>
      </c>
      <c r="U175" t="s">
        <v>49</v>
      </c>
    </row>
    <row r="176" spans="1:21" x14ac:dyDescent="0.25">
      <c r="A176" t="s">
        <v>847</v>
      </c>
      <c r="B176" s="1">
        <v>42869</v>
      </c>
      <c r="C176" s="1">
        <v>42869</v>
      </c>
      <c r="D176" t="s">
        <v>426</v>
      </c>
      <c r="E176" t="s">
        <v>848</v>
      </c>
      <c r="F176" t="s">
        <v>849</v>
      </c>
      <c r="G176" t="s">
        <v>25</v>
      </c>
      <c r="H176" t="s">
        <v>26</v>
      </c>
      <c r="I176" t="s">
        <v>850</v>
      </c>
      <c r="J176" t="s">
        <v>54</v>
      </c>
      <c r="K176" t="s">
        <v>55</v>
      </c>
      <c r="L176" t="s">
        <v>836</v>
      </c>
      <c r="M176" t="s">
        <v>31</v>
      </c>
      <c r="N176" t="s">
        <v>57</v>
      </c>
      <c r="O176" t="s">
        <v>837</v>
      </c>
      <c r="P176">
        <v>18.28</v>
      </c>
      <c r="Q176">
        <v>2</v>
      </c>
      <c r="R176">
        <v>0</v>
      </c>
      <c r="S176">
        <v>6.2152000000000003</v>
      </c>
      <c r="T176" t="s">
        <v>431</v>
      </c>
      <c r="U176" t="s">
        <v>162</v>
      </c>
    </row>
    <row r="177" spans="1:21" x14ac:dyDescent="0.25">
      <c r="A177" t="s">
        <v>851</v>
      </c>
      <c r="B177" s="1">
        <v>41818</v>
      </c>
      <c r="C177" s="1">
        <v>41822</v>
      </c>
      <c r="D177" t="s">
        <v>40</v>
      </c>
      <c r="E177" t="s">
        <v>619</v>
      </c>
      <c r="F177" t="s">
        <v>620</v>
      </c>
      <c r="G177" t="s">
        <v>25</v>
      </c>
      <c r="H177" t="s">
        <v>26</v>
      </c>
      <c r="I177" t="s">
        <v>66</v>
      </c>
      <c r="J177" t="s">
        <v>67</v>
      </c>
      <c r="K177" t="s">
        <v>68</v>
      </c>
      <c r="L177" t="s">
        <v>852</v>
      </c>
      <c r="M177" t="s">
        <v>31</v>
      </c>
      <c r="N177" t="s">
        <v>37</v>
      </c>
      <c r="O177" t="s">
        <v>853</v>
      </c>
      <c r="P177">
        <v>1228.4649999999999</v>
      </c>
      <c r="Q177">
        <v>5</v>
      </c>
      <c r="R177">
        <v>0.3</v>
      </c>
      <c r="S177">
        <v>0</v>
      </c>
      <c r="T177" t="s">
        <v>84</v>
      </c>
      <c r="U177" t="s">
        <v>60</v>
      </c>
    </row>
    <row r="178" spans="1:21" x14ac:dyDescent="0.25">
      <c r="A178" t="s">
        <v>854</v>
      </c>
      <c r="B178" s="1">
        <v>42902</v>
      </c>
      <c r="C178" s="1">
        <v>42907</v>
      </c>
      <c r="D178" t="s">
        <v>22</v>
      </c>
      <c r="E178" t="s">
        <v>139</v>
      </c>
      <c r="F178" t="s">
        <v>140</v>
      </c>
      <c r="G178" t="s">
        <v>25</v>
      </c>
      <c r="H178" t="s">
        <v>26</v>
      </c>
      <c r="I178" t="s">
        <v>855</v>
      </c>
      <c r="J178" t="s">
        <v>28</v>
      </c>
      <c r="K178" t="s">
        <v>29</v>
      </c>
      <c r="L178" t="s">
        <v>856</v>
      </c>
      <c r="M178" t="s">
        <v>31</v>
      </c>
      <c r="N178" t="s">
        <v>37</v>
      </c>
      <c r="O178" t="s">
        <v>857</v>
      </c>
      <c r="P178">
        <v>301.95999999999998</v>
      </c>
      <c r="Q178">
        <v>2</v>
      </c>
      <c r="R178">
        <v>0</v>
      </c>
      <c r="S178">
        <v>90.587999999999994</v>
      </c>
      <c r="T178" t="s">
        <v>59</v>
      </c>
      <c r="U178" t="s">
        <v>60</v>
      </c>
    </row>
    <row r="179" spans="1:21" x14ac:dyDescent="0.25">
      <c r="A179" t="s">
        <v>858</v>
      </c>
      <c r="B179" s="1">
        <v>42328</v>
      </c>
      <c r="C179" s="1">
        <v>42333</v>
      </c>
      <c r="D179" t="s">
        <v>40</v>
      </c>
      <c r="E179" t="s">
        <v>859</v>
      </c>
      <c r="F179" t="s">
        <v>860</v>
      </c>
      <c r="G179" t="s">
        <v>91</v>
      </c>
      <c r="H179" t="s">
        <v>26</v>
      </c>
      <c r="I179" t="s">
        <v>174</v>
      </c>
      <c r="J179" t="s">
        <v>121</v>
      </c>
      <c r="K179" t="s">
        <v>68</v>
      </c>
      <c r="L179" t="s">
        <v>861</v>
      </c>
      <c r="M179" t="s">
        <v>31</v>
      </c>
      <c r="N179" t="s">
        <v>32</v>
      </c>
      <c r="O179" t="s">
        <v>862</v>
      </c>
      <c r="P179">
        <v>186.048</v>
      </c>
      <c r="Q179">
        <v>4</v>
      </c>
      <c r="R179">
        <v>0.2</v>
      </c>
      <c r="S179">
        <v>9.3024000000000004</v>
      </c>
      <c r="T179" t="s">
        <v>59</v>
      </c>
      <c r="U179" t="s">
        <v>35</v>
      </c>
    </row>
    <row r="180" spans="1:21" x14ac:dyDescent="0.25">
      <c r="A180" t="s">
        <v>863</v>
      </c>
      <c r="B180" s="1">
        <v>42290</v>
      </c>
      <c r="C180" s="1">
        <v>42294</v>
      </c>
      <c r="D180" t="s">
        <v>40</v>
      </c>
      <c r="E180" t="s">
        <v>864</v>
      </c>
      <c r="F180" t="s">
        <v>865</v>
      </c>
      <c r="G180" t="s">
        <v>25</v>
      </c>
      <c r="H180" t="s">
        <v>26</v>
      </c>
      <c r="I180" t="s">
        <v>866</v>
      </c>
      <c r="J180" t="s">
        <v>28</v>
      </c>
      <c r="K180" t="s">
        <v>29</v>
      </c>
      <c r="L180" t="s">
        <v>357</v>
      </c>
      <c r="M180" t="s">
        <v>31</v>
      </c>
      <c r="N180" t="s">
        <v>37</v>
      </c>
      <c r="O180" t="s">
        <v>358</v>
      </c>
      <c r="P180">
        <v>287.94</v>
      </c>
      <c r="Q180">
        <v>3</v>
      </c>
      <c r="R180">
        <v>0</v>
      </c>
      <c r="S180">
        <v>77.743799999999993</v>
      </c>
      <c r="T180" t="s">
        <v>84</v>
      </c>
      <c r="U180" t="s">
        <v>49</v>
      </c>
    </row>
    <row r="181" spans="1:21" x14ac:dyDescent="0.25">
      <c r="A181" t="s">
        <v>867</v>
      </c>
      <c r="B181" s="1">
        <v>42736</v>
      </c>
      <c r="C181" s="1">
        <v>42741</v>
      </c>
      <c r="D181" t="s">
        <v>40</v>
      </c>
      <c r="E181" t="s">
        <v>868</v>
      </c>
      <c r="F181" t="s">
        <v>869</v>
      </c>
      <c r="G181" t="s">
        <v>25</v>
      </c>
      <c r="H181" t="s">
        <v>26</v>
      </c>
      <c r="I181" t="s">
        <v>870</v>
      </c>
      <c r="J181" t="s">
        <v>232</v>
      </c>
      <c r="K181" t="s">
        <v>68</v>
      </c>
      <c r="L181" t="s">
        <v>871</v>
      </c>
      <c r="M181" t="s">
        <v>31</v>
      </c>
      <c r="N181" t="s">
        <v>57</v>
      </c>
      <c r="O181" t="s">
        <v>872</v>
      </c>
      <c r="P181">
        <v>48.896000000000001</v>
      </c>
      <c r="Q181">
        <v>4</v>
      </c>
      <c r="R181">
        <v>0.2</v>
      </c>
      <c r="S181">
        <v>8.5568000000000008</v>
      </c>
      <c r="T181" t="s">
        <v>59</v>
      </c>
      <c r="U181" t="s">
        <v>170</v>
      </c>
    </row>
    <row r="182" spans="1:21" x14ac:dyDescent="0.25">
      <c r="A182" t="s">
        <v>873</v>
      </c>
      <c r="B182" s="1">
        <v>42419</v>
      </c>
      <c r="C182" s="1">
        <v>42424</v>
      </c>
      <c r="D182" t="s">
        <v>40</v>
      </c>
      <c r="E182" t="s">
        <v>874</v>
      </c>
      <c r="F182" t="s">
        <v>875</v>
      </c>
      <c r="G182" t="s">
        <v>25</v>
      </c>
      <c r="H182" t="s">
        <v>26</v>
      </c>
      <c r="I182" t="s">
        <v>174</v>
      </c>
      <c r="J182" t="s">
        <v>121</v>
      </c>
      <c r="K182" t="s">
        <v>68</v>
      </c>
      <c r="L182" t="s">
        <v>831</v>
      </c>
      <c r="M182" t="s">
        <v>31</v>
      </c>
      <c r="N182" t="s">
        <v>57</v>
      </c>
      <c r="O182" t="s">
        <v>832</v>
      </c>
      <c r="P182">
        <v>44.46</v>
      </c>
      <c r="Q182">
        <v>2</v>
      </c>
      <c r="R182">
        <v>0</v>
      </c>
      <c r="S182">
        <v>14.671799999999999</v>
      </c>
      <c r="T182" t="s">
        <v>59</v>
      </c>
      <c r="U182" t="s">
        <v>298</v>
      </c>
    </row>
    <row r="183" spans="1:21" x14ac:dyDescent="0.25">
      <c r="A183" t="s">
        <v>876</v>
      </c>
      <c r="B183" s="1">
        <v>41649</v>
      </c>
      <c r="C183" s="1">
        <v>41654</v>
      </c>
      <c r="D183" t="s">
        <v>40</v>
      </c>
      <c r="E183" t="s">
        <v>877</v>
      </c>
      <c r="F183" t="s">
        <v>878</v>
      </c>
      <c r="G183" t="s">
        <v>91</v>
      </c>
      <c r="H183" t="s">
        <v>26</v>
      </c>
      <c r="I183" t="s">
        <v>879</v>
      </c>
      <c r="J183" t="s">
        <v>717</v>
      </c>
      <c r="K183" t="s">
        <v>29</v>
      </c>
      <c r="L183" t="s">
        <v>880</v>
      </c>
      <c r="M183" t="s">
        <v>31</v>
      </c>
      <c r="N183" t="s">
        <v>57</v>
      </c>
      <c r="O183" t="s">
        <v>881</v>
      </c>
      <c r="P183">
        <v>51.94</v>
      </c>
      <c r="Q183">
        <v>1</v>
      </c>
      <c r="R183">
        <v>0</v>
      </c>
      <c r="S183">
        <v>21.295400000000001</v>
      </c>
      <c r="T183" t="s">
        <v>59</v>
      </c>
      <c r="U183" t="s">
        <v>170</v>
      </c>
    </row>
    <row r="184" spans="1:21" x14ac:dyDescent="0.25">
      <c r="A184" t="s">
        <v>882</v>
      </c>
      <c r="B184" s="1">
        <v>42386</v>
      </c>
      <c r="C184" s="1">
        <v>42390</v>
      </c>
      <c r="D184" t="s">
        <v>40</v>
      </c>
      <c r="E184" t="s">
        <v>883</v>
      </c>
      <c r="F184" t="s">
        <v>884</v>
      </c>
      <c r="G184" t="s">
        <v>101</v>
      </c>
      <c r="H184" t="s">
        <v>26</v>
      </c>
      <c r="I184" t="s">
        <v>510</v>
      </c>
      <c r="J184" t="s">
        <v>885</v>
      </c>
      <c r="K184" t="s">
        <v>68</v>
      </c>
      <c r="L184" t="s">
        <v>309</v>
      </c>
      <c r="M184" t="s">
        <v>31</v>
      </c>
      <c r="N184" t="s">
        <v>57</v>
      </c>
      <c r="O184" t="s">
        <v>310</v>
      </c>
      <c r="P184">
        <v>322.58999999999997</v>
      </c>
      <c r="Q184">
        <v>3</v>
      </c>
      <c r="R184">
        <v>0</v>
      </c>
      <c r="S184">
        <v>64.518000000000001</v>
      </c>
      <c r="T184" t="s">
        <v>84</v>
      </c>
      <c r="U184" t="s">
        <v>170</v>
      </c>
    </row>
    <row r="185" spans="1:21" x14ac:dyDescent="0.25">
      <c r="A185" t="s">
        <v>886</v>
      </c>
      <c r="B185" s="1">
        <v>43069</v>
      </c>
      <c r="C185" s="1">
        <v>43071</v>
      </c>
      <c r="D185" t="s">
        <v>22</v>
      </c>
      <c r="E185" t="s">
        <v>887</v>
      </c>
      <c r="F185" t="s">
        <v>888</v>
      </c>
      <c r="G185" t="s">
        <v>101</v>
      </c>
      <c r="H185" t="s">
        <v>26</v>
      </c>
      <c r="I185" t="s">
        <v>174</v>
      </c>
      <c r="J185" t="s">
        <v>121</v>
      </c>
      <c r="K185" t="s">
        <v>68</v>
      </c>
      <c r="L185" t="s">
        <v>247</v>
      </c>
      <c r="M185" t="s">
        <v>31</v>
      </c>
      <c r="N185" t="s">
        <v>37</v>
      </c>
      <c r="O185" t="s">
        <v>248</v>
      </c>
      <c r="P185">
        <v>1242.9000000000001</v>
      </c>
      <c r="Q185">
        <v>5</v>
      </c>
      <c r="R185">
        <v>0.1</v>
      </c>
      <c r="S185">
        <v>262.39</v>
      </c>
      <c r="T185" t="s">
        <v>71</v>
      </c>
      <c r="U185" t="s">
        <v>35</v>
      </c>
    </row>
    <row r="186" spans="1:21" x14ac:dyDescent="0.25">
      <c r="A186" t="s">
        <v>889</v>
      </c>
      <c r="B186" s="1">
        <v>42665</v>
      </c>
      <c r="C186" s="1">
        <v>42667</v>
      </c>
      <c r="D186" t="s">
        <v>88</v>
      </c>
      <c r="E186" t="s">
        <v>890</v>
      </c>
      <c r="F186" t="s">
        <v>891</v>
      </c>
      <c r="G186" t="s">
        <v>101</v>
      </c>
      <c r="H186" t="s">
        <v>26</v>
      </c>
      <c r="I186" t="s">
        <v>289</v>
      </c>
      <c r="J186" t="s">
        <v>290</v>
      </c>
      <c r="K186" t="s">
        <v>94</v>
      </c>
      <c r="L186" t="s">
        <v>678</v>
      </c>
      <c r="M186" t="s">
        <v>31</v>
      </c>
      <c r="N186" t="s">
        <v>57</v>
      </c>
      <c r="O186" t="s">
        <v>679</v>
      </c>
      <c r="P186">
        <v>31.4</v>
      </c>
      <c r="Q186">
        <v>5</v>
      </c>
      <c r="R186">
        <v>0</v>
      </c>
      <c r="S186">
        <v>10.048</v>
      </c>
      <c r="T186" t="s">
        <v>71</v>
      </c>
      <c r="U186" t="s">
        <v>49</v>
      </c>
    </row>
    <row r="187" spans="1:21" x14ac:dyDescent="0.25">
      <c r="A187" t="s">
        <v>892</v>
      </c>
      <c r="B187" s="1">
        <v>41758</v>
      </c>
      <c r="C187" s="1">
        <v>41763</v>
      </c>
      <c r="D187" t="s">
        <v>40</v>
      </c>
      <c r="E187" t="s">
        <v>893</v>
      </c>
      <c r="F187" t="s">
        <v>894</v>
      </c>
      <c r="G187" t="s">
        <v>25</v>
      </c>
      <c r="H187" t="s">
        <v>26</v>
      </c>
      <c r="I187" t="s">
        <v>895</v>
      </c>
      <c r="J187" t="s">
        <v>121</v>
      </c>
      <c r="K187" t="s">
        <v>68</v>
      </c>
      <c r="L187" t="s">
        <v>896</v>
      </c>
      <c r="M187" t="s">
        <v>31</v>
      </c>
      <c r="N187" t="s">
        <v>57</v>
      </c>
      <c r="O187" t="s">
        <v>897</v>
      </c>
      <c r="P187">
        <v>17.46</v>
      </c>
      <c r="Q187">
        <v>2</v>
      </c>
      <c r="R187">
        <v>0</v>
      </c>
      <c r="S187">
        <v>5.9363999999999999</v>
      </c>
      <c r="T187" t="s">
        <v>59</v>
      </c>
      <c r="U187" t="s">
        <v>114</v>
      </c>
    </row>
    <row r="188" spans="1:21" x14ac:dyDescent="0.25">
      <c r="A188" t="s">
        <v>898</v>
      </c>
      <c r="B188" s="1">
        <v>43099</v>
      </c>
      <c r="C188" s="1">
        <v>43103</v>
      </c>
      <c r="D188" t="s">
        <v>40</v>
      </c>
      <c r="E188" t="s">
        <v>156</v>
      </c>
      <c r="F188" t="s">
        <v>157</v>
      </c>
      <c r="G188" t="s">
        <v>25</v>
      </c>
      <c r="H188" t="s">
        <v>26</v>
      </c>
      <c r="I188" t="s">
        <v>174</v>
      </c>
      <c r="J188" t="s">
        <v>121</v>
      </c>
      <c r="K188" t="s">
        <v>68</v>
      </c>
      <c r="L188" t="s">
        <v>899</v>
      </c>
      <c r="M188" t="s">
        <v>31</v>
      </c>
      <c r="N188" t="s">
        <v>32</v>
      </c>
      <c r="O188" t="s">
        <v>900</v>
      </c>
      <c r="P188">
        <v>323.13600000000002</v>
      </c>
      <c r="Q188">
        <v>4</v>
      </c>
      <c r="R188">
        <v>0.2</v>
      </c>
      <c r="S188">
        <v>12.117599999999999</v>
      </c>
      <c r="T188" t="s">
        <v>84</v>
      </c>
      <c r="U188" t="s">
        <v>97</v>
      </c>
    </row>
    <row r="189" spans="1:21" x14ac:dyDescent="0.25">
      <c r="A189" t="s">
        <v>901</v>
      </c>
      <c r="B189" s="1">
        <v>42155</v>
      </c>
      <c r="C189" s="1">
        <v>42162</v>
      </c>
      <c r="D189" t="s">
        <v>40</v>
      </c>
      <c r="E189" t="s">
        <v>902</v>
      </c>
      <c r="F189" t="s">
        <v>903</v>
      </c>
      <c r="G189" t="s">
        <v>101</v>
      </c>
      <c r="H189" t="s">
        <v>26</v>
      </c>
      <c r="I189" t="s">
        <v>904</v>
      </c>
      <c r="J189" t="s">
        <v>430</v>
      </c>
      <c r="K189" t="s">
        <v>68</v>
      </c>
      <c r="L189" t="s">
        <v>447</v>
      </c>
      <c r="M189" t="s">
        <v>31</v>
      </c>
      <c r="N189" t="s">
        <v>57</v>
      </c>
      <c r="O189" t="s">
        <v>448</v>
      </c>
      <c r="P189">
        <v>22.2</v>
      </c>
      <c r="Q189">
        <v>6</v>
      </c>
      <c r="R189">
        <v>0</v>
      </c>
      <c r="S189">
        <v>9.1020000000000003</v>
      </c>
      <c r="T189" t="s">
        <v>48</v>
      </c>
      <c r="U189" t="s">
        <v>162</v>
      </c>
    </row>
    <row r="190" spans="1:21" x14ac:dyDescent="0.25">
      <c r="A190" t="s">
        <v>905</v>
      </c>
      <c r="B190" s="1">
        <v>43066</v>
      </c>
      <c r="C190" s="1">
        <v>43068</v>
      </c>
      <c r="D190" t="s">
        <v>88</v>
      </c>
      <c r="E190" t="s">
        <v>859</v>
      </c>
      <c r="F190" t="s">
        <v>860</v>
      </c>
      <c r="G190" t="s">
        <v>91</v>
      </c>
      <c r="H190" t="s">
        <v>26</v>
      </c>
      <c r="I190" t="s">
        <v>906</v>
      </c>
      <c r="J190" t="s">
        <v>239</v>
      </c>
      <c r="K190" t="s">
        <v>94</v>
      </c>
      <c r="L190" t="s">
        <v>355</v>
      </c>
      <c r="M190" t="s">
        <v>31</v>
      </c>
      <c r="N190" t="s">
        <v>57</v>
      </c>
      <c r="O190" t="s">
        <v>356</v>
      </c>
      <c r="P190">
        <v>46.94</v>
      </c>
      <c r="Q190">
        <v>1</v>
      </c>
      <c r="R190">
        <v>0</v>
      </c>
      <c r="S190">
        <v>19.2454</v>
      </c>
      <c r="T190" t="s">
        <v>71</v>
      </c>
      <c r="U190" t="s">
        <v>35</v>
      </c>
    </row>
    <row r="191" spans="1:21" x14ac:dyDescent="0.25">
      <c r="A191" t="s">
        <v>907</v>
      </c>
      <c r="B191" s="1">
        <v>41805</v>
      </c>
      <c r="C191" s="1">
        <v>41811</v>
      </c>
      <c r="D191" t="s">
        <v>40</v>
      </c>
      <c r="E191" t="s">
        <v>352</v>
      </c>
      <c r="F191" t="s">
        <v>353</v>
      </c>
      <c r="G191" t="s">
        <v>91</v>
      </c>
      <c r="H191" t="s">
        <v>26</v>
      </c>
      <c r="I191" t="s">
        <v>246</v>
      </c>
      <c r="J191" t="s">
        <v>93</v>
      </c>
      <c r="K191" t="s">
        <v>94</v>
      </c>
      <c r="L191" t="s">
        <v>908</v>
      </c>
      <c r="M191" t="s">
        <v>31</v>
      </c>
      <c r="N191" t="s">
        <v>46</v>
      </c>
      <c r="O191" t="s">
        <v>909</v>
      </c>
      <c r="P191">
        <v>99.918000000000006</v>
      </c>
      <c r="Q191">
        <v>2</v>
      </c>
      <c r="R191">
        <v>0.3</v>
      </c>
      <c r="S191">
        <v>-18.5562</v>
      </c>
      <c r="T191" t="s">
        <v>130</v>
      </c>
      <c r="U191" t="s">
        <v>60</v>
      </c>
    </row>
    <row r="192" spans="1:21" x14ac:dyDescent="0.25">
      <c r="A192" t="s">
        <v>907</v>
      </c>
      <c r="B192" s="1">
        <v>41805</v>
      </c>
      <c r="C192" s="1">
        <v>41811</v>
      </c>
      <c r="D192" t="s">
        <v>40</v>
      </c>
      <c r="E192" t="s">
        <v>352</v>
      </c>
      <c r="F192" t="s">
        <v>353</v>
      </c>
      <c r="G192" t="s">
        <v>91</v>
      </c>
      <c r="H192" t="s">
        <v>26</v>
      </c>
      <c r="I192" t="s">
        <v>246</v>
      </c>
      <c r="J192" t="s">
        <v>93</v>
      </c>
      <c r="K192" t="s">
        <v>94</v>
      </c>
      <c r="L192" t="s">
        <v>576</v>
      </c>
      <c r="M192" t="s">
        <v>31</v>
      </c>
      <c r="N192" t="s">
        <v>37</v>
      </c>
      <c r="O192" t="s">
        <v>577</v>
      </c>
      <c r="P192">
        <v>797.94399999999996</v>
      </c>
      <c r="Q192">
        <v>4</v>
      </c>
      <c r="R192">
        <v>0.3</v>
      </c>
      <c r="S192">
        <v>-56.996000000000002</v>
      </c>
      <c r="T192" t="s">
        <v>130</v>
      </c>
      <c r="U192" t="s">
        <v>60</v>
      </c>
    </row>
    <row r="193" spans="1:21" x14ac:dyDescent="0.25">
      <c r="A193" t="s">
        <v>910</v>
      </c>
      <c r="B193" s="1">
        <v>42717</v>
      </c>
      <c r="C193" s="1">
        <v>42724</v>
      </c>
      <c r="D193" t="s">
        <v>40</v>
      </c>
      <c r="E193" t="s">
        <v>911</v>
      </c>
      <c r="F193" t="s">
        <v>912</v>
      </c>
      <c r="G193" t="s">
        <v>91</v>
      </c>
      <c r="H193" t="s">
        <v>26</v>
      </c>
      <c r="I193" t="s">
        <v>913</v>
      </c>
      <c r="J193" t="s">
        <v>54</v>
      </c>
      <c r="K193" t="s">
        <v>55</v>
      </c>
      <c r="L193" t="s">
        <v>45</v>
      </c>
      <c r="M193" t="s">
        <v>31</v>
      </c>
      <c r="N193" t="s">
        <v>46</v>
      </c>
      <c r="O193" t="s">
        <v>47</v>
      </c>
      <c r="P193">
        <v>1114.2719999999999</v>
      </c>
      <c r="Q193">
        <v>4</v>
      </c>
      <c r="R193">
        <v>0.2</v>
      </c>
      <c r="S193">
        <v>41.785200000000003</v>
      </c>
      <c r="T193" t="s">
        <v>48</v>
      </c>
      <c r="U193" t="s">
        <v>97</v>
      </c>
    </row>
    <row r="194" spans="1:21" x14ac:dyDescent="0.25">
      <c r="A194" t="s">
        <v>914</v>
      </c>
      <c r="B194" s="1">
        <v>42211</v>
      </c>
      <c r="C194" s="1">
        <v>42213</v>
      </c>
      <c r="D194" t="s">
        <v>88</v>
      </c>
      <c r="E194" t="s">
        <v>619</v>
      </c>
      <c r="F194" t="s">
        <v>620</v>
      </c>
      <c r="G194" t="s">
        <v>25</v>
      </c>
      <c r="H194" t="s">
        <v>26</v>
      </c>
      <c r="I194" t="s">
        <v>915</v>
      </c>
      <c r="J194" t="s">
        <v>521</v>
      </c>
      <c r="K194" t="s">
        <v>55</v>
      </c>
      <c r="L194" t="s">
        <v>916</v>
      </c>
      <c r="M194" t="s">
        <v>31</v>
      </c>
      <c r="N194" t="s">
        <v>46</v>
      </c>
      <c r="O194" t="s">
        <v>917</v>
      </c>
      <c r="P194">
        <v>393.16500000000002</v>
      </c>
      <c r="Q194">
        <v>3</v>
      </c>
      <c r="R194">
        <v>0.5</v>
      </c>
      <c r="S194">
        <v>-204.44579999999999</v>
      </c>
      <c r="T194" t="s">
        <v>71</v>
      </c>
      <c r="U194" t="s">
        <v>72</v>
      </c>
    </row>
    <row r="195" spans="1:21" x14ac:dyDescent="0.25">
      <c r="A195" t="s">
        <v>918</v>
      </c>
      <c r="B195" s="1">
        <v>43067</v>
      </c>
      <c r="C195" s="1">
        <v>43071</v>
      </c>
      <c r="D195" t="s">
        <v>40</v>
      </c>
      <c r="E195" t="s">
        <v>919</v>
      </c>
      <c r="F195" t="s">
        <v>920</v>
      </c>
      <c r="G195" t="s">
        <v>101</v>
      </c>
      <c r="H195" t="s">
        <v>26</v>
      </c>
      <c r="I195" t="s">
        <v>66</v>
      </c>
      <c r="J195" t="s">
        <v>67</v>
      </c>
      <c r="K195" t="s">
        <v>68</v>
      </c>
      <c r="L195" t="s">
        <v>921</v>
      </c>
      <c r="M195" t="s">
        <v>31</v>
      </c>
      <c r="N195" t="s">
        <v>57</v>
      </c>
      <c r="O195" t="s">
        <v>922</v>
      </c>
      <c r="P195">
        <v>516.48800000000006</v>
      </c>
      <c r="Q195">
        <v>7</v>
      </c>
      <c r="R195">
        <v>0.2</v>
      </c>
      <c r="S195">
        <v>-12.9122</v>
      </c>
      <c r="T195" t="s">
        <v>84</v>
      </c>
      <c r="U195" t="s">
        <v>35</v>
      </c>
    </row>
    <row r="196" spans="1:21" x14ac:dyDescent="0.25">
      <c r="A196" t="s">
        <v>918</v>
      </c>
      <c r="B196" s="1">
        <v>43067</v>
      </c>
      <c r="C196" s="1">
        <v>43071</v>
      </c>
      <c r="D196" t="s">
        <v>40</v>
      </c>
      <c r="E196" t="s">
        <v>919</v>
      </c>
      <c r="F196" t="s">
        <v>920</v>
      </c>
      <c r="G196" t="s">
        <v>101</v>
      </c>
      <c r="H196" t="s">
        <v>26</v>
      </c>
      <c r="I196" t="s">
        <v>66</v>
      </c>
      <c r="J196" t="s">
        <v>67</v>
      </c>
      <c r="K196" t="s">
        <v>68</v>
      </c>
      <c r="L196" t="s">
        <v>314</v>
      </c>
      <c r="M196" t="s">
        <v>31</v>
      </c>
      <c r="N196" t="s">
        <v>57</v>
      </c>
      <c r="O196" t="s">
        <v>315</v>
      </c>
      <c r="P196">
        <v>1007.232</v>
      </c>
      <c r="Q196">
        <v>6</v>
      </c>
      <c r="R196">
        <v>0.2</v>
      </c>
      <c r="S196">
        <v>75.542400000000001</v>
      </c>
      <c r="T196" t="s">
        <v>84</v>
      </c>
      <c r="U196" t="s">
        <v>35</v>
      </c>
    </row>
    <row r="197" spans="1:21" x14ac:dyDescent="0.25">
      <c r="A197" t="s">
        <v>918</v>
      </c>
      <c r="B197" s="1">
        <v>43067</v>
      </c>
      <c r="C197" s="1">
        <v>43071</v>
      </c>
      <c r="D197" t="s">
        <v>40</v>
      </c>
      <c r="E197" t="s">
        <v>919</v>
      </c>
      <c r="F197" t="s">
        <v>920</v>
      </c>
      <c r="G197" t="s">
        <v>101</v>
      </c>
      <c r="H197" t="s">
        <v>26</v>
      </c>
      <c r="I197" t="s">
        <v>66</v>
      </c>
      <c r="J197" t="s">
        <v>67</v>
      </c>
      <c r="K197" t="s">
        <v>68</v>
      </c>
      <c r="L197" t="s">
        <v>923</v>
      </c>
      <c r="M197" t="s">
        <v>31</v>
      </c>
      <c r="N197" t="s">
        <v>46</v>
      </c>
      <c r="O197" t="s">
        <v>924</v>
      </c>
      <c r="P197">
        <v>2065.3200000000002</v>
      </c>
      <c r="Q197">
        <v>12</v>
      </c>
      <c r="R197">
        <v>0.4</v>
      </c>
      <c r="S197">
        <v>-619.596</v>
      </c>
      <c r="T197" t="s">
        <v>84</v>
      </c>
      <c r="U197" t="s">
        <v>35</v>
      </c>
    </row>
    <row r="198" spans="1:21" x14ac:dyDescent="0.25">
      <c r="A198" t="s">
        <v>925</v>
      </c>
      <c r="B198" s="1">
        <v>42828</v>
      </c>
      <c r="C198" s="1">
        <v>42832</v>
      </c>
      <c r="D198" t="s">
        <v>40</v>
      </c>
      <c r="E198" t="s">
        <v>926</v>
      </c>
      <c r="F198" t="s">
        <v>927</v>
      </c>
      <c r="G198" t="s">
        <v>25</v>
      </c>
      <c r="H198" t="s">
        <v>26</v>
      </c>
      <c r="I198" t="s">
        <v>66</v>
      </c>
      <c r="J198" t="s">
        <v>67</v>
      </c>
      <c r="K198" t="s">
        <v>68</v>
      </c>
      <c r="L198" t="s">
        <v>928</v>
      </c>
      <c r="M198" t="s">
        <v>31</v>
      </c>
      <c r="N198" t="s">
        <v>57</v>
      </c>
      <c r="O198" t="s">
        <v>317</v>
      </c>
      <c r="P198">
        <v>25.472000000000001</v>
      </c>
      <c r="Q198">
        <v>4</v>
      </c>
      <c r="R198">
        <v>0.2</v>
      </c>
      <c r="S198">
        <v>7.6416000000000004</v>
      </c>
      <c r="T198" t="s">
        <v>84</v>
      </c>
      <c r="U198" t="s">
        <v>114</v>
      </c>
    </row>
    <row r="199" spans="1:21" x14ac:dyDescent="0.25">
      <c r="A199" t="s">
        <v>929</v>
      </c>
      <c r="B199" s="1">
        <v>43097</v>
      </c>
      <c r="C199" s="1">
        <v>43101</v>
      </c>
      <c r="D199" t="s">
        <v>40</v>
      </c>
      <c r="E199" t="s">
        <v>930</v>
      </c>
      <c r="F199" t="s">
        <v>931</v>
      </c>
      <c r="G199" t="s">
        <v>25</v>
      </c>
      <c r="H199" t="s">
        <v>26</v>
      </c>
      <c r="I199" t="s">
        <v>932</v>
      </c>
      <c r="J199" t="s">
        <v>93</v>
      </c>
      <c r="K199" t="s">
        <v>94</v>
      </c>
      <c r="L199" t="s">
        <v>349</v>
      </c>
      <c r="M199" t="s">
        <v>31</v>
      </c>
      <c r="N199" t="s">
        <v>32</v>
      </c>
      <c r="O199" t="s">
        <v>350</v>
      </c>
      <c r="P199">
        <v>78.852800000000002</v>
      </c>
      <c r="Q199">
        <v>2</v>
      </c>
      <c r="R199">
        <v>0.32</v>
      </c>
      <c r="S199">
        <v>-11.596</v>
      </c>
      <c r="T199" t="s">
        <v>84</v>
      </c>
      <c r="U199" t="s">
        <v>97</v>
      </c>
    </row>
    <row r="200" spans="1:21" x14ac:dyDescent="0.25">
      <c r="A200" t="s">
        <v>933</v>
      </c>
      <c r="B200" s="1">
        <v>42269</v>
      </c>
      <c r="C200" s="1">
        <v>42269</v>
      </c>
      <c r="D200" t="s">
        <v>426</v>
      </c>
      <c r="E200" t="s">
        <v>934</v>
      </c>
      <c r="F200" t="s">
        <v>935</v>
      </c>
      <c r="G200" t="s">
        <v>25</v>
      </c>
      <c r="H200" t="s">
        <v>26</v>
      </c>
      <c r="I200" t="s">
        <v>762</v>
      </c>
      <c r="J200" t="s">
        <v>54</v>
      </c>
      <c r="K200" t="s">
        <v>55</v>
      </c>
      <c r="L200" t="s">
        <v>936</v>
      </c>
      <c r="M200" t="s">
        <v>31</v>
      </c>
      <c r="N200" t="s">
        <v>57</v>
      </c>
      <c r="O200" t="s">
        <v>937</v>
      </c>
      <c r="P200">
        <v>204.6</v>
      </c>
      <c r="Q200">
        <v>2</v>
      </c>
      <c r="R200">
        <v>0</v>
      </c>
      <c r="S200">
        <v>53.195999999999998</v>
      </c>
      <c r="T200" t="s">
        <v>431</v>
      </c>
      <c r="U200" t="s">
        <v>78</v>
      </c>
    </row>
    <row r="201" spans="1:21" x14ac:dyDescent="0.25">
      <c r="A201" t="s">
        <v>938</v>
      </c>
      <c r="B201" s="1">
        <v>43053</v>
      </c>
      <c r="C201" s="1">
        <v>43058</v>
      </c>
      <c r="D201" t="s">
        <v>40</v>
      </c>
      <c r="E201" t="s">
        <v>939</v>
      </c>
      <c r="F201" t="s">
        <v>940</v>
      </c>
      <c r="G201" t="s">
        <v>91</v>
      </c>
      <c r="H201" t="s">
        <v>26</v>
      </c>
      <c r="I201" t="s">
        <v>329</v>
      </c>
      <c r="J201" t="s">
        <v>54</v>
      </c>
      <c r="K201" t="s">
        <v>55</v>
      </c>
      <c r="L201" t="s">
        <v>330</v>
      </c>
      <c r="M201" t="s">
        <v>31</v>
      </c>
      <c r="N201" t="s">
        <v>37</v>
      </c>
      <c r="O201" t="s">
        <v>331</v>
      </c>
      <c r="P201">
        <v>321.56799999999998</v>
      </c>
      <c r="Q201">
        <v>2</v>
      </c>
      <c r="R201">
        <v>0.2</v>
      </c>
      <c r="S201">
        <v>28.1372</v>
      </c>
      <c r="T201" t="s">
        <v>59</v>
      </c>
      <c r="U201" t="s">
        <v>35</v>
      </c>
    </row>
    <row r="202" spans="1:21" x14ac:dyDescent="0.25">
      <c r="A202" t="s">
        <v>941</v>
      </c>
      <c r="B202" s="1">
        <v>41655</v>
      </c>
      <c r="C202" s="1">
        <v>41657</v>
      </c>
      <c r="D202" t="s">
        <v>22</v>
      </c>
      <c r="E202" t="s">
        <v>942</v>
      </c>
      <c r="F202" t="s">
        <v>943</v>
      </c>
      <c r="G202" t="s">
        <v>25</v>
      </c>
      <c r="H202" t="s">
        <v>26</v>
      </c>
      <c r="I202" t="s">
        <v>66</v>
      </c>
      <c r="J202" t="s">
        <v>67</v>
      </c>
      <c r="K202" t="s">
        <v>68</v>
      </c>
      <c r="L202" t="s">
        <v>944</v>
      </c>
      <c r="M202" t="s">
        <v>31</v>
      </c>
      <c r="N202" t="s">
        <v>57</v>
      </c>
      <c r="O202" t="s">
        <v>945</v>
      </c>
      <c r="P202">
        <v>127.104</v>
      </c>
      <c r="Q202">
        <v>6</v>
      </c>
      <c r="R202">
        <v>0.2</v>
      </c>
      <c r="S202">
        <v>28.598400000000002</v>
      </c>
      <c r="T202" t="s">
        <v>71</v>
      </c>
      <c r="U202" t="s">
        <v>170</v>
      </c>
    </row>
    <row r="203" spans="1:21" x14ac:dyDescent="0.25">
      <c r="A203" t="s">
        <v>946</v>
      </c>
      <c r="B203" s="1">
        <v>42646</v>
      </c>
      <c r="C203" s="1">
        <v>42651</v>
      </c>
      <c r="D203" t="s">
        <v>40</v>
      </c>
      <c r="E203" t="s">
        <v>74</v>
      </c>
      <c r="F203" t="s">
        <v>75</v>
      </c>
      <c r="G203" t="s">
        <v>25</v>
      </c>
      <c r="H203" t="s">
        <v>26</v>
      </c>
      <c r="I203" t="s">
        <v>174</v>
      </c>
      <c r="J203" t="s">
        <v>121</v>
      </c>
      <c r="K203" t="s">
        <v>68</v>
      </c>
      <c r="L203" t="s">
        <v>822</v>
      </c>
      <c r="M203" t="s">
        <v>31</v>
      </c>
      <c r="N203" t="s">
        <v>37</v>
      </c>
      <c r="O203" t="s">
        <v>823</v>
      </c>
      <c r="P203">
        <v>599.29200000000003</v>
      </c>
      <c r="Q203">
        <v>6</v>
      </c>
      <c r="R203">
        <v>0.1</v>
      </c>
      <c r="S203">
        <v>93.223200000000006</v>
      </c>
      <c r="T203" t="s">
        <v>59</v>
      </c>
      <c r="U203" t="s">
        <v>49</v>
      </c>
    </row>
    <row r="204" spans="1:21" x14ac:dyDescent="0.25">
      <c r="A204" t="s">
        <v>947</v>
      </c>
      <c r="B204" s="1">
        <v>41954</v>
      </c>
      <c r="C204" s="1">
        <v>41957</v>
      </c>
      <c r="D204" t="s">
        <v>22</v>
      </c>
      <c r="E204" t="s">
        <v>948</v>
      </c>
      <c r="F204" t="s">
        <v>949</v>
      </c>
      <c r="G204" t="s">
        <v>25</v>
      </c>
      <c r="H204" t="s">
        <v>26</v>
      </c>
      <c r="I204" t="s">
        <v>866</v>
      </c>
      <c r="J204" t="s">
        <v>181</v>
      </c>
      <c r="K204" t="s">
        <v>55</v>
      </c>
      <c r="L204" t="s">
        <v>856</v>
      </c>
      <c r="M204" t="s">
        <v>31</v>
      </c>
      <c r="N204" t="s">
        <v>37</v>
      </c>
      <c r="O204" t="s">
        <v>857</v>
      </c>
      <c r="P204">
        <v>603.91999999999996</v>
      </c>
      <c r="Q204">
        <v>5</v>
      </c>
      <c r="R204">
        <v>0.2</v>
      </c>
      <c r="S204">
        <v>75.489999999999995</v>
      </c>
      <c r="T204" t="s">
        <v>34</v>
      </c>
      <c r="U204" t="s">
        <v>35</v>
      </c>
    </row>
    <row r="205" spans="1:21" x14ac:dyDescent="0.25">
      <c r="A205" t="s">
        <v>950</v>
      </c>
      <c r="B205" s="1">
        <v>42876</v>
      </c>
      <c r="C205" s="1">
        <v>42881</v>
      </c>
      <c r="D205" t="s">
        <v>40</v>
      </c>
      <c r="E205" t="s">
        <v>951</v>
      </c>
      <c r="F205" t="s">
        <v>952</v>
      </c>
      <c r="G205" t="s">
        <v>91</v>
      </c>
      <c r="H205" t="s">
        <v>26</v>
      </c>
      <c r="I205" t="s">
        <v>953</v>
      </c>
      <c r="J205" t="s">
        <v>121</v>
      </c>
      <c r="K205" t="s">
        <v>68</v>
      </c>
      <c r="L205" t="s">
        <v>718</v>
      </c>
      <c r="M205" t="s">
        <v>31</v>
      </c>
      <c r="N205" t="s">
        <v>57</v>
      </c>
      <c r="O205" t="s">
        <v>719</v>
      </c>
      <c r="P205">
        <v>520.04999999999995</v>
      </c>
      <c r="Q205">
        <v>5</v>
      </c>
      <c r="R205">
        <v>0</v>
      </c>
      <c r="S205">
        <v>72.807000000000002</v>
      </c>
      <c r="T205" t="s">
        <v>59</v>
      </c>
      <c r="U205" t="s">
        <v>162</v>
      </c>
    </row>
    <row r="206" spans="1:21" x14ac:dyDescent="0.25">
      <c r="A206" t="s">
        <v>954</v>
      </c>
      <c r="B206" s="1">
        <v>42092</v>
      </c>
      <c r="C206" s="1">
        <v>42094</v>
      </c>
      <c r="D206" t="s">
        <v>22</v>
      </c>
      <c r="E206" t="s">
        <v>955</v>
      </c>
      <c r="F206" t="s">
        <v>956</v>
      </c>
      <c r="G206" t="s">
        <v>101</v>
      </c>
      <c r="H206" t="s">
        <v>26</v>
      </c>
      <c r="I206" t="s">
        <v>607</v>
      </c>
      <c r="J206" t="s">
        <v>44</v>
      </c>
      <c r="K206" t="s">
        <v>29</v>
      </c>
      <c r="L206" t="s">
        <v>382</v>
      </c>
      <c r="M206" t="s">
        <v>31</v>
      </c>
      <c r="N206" t="s">
        <v>37</v>
      </c>
      <c r="O206" t="s">
        <v>383</v>
      </c>
      <c r="P206">
        <v>1166.92</v>
      </c>
      <c r="Q206">
        <v>5</v>
      </c>
      <c r="R206">
        <v>0.2</v>
      </c>
      <c r="S206">
        <v>131.27850000000001</v>
      </c>
      <c r="T206" t="s">
        <v>71</v>
      </c>
      <c r="U206" t="s">
        <v>196</v>
      </c>
    </row>
    <row r="207" spans="1:21" x14ac:dyDescent="0.25">
      <c r="A207" t="s">
        <v>957</v>
      </c>
      <c r="B207" s="1">
        <v>42305</v>
      </c>
      <c r="C207" s="1">
        <v>42311</v>
      </c>
      <c r="D207" t="s">
        <v>40</v>
      </c>
      <c r="E207" t="s">
        <v>958</v>
      </c>
      <c r="F207" t="s">
        <v>959</v>
      </c>
      <c r="G207" t="s">
        <v>25</v>
      </c>
      <c r="H207" t="s">
        <v>26</v>
      </c>
      <c r="I207" t="s">
        <v>27</v>
      </c>
      <c r="J207" t="s">
        <v>28</v>
      </c>
      <c r="K207" t="s">
        <v>29</v>
      </c>
      <c r="L207" t="s">
        <v>960</v>
      </c>
      <c r="M207" t="s">
        <v>31</v>
      </c>
      <c r="N207" t="s">
        <v>57</v>
      </c>
      <c r="O207" t="s">
        <v>961</v>
      </c>
      <c r="P207">
        <v>24.1</v>
      </c>
      <c r="Q207">
        <v>5</v>
      </c>
      <c r="R207">
        <v>0</v>
      </c>
      <c r="S207">
        <v>9.1579999999999995</v>
      </c>
      <c r="T207" t="s">
        <v>130</v>
      </c>
      <c r="U207" t="s">
        <v>49</v>
      </c>
    </row>
    <row r="208" spans="1:21" x14ac:dyDescent="0.25">
      <c r="A208" t="s">
        <v>957</v>
      </c>
      <c r="B208" s="1">
        <v>42305</v>
      </c>
      <c r="C208" s="1">
        <v>42311</v>
      </c>
      <c r="D208" t="s">
        <v>40</v>
      </c>
      <c r="E208" t="s">
        <v>958</v>
      </c>
      <c r="F208" t="s">
        <v>959</v>
      </c>
      <c r="G208" t="s">
        <v>25</v>
      </c>
      <c r="H208" t="s">
        <v>26</v>
      </c>
      <c r="I208" t="s">
        <v>27</v>
      </c>
      <c r="J208" t="s">
        <v>28</v>
      </c>
      <c r="K208" t="s">
        <v>29</v>
      </c>
      <c r="L208" t="s">
        <v>380</v>
      </c>
      <c r="M208" t="s">
        <v>31</v>
      </c>
      <c r="N208" t="s">
        <v>57</v>
      </c>
      <c r="O208" t="s">
        <v>381</v>
      </c>
      <c r="P208">
        <v>33.11</v>
      </c>
      <c r="Q208">
        <v>7</v>
      </c>
      <c r="R208">
        <v>0</v>
      </c>
      <c r="S208">
        <v>12.9129</v>
      </c>
      <c r="T208" t="s">
        <v>130</v>
      </c>
      <c r="U208" t="s">
        <v>49</v>
      </c>
    </row>
    <row r="209" spans="1:21" x14ac:dyDescent="0.25">
      <c r="A209" t="s">
        <v>962</v>
      </c>
      <c r="B209" s="1">
        <v>42216</v>
      </c>
      <c r="C209" s="1">
        <v>42216</v>
      </c>
      <c r="D209" t="s">
        <v>426</v>
      </c>
      <c r="E209" t="s">
        <v>963</v>
      </c>
      <c r="F209" t="s">
        <v>964</v>
      </c>
      <c r="G209" t="s">
        <v>25</v>
      </c>
      <c r="H209" t="s">
        <v>26</v>
      </c>
      <c r="I209" t="s">
        <v>174</v>
      </c>
      <c r="J209" t="s">
        <v>121</v>
      </c>
      <c r="K209" t="s">
        <v>68</v>
      </c>
      <c r="L209" t="s">
        <v>343</v>
      </c>
      <c r="M209" t="s">
        <v>31</v>
      </c>
      <c r="N209" t="s">
        <v>46</v>
      </c>
      <c r="O209" t="s">
        <v>344</v>
      </c>
      <c r="P209">
        <v>1090.7819999999999</v>
      </c>
      <c r="Q209">
        <v>7</v>
      </c>
      <c r="R209">
        <v>0.4</v>
      </c>
      <c r="S209">
        <v>-290.87520000000001</v>
      </c>
      <c r="T209" t="s">
        <v>431</v>
      </c>
      <c r="U209" t="s">
        <v>72</v>
      </c>
    </row>
    <row r="210" spans="1:21" x14ac:dyDescent="0.25">
      <c r="A210" t="s">
        <v>965</v>
      </c>
      <c r="B210" s="1">
        <v>41967</v>
      </c>
      <c r="C210" s="1">
        <v>41969</v>
      </c>
      <c r="D210" t="s">
        <v>88</v>
      </c>
      <c r="E210" t="s">
        <v>966</v>
      </c>
      <c r="F210" t="s">
        <v>967</v>
      </c>
      <c r="G210" t="s">
        <v>25</v>
      </c>
      <c r="H210" t="s">
        <v>26</v>
      </c>
      <c r="I210" t="s">
        <v>640</v>
      </c>
      <c r="J210" t="s">
        <v>54</v>
      </c>
      <c r="K210" t="s">
        <v>55</v>
      </c>
      <c r="L210" t="s">
        <v>968</v>
      </c>
      <c r="M210" t="s">
        <v>31</v>
      </c>
      <c r="N210" t="s">
        <v>57</v>
      </c>
      <c r="O210" t="s">
        <v>969</v>
      </c>
      <c r="P210">
        <v>151.72</v>
      </c>
      <c r="Q210">
        <v>4</v>
      </c>
      <c r="R210">
        <v>0</v>
      </c>
      <c r="S210">
        <v>27.3096</v>
      </c>
      <c r="T210" t="s">
        <v>71</v>
      </c>
      <c r="U210" t="s">
        <v>35</v>
      </c>
    </row>
    <row r="211" spans="1:21" x14ac:dyDescent="0.25">
      <c r="A211" t="s">
        <v>970</v>
      </c>
      <c r="B211" s="1">
        <v>42903</v>
      </c>
      <c r="C211" s="1">
        <v>42907</v>
      </c>
      <c r="D211" t="s">
        <v>22</v>
      </c>
      <c r="E211" t="s">
        <v>210</v>
      </c>
      <c r="F211" t="s">
        <v>211</v>
      </c>
      <c r="G211" t="s">
        <v>25</v>
      </c>
      <c r="H211" t="s">
        <v>26</v>
      </c>
      <c r="I211" t="s">
        <v>971</v>
      </c>
      <c r="J211" t="s">
        <v>193</v>
      </c>
      <c r="K211" t="s">
        <v>55</v>
      </c>
      <c r="L211" t="s">
        <v>85</v>
      </c>
      <c r="M211" t="s">
        <v>31</v>
      </c>
      <c r="N211" t="s">
        <v>57</v>
      </c>
      <c r="O211" t="s">
        <v>86</v>
      </c>
      <c r="P211">
        <v>155.25</v>
      </c>
      <c r="Q211">
        <v>3</v>
      </c>
      <c r="R211">
        <v>0</v>
      </c>
      <c r="S211">
        <v>46.575000000000003</v>
      </c>
      <c r="T211" t="s">
        <v>84</v>
      </c>
      <c r="U211" t="s">
        <v>60</v>
      </c>
    </row>
    <row r="212" spans="1:21" x14ac:dyDescent="0.25">
      <c r="A212" t="s">
        <v>972</v>
      </c>
      <c r="B212" s="1">
        <v>42359</v>
      </c>
      <c r="C212" s="1">
        <v>42362</v>
      </c>
      <c r="D212" t="s">
        <v>22</v>
      </c>
      <c r="E212" t="s">
        <v>973</v>
      </c>
      <c r="F212" t="s">
        <v>974</v>
      </c>
      <c r="G212" t="s">
        <v>25</v>
      </c>
      <c r="H212" t="s">
        <v>26</v>
      </c>
      <c r="I212" t="s">
        <v>192</v>
      </c>
      <c r="J212" t="s">
        <v>193</v>
      </c>
      <c r="K212" t="s">
        <v>55</v>
      </c>
      <c r="L212" t="s">
        <v>291</v>
      </c>
      <c r="M212" t="s">
        <v>31</v>
      </c>
      <c r="N212" t="s">
        <v>46</v>
      </c>
      <c r="O212" t="s">
        <v>292</v>
      </c>
      <c r="P212">
        <v>1618.37</v>
      </c>
      <c r="Q212">
        <v>13</v>
      </c>
      <c r="R212">
        <v>0</v>
      </c>
      <c r="S212">
        <v>356.04140000000001</v>
      </c>
      <c r="T212" t="s">
        <v>34</v>
      </c>
      <c r="U212" t="s">
        <v>97</v>
      </c>
    </row>
    <row r="213" spans="1:21" x14ac:dyDescent="0.25">
      <c r="A213" t="s">
        <v>975</v>
      </c>
      <c r="B213" s="1">
        <v>42191</v>
      </c>
      <c r="C213" s="1">
        <v>42195</v>
      </c>
      <c r="D213" t="s">
        <v>40</v>
      </c>
      <c r="E213" t="s">
        <v>976</v>
      </c>
      <c r="F213" t="s">
        <v>977</v>
      </c>
      <c r="G213" t="s">
        <v>91</v>
      </c>
      <c r="H213" t="s">
        <v>26</v>
      </c>
      <c r="I213" t="s">
        <v>174</v>
      </c>
      <c r="J213" t="s">
        <v>121</v>
      </c>
      <c r="K213" t="s">
        <v>68</v>
      </c>
      <c r="L213" t="s">
        <v>978</v>
      </c>
      <c r="M213" t="s">
        <v>31</v>
      </c>
      <c r="N213" t="s">
        <v>57</v>
      </c>
      <c r="O213" t="s">
        <v>979</v>
      </c>
      <c r="P213">
        <v>13.96</v>
      </c>
      <c r="Q213">
        <v>2</v>
      </c>
      <c r="R213">
        <v>0</v>
      </c>
      <c r="S213">
        <v>6.7008000000000001</v>
      </c>
      <c r="T213" t="s">
        <v>84</v>
      </c>
      <c r="U213" t="s">
        <v>72</v>
      </c>
    </row>
    <row r="214" spans="1:21" x14ac:dyDescent="0.25">
      <c r="A214" t="s">
        <v>975</v>
      </c>
      <c r="B214" s="1">
        <v>42191</v>
      </c>
      <c r="C214" s="1">
        <v>42195</v>
      </c>
      <c r="D214" t="s">
        <v>40</v>
      </c>
      <c r="E214" t="s">
        <v>976</v>
      </c>
      <c r="F214" t="s">
        <v>977</v>
      </c>
      <c r="G214" t="s">
        <v>91</v>
      </c>
      <c r="H214" t="s">
        <v>26</v>
      </c>
      <c r="I214" t="s">
        <v>174</v>
      </c>
      <c r="J214" t="s">
        <v>121</v>
      </c>
      <c r="K214" t="s">
        <v>68</v>
      </c>
      <c r="L214" t="s">
        <v>880</v>
      </c>
      <c r="M214" t="s">
        <v>31</v>
      </c>
      <c r="N214" t="s">
        <v>57</v>
      </c>
      <c r="O214" t="s">
        <v>881</v>
      </c>
      <c r="P214">
        <v>155.82</v>
      </c>
      <c r="Q214">
        <v>3</v>
      </c>
      <c r="R214">
        <v>0</v>
      </c>
      <c r="S214">
        <v>63.886200000000002</v>
      </c>
      <c r="T214" t="s">
        <v>84</v>
      </c>
      <c r="U214" t="s">
        <v>72</v>
      </c>
    </row>
    <row r="215" spans="1:21" x14ac:dyDescent="0.25">
      <c r="A215" t="s">
        <v>980</v>
      </c>
      <c r="B215" s="1">
        <v>42121</v>
      </c>
      <c r="C215" s="1">
        <v>42127</v>
      </c>
      <c r="D215" t="s">
        <v>40</v>
      </c>
      <c r="E215" t="s">
        <v>874</v>
      </c>
      <c r="F215" t="s">
        <v>875</v>
      </c>
      <c r="G215" t="s">
        <v>25</v>
      </c>
      <c r="H215" t="s">
        <v>26</v>
      </c>
      <c r="I215" t="s">
        <v>193</v>
      </c>
      <c r="J215" t="s">
        <v>981</v>
      </c>
      <c r="K215" t="s">
        <v>68</v>
      </c>
      <c r="L215" t="s">
        <v>982</v>
      </c>
      <c r="M215" t="s">
        <v>31</v>
      </c>
      <c r="N215" t="s">
        <v>37</v>
      </c>
      <c r="O215" t="s">
        <v>983</v>
      </c>
      <c r="P215">
        <v>1267.53</v>
      </c>
      <c r="Q215">
        <v>3</v>
      </c>
      <c r="R215">
        <v>0</v>
      </c>
      <c r="S215">
        <v>316.88249999999999</v>
      </c>
      <c r="T215" t="s">
        <v>130</v>
      </c>
      <c r="U215" t="s">
        <v>114</v>
      </c>
    </row>
    <row r="216" spans="1:21" x14ac:dyDescent="0.25">
      <c r="A216" t="s">
        <v>984</v>
      </c>
      <c r="B216" s="1">
        <v>41831</v>
      </c>
      <c r="C216" s="1">
        <v>41835</v>
      </c>
      <c r="D216" t="s">
        <v>40</v>
      </c>
      <c r="E216" t="s">
        <v>985</v>
      </c>
      <c r="F216" t="s">
        <v>986</v>
      </c>
      <c r="G216" t="s">
        <v>91</v>
      </c>
      <c r="H216" t="s">
        <v>26</v>
      </c>
      <c r="I216" t="s">
        <v>389</v>
      </c>
      <c r="J216" t="s">
        <v>363</v>
      </c>
      <c r="K216" t="s">
        <v>68</v>
      </c>
      <c r="L216" t="s">
        <v>576</v>
      </c>
      <c r="M216" t="s">
        <v>31</v>
      </c>
      <c r="N216" t="s">
        <v>37</v>
      </c>
      <c r="O216" t="s">
        <v>577</v>
      </c>
      <c r="P216">
        <v>854.94</v>
      </c>
      <c r="Q216">
        <v>3</v>
      </c>
      <c r="R216">
        <v>0</v>
      </c>
      <c r="S216">
        <v>213.73500000000001</v>
      </c>
      <c r="T216" t="s">
        <v>84</v>
      </c>
      <c r="U216" t="s">
        <v>72</v>
      </c>
    </row>
    <row r="217" spans="1:21" x14ac:dyDescent="0.25">
      <c r="A217" t="s">
        <v>984</v>
      </c>
      <c r="B217" s="1">
        <v>41831</v>
      </c>
      <c r="C217" s="1">
        <v>41835</v>
      </c>
      <c r="D217" t="s">
        <v>40</v>
      </c>
      <c r="E217" t="s">
        <v>985</v>
      </c>
      <c r="F217" t="s">
        <v>986</v>
      </c>
      <c r="G217" t="s">
        <v>91</v>
      </c>
      <c r="H217" t="s">
        <v>26</v>
      </c>
      <c r="I217" t="s">
        <v>389</v>
      </c>
      <c r="J217" t="s">
        <v>363</v>
      </c>
      <c r="K217" t="s">
        <v>68</v>
      </c>
      <c r="L217" t="s">
        <v>175</v>
      </c>
      <c r="M217" t="s">
        <v>31</v>
      </c>
      <c r="N217" t="s">
        <v>57</v>
      </c>
      <c r="O217" t="s">
        <v>176</v>
      </c>
      <c r="P217">
        <v>124.11</v>
      </c>
      <c r="Q217">
        <v>9</v>
      </c>
      <c r="R217">
        <v>0</v>
      </c>
      <c r="S217">
        <v>52.126199999999997</v>
      </c>
      <c r="T217" t="s">
        <v>84</v>
      </c>
      <c r="U217" t="s">
        <v>72</v>
      </c>
    </row>
    <row r="218" spans="1:21" x14ac:dyDescent="0.25">
      <c r="A218" t="s">
        <v>987</v>
      </c>
      <c r="B218" s="1">
        <v>42482</v>
      </c>
      <c r="C218" s="1">
        <v>42486</v>
      </c>
      <c r="D218" t="s">
        <v>40</v>
      </c>
      <c r="E218" t="s">
        <v>988</v>
      </c>
      <c r="F218" t="s">
        <v>989</v>
      </c>
      <c r="G218" t="s">
        <v>101</v>
      </c>
      <c r="H218" t="s">
        <v>26</v>
      </c>
      <c r="I218" t="s">
        <v>990</v>
      </c>
      <c r="J218" t="s">
        <v>566</v>
      </c>
      <c r="K218" t="s">
        <v>94</v>
      </c>
      <c r="L218" t="s">
        <v>991</v>
      </c>
      <c r="M218" t="s">
        <v>31</v>
      </c>
      <c r="N218" t="s">
        <v>57</v>
      </c>
      <c r="O218" t="s">
        <v>992</v>
      </c>
      <c r="P218">
        <v>86.62</v>
      </c>
      <c r="Q218">
        <v>2</v>
      </c>
      <c r="R218">
        <v>0</v>
      </c>
      <c r="S218">
        <v>8.6620000000000008</v>
      </c>
      <c r="T218" t="s">
        <v>84</v>
      </c>
      <c r="U218" t="s">
        <v>114</v>
      </c>
    </row>
    <row r="219" spans="1:21" x14ac:dyDescent="0.25">
      <c r="A219" t="s">
        <v>993</v>
      </c>
      <c r="B219" s="1">
        <v>42449</v>
      </c>
      <c r="C219" s="1">
        <v>42453</v>
      </c>
      <c r="D219" t="s">
        <v>40</v>
      </c>
      <c r="E219" t="s">
        <v>994</v>
      </c>
      <c r="F219" t="s">
        <v>995</v>
      </c>
      <c r="G219" t="s">
        <v>101</v>
      </c>
      <c r="H219" t="s">
        <v>26</v>
      </c>
      <c r="I219" t="s">
        <v>996</v>
      </c>
      <c r="J219" t="s">
        <v>566</v>
      </c>
      <c r="K219" t="s">
        <v>94</v>
      </c>
      <c r="L219" t="s">
        <v>785</v>
      </c>
      <c r="M219" t="s">
        <v>31</v>
      </c>
      <c r="N219" t="s">
        <v>46</v>
      </c>
      <c r="O219" t="s">
        <v>786</v>
      </c>
      <c r="P219">
        <v>697.16</v>
      </c>
      <c r="Q219">
        <v>4</v>
      </c>
      <c r="R219">
        <v>0</v>
      </c>
      <c r="S219">
        <v>146.40360000000001</v>
      </c>
      <c r="T219" t="s">
        <v>84</v>
      </c>
      <c r="U219" t="s">
        <v>196</v>
      </c>
    </row>
    <row r="220" spans="1:21" x14ac:dyDescent="0.25">
      <c r="A220" t="s">
        <v>997</v>
      </c>
      <c r="B220" s="1">
        <v>42619</v>
      </c>
      <c r="C220" s="1">
        <v>42622</v>
      </c>
      <c r="D220" t="s">
        <v>22</v>
      </c>
      <c r="E220" t="s">
        <v>998</v>
      </c>
      <c r="F220" t="s">
        <v>999</v>
      </c>
      <c r="G220" t="s">
        <v>25</v>
      </c>
      <c r="H220" t="s">
        <v>26</v>
      </c>
      <c r="I220" t="s">
        <v>174</v>
      </c>
      <c r="J220" t="s">
        <v>121</v>
      </c>
      <c r="K220" t="s">
        <v>68</v>
      </c>
      <c r="L220" t="s">
        <v>1000</v>
      </c>
      <c r="M220" t="s">
        <v>31</v>
      </c>
      <c r="N220" t="s">
        <v>32</v>
      </c>
      <c r="O220" t="s">
        <v>1001</v>
      </c>
      <c r="P220">
        <v>722.35199999999998</v>
      </c>
      <c r="Q220">
        <v>3</v>
      </c>
      <c r="R220">
        <v>0.2</v>
      </c>
      <c r="S220">
        <v>90.293999999999997</v>
      </c>
      <c r="T220" t="s">
        <v>34</v>
      </c>
      <c r="U220" t="s">
        <v>78</v>
      </c>
    </row>
    <row r="221" spans="1:21" x14ac:dyDescent="0.25">
      <c r="A221" t="s">
        <v>1002</v>
      </c>
      <c r="B221" s="1">
        <v>43020</v>
      </c>
      <c r="C221" s="1">
        <v>43024</v>
      </c>
      <c r="D221" t="s">
        <v>40</v>
      </c>
      <c r="E221" t="s">
        <v>99</v>
      </c>
      <c r="F221" t="s">
        <v>100</v>
      </c>
      <c r="G221" t="s">
        <v>101</v>
      </c>
      <c r="H221" t="s">
        <v>26</v>
      </c>
      <c r="I221" t="s">
        <v>1003</v>
      </c>
      <c r="J221" t="s">
        <v>135</v>
      </c>
      <c r="K221" t="s">
        <v>94</v>
      </c>
      <c r="L221" t="s">
        <v>1004</v>
      </c>
      <c r="M221" t="s">
        <v>31</v>
      </c>
      <c r="N221" t="s">
        <v>37</v>
      </c>
      <c r="O221" t="s">
        <v>1005</v>
      </c>
      <c r="P221">
        <v>254.60400000000001</v>
      </c>
      <c r="Q221">
        <v>14</v>
      </c>
      <c r="R221">
        <v>0.3</v>
      </c>
      <c r="S221">
        <v>-18.186</v>
      </c>
      <c r="T221" t="s">
        <v>84</v>
      </c>
      <c r="U221" t="s">
        <v>49</v>
      </c>
    </row>
    <row r="222" spans="1:21" x14ac:dyDescent="0.25">
      <c r="A222" t="s">
        <v>1006</v>
      </c>
      <c r="B222" s="1">
        <v>42437</v>
      </c>
      <c r="C222" s="1">
        <v>42442</v>
      </c>
      <c r="D222" t="s">
        <v>40</v>
      </c>
      <c r="E222" t="s">
        <v>844</v>
      </c>
      <c r="F222" t="s">
        <v>845</v>
      </c>
      <c r="G222" t="s">
        <v>25</v>
      </c>
      <c r="H222" t="s">
        <v>26</v>
      </c>
      <c r="I222" t="s">
        <v>1007</v>
      </c>
      <c r="J222" t="s">
        <v>44</v>
      </c>
      <c r="K222" t="s">
        <v>29</v>
      </c>
      <c r="L222" t="s">
        <v>182</v>
      </c>
      <c r="M222" t="s">
        <v>31</v>
      </c>
      <c r="N222" t="s">
        <v>57</v>
      </c>
      <c r="O222" t="s">
        <v>183</v>
      </c>
      <c r="P222">
        <v>102.36</v>
      </c>
      <c r="Q222">
        <v>3</v>
      </c>
      <c r="R222">
        <v>0.2</v>
      </c>
      <c r="S222">
        <v>-3.8384999999999998</v>
      </c>
      <c r="T222" t="s">
        <v>59</v>
      </c>
      <c r="U222" t="s">
        <v>196</v>
      </c>
    </row>
    <row r="223" spans="1:21" x14ac:dyDescent="0.25">
      <c r="A223" t="s">
        <v>1008</v>
      </c>
      <c r="B223" s="1">
        <v>42188</v>
      </c>
      <c r="C223" s="1">
        <v>42190</v>
      </c>
      <c r="D223" t="s">
        <v>88</v>
      </c>
      <c r="E223" t="s">
        <v>1009</v>
      </c>
      <c r="F223" t="s">
        <v>1010</v>
      </c>
      <c r="G223" t="s">
        <v>91</v>
      </c>
      <c r="H223" t="s">
        <v>26</v>
      </c>
      <c r="I223" t="s">
        <v>66</v>
      </c>
      <c r="J223" t="s">
        <v>67</v>
      </c>
      <c r="K223" t="s">
        <v>68</v>
      </c>
      <c r="L223" t="s">
        <v>1011</v>
      </c>
      <c r="M223" t="s">
        <v>31</v>
      </c>
      <c r="N223" t="s">
        <v>57</v>
      </c>
      <c r="O223" t="s">
        <v>1012</v>
      </c>
      <c r="P223">
        <v>168.464</v>
      </c>
      <c r="Q223">
        <v>2</v>
      </c>
      <c r="R223">
        <v>0.2</v>
      </c>
      <c r="S223">
        <v>-29.481200000000001</v>
      </c>
      <c r="T223" t="s">
        <v>71</v>
      </c>
      <c r="U223" t="s">
        <v>72</v>
      </c>
    </row>
    <row r="224" spans="1:21" x14ac:dyDescent="0.25">
      <c r="A224" t="s">
        <v>1008</v>
      </c>
      <c r="B224" s="1">
        <v>42188</v>
      </c>
      <c r="C224" s="1">
        <v>42190</v>
      </c>
      <c r="D224" t="s">
        <v>88</v>
      </c>
      <c r="E224" t="s">
        <v>1009</v>
      </c>
      <c r="F224" t="s">
        <v>1010</v>
      </c>
      <c r="G224" t="s">
        <v>91</v>
      </c>
      <c r="H224" t="s">
        <v>26</v>
      </c>
      <c r="I224" t="s">
        <v>66</v>
      </c>
      <c r="J224" t="s">
        <v>67</v>
      </c>
      <c r="K224" t="s">
        <v>68</v>
      </c>
      <c r="L224" t="s">
        <v>1013</v>
      </c>
      <c r="M224" t="s">
        <v>31</v>
      </c>
      <c r="N224" t="s">
        <v>57</v>
      </c>
      <c r="O224" t="s">
        <v>1014</v>
      </c>
      <c r="P224">
        <v>282.88799999999998</v>
      </c>
      <c r="Q224">
        <v>9</v>
      </c>
      <c r="R224">
        <v>0.2</v>
      </c>
      <c r="S224">
        <v>56.577599999999997</v>
      </c>
      <c r="T224" t="s">
        <v>71</v>
      </c>
      <c r="U224" t="s">
        <v>72</v>
      </c>
    </row>
    <row r="225" spans="1:21" x14ac:dyDescent="0.25">
      <c r="A225" t="s">
        <v>1015</v>
      </c>
      <c r="B225" s="1">
        <v>42098</v>
      </c>
      <c r="C225" s="1">
        <v>42102</v>
      </c>
      <c r="D225" t="s">
        <v>40</v>
      </c>
      <c r="E225" t="s">
        <v>1016</v>
      </c>
      <c r="F225" t="s">
        <v>1017</v>
      </c>
      <c r="G225" t="s">
        <v>101</v>
      </c>
      <c r="H225" t="s">
        <v>26</v>
      </c>
      <c r="I225" t="s">
        <v>174</v>
      </c>
      <c r="J225" t="s">
        <v>121</v>
      </c>
      <c r="K225" t="s">
        <v>68</v>
      </c>
      <c r="L225" t="s">
        <v>1018</v>
      </c>
      <c r="M225" t="s">
        <v>31</v>
      </c>
      <c r="N225" t="s">
        <v>57</v>
      </c>
      <c r="O225" t="s">
        <v>1019</v>
      </c>
      <c r="P225">
        <v>108.4</v>
      </c>
      <c r="Q225">
        <v>2</v>
      </c>
      <c r="R225">
        <v>0</v>
      </c>
      <c r="S225">
        <v>22.763999999999999</v>
      </c>
      <c r="T225" t="s">
        <v>84</v>
      </c>
      <c r="U225" t="s">
        <v>114</v>
      </c>
    </row>
    <row r="226" spans="1:21" x14ac:dyDescent="0.25">
      <c r="A226" t="s">
        <v>1020</v>
      </c>
      <c r="B226" s="1">
        <v>42086</v>
      </c>
      <c r="C226" s="1">
        <v>42092</v>
      </c>
      <c r="D226" t="s">
        <v>40</v>
      </c>
      <c r="E226" t="s">
        <v>1021</v>
      </c>
      <c r="F226" t="s">
        <v>1022</v>
      </c>
      <c r="G226" t="s">
        <v>25</v>
      </c>
      <c r="H226" t="s">
        <v>26</v>
      </c>
      <c r="I226" t="s">
        <v>102</v>
      </c>
      <c r="J226" t="s">
        <v>93</v>
      </c>
      <c r="K226" t="s">
        <v>94</v>
      </c>
      <c r="L226" t="s">
        <v>489</v>
      </c>
      <c r="M226" t="s">
        <v>31</v>
      </c>
      <c r="N226" t="s">
        <v>37</v>
      </c>
      <c r="O226" t="s">
        <v>490</v>
      </c>
      <c r="P226">
        <v>107.77200000000001</v>
      </c>
      <c r="Q226">
        <v>2</v>
      </c>
      <c r="R226">
        <v>0.3</v>
      </c>
      <c r="S226">
        <v>-29.252400000000002</v>
      </c>
      <c r="T226" t="s">
        <v>130</v>
      </c>
      <c r="U226" t="s">
        <v>196</v>
      </c>
    </row>
    <row r="227" spans="1:21" x14ac:dyDescent="0.25">
      <c r="A227" t="s">
        <v>1023</v>
      </c>
      <c r="B227" s="1">
        <v>42644</v>
      </c>
      <c r="C227" s="1">
        <v>42645</v>
      </c>
      <c r="D227" t="s">
        <v>88</v>
      </c>
      <c r="E227" t="s">
        <v>1024</v>
      </c>
      <c r="F227" t="s">
        <v>1025</v>
      </c>
      <c r="G227" t="s">
        <v>25</v>
      </c>
      <c r="H227" t="s">
        <v>26</v>
      </c>
      <c r="I227" t="s">
        <v>329</v>
      </c>
      <c r="J227" t="s">
        <v>54</v>
      </c>
      <c r="K227" t="s">
        <v>55</v>
      </c>
      <c r="L227" t="s">
        <v>136</v>
      </c>
      <c r="M227" t="s">
        <v>31</v>
      </c>
      <c r="N227" t="s">
        <v>37</v>
      </c>
      <c r="O227" t="s">
        <v>137</v>
      </c>
      <c r="P227">
        <v>194.84800000000001</v>
      </c>
      <c r="Q227">
        <v>4</v>
      </c>
      <c r="R227">
        <v>0.2</v>
      </c>
      <c r="S227">
        <v>12.178000000000001</v>
      </c>
      <c r="T227" t="s">
        <v>124</v>
      </c>
      <c r="U227" t="s">
        <v>49</v>
      </c>
    </row>
    <row r="228" spans="1:21" x14ac:dyDescent="0.25">
      <c r="A228" t="s">
        <v>1026</v>
      </c>
      <c r="B228" s="1">
        <v>42337</v>
      </c>
      <c r="C228" s="1">
        <v>42342</v>
      </c>
      <c r="D228" t="s">
        <v>40</v>
      </c>
      <c r="E228" t="s">
        <v>1027</v>
      </c>
      <c r="F228" t="s">
        <v>1028</v>
      </c>
      <c r="G228" t="s">
        <v>91</v>
      </c>
      <c r="H228" t="s">
        <v>26</v>
      </c>
      <c r="I228" t="s">
        <v>289</v>
      </c>
      <c r="J228" t="s">
        <v>290</v>
      </c>
      <c r="K228" t="s">
        <v>94</v>
      </c>
      <c r="L228" t="s">
        <v>1029</v>
      </c>
      <c r="M228" t="s">
        <v>31</v>
      </c>
      <c r="N228" t="s">
        <v>37</v>
      </c>
      <c r="O228" t="s">
        <v>1030</v>
      </c>
      <c r="P228">
        <v>1106.9100000000001</v>
      </c>
      <c r="Q228">
        <v>9</v>
      </c>
      <c r="R228">
        <v>0</v>
      </c>
      <c r="S228">
        <v>121.76009999999999</v>
      </c>
      <c r="T228" t="s">
        <v>59</v>
      </c>
      <c r="U228" t="s">
        <v>35</v>
      </c>
    </row>
    <row r="229" spans="1:21" x14ac:dyDescent="0.25">
      <c r="A229" t="s">
        <v>1031</v>
      </c>
      <c r="B229" s="1">
        <v>42430</v>
      </c>
      <c r="C229" s="1">
        <v>42434</v>
      </c>
      <c r="D229" t="s">
        <v>40</v>
      </c>
      <c r="E229" t="s">
        <v>1032</v>
      </c>
      <c r="F229" t="s">
        <v>1033</v>
      </c>
      <c r="G229" t="s">
        <v>25</v>
      </c>
      <c r="H229" t="s">
        <v>26</v>
      </c>
      <c r="I229" t="s">
        <v>1034</v>
      </c>
      <c r="J229" t="s">
        <v>121</v>
      </c>
      <c r="K229" t="s">
        <v>68</v>
      </c>
      <c r="L229" t="s">
        <v>785</v>
      </c>
      <c r="M229" t="s">
        <v>31</v>
      </c>
      <c r="N229" t="s">
        <v>46</v>
      </c>
      <c r="O229" t="s">
        <v>786</v>
      </c>
      <c r="P229">
        <v>836.59199999999998</v>
      </c>
      <c r="Q229">
        <v>8</v>
      </c>
      <c r="R229">
        <v>0.4</v>
      </c>
      <c r="S229">
        <v>-264.92079999999999</v>
      </c>
      <c r="T229" t="s">
        <v>84</v>
      </c>
      <c r="U229" t="s">
        <v>196</v>
      </c>
    </row>
    <row r="230" spans="1:21" x14ac:dyDescent="0.25">
      <c r="A230" t="s">
        <v>1035</v>
      </c>
      <c r="B230" s="1">
        <v>42890</v>
      </c>
      <c r="C230" s="1">
        <v>42896</v>
      </c>
      <c r="D230" t="s">
        <v>40</v>
      </c>
      <c r="E230" t="s">
        <v>939</v>
      </c>
      <c r="F230" t="s">
        <v>940</v>
      </c>
      <c r="G230" t="s">
        <v>91</v>
      </c>
      <c r="H230" t="s">
        <v>26</v>
      </c>
      <c r="I230" t="s">
        <v>1036</v>
      </c>
      <c r="J230" t="s">
        <v>1037</v>
      </c>
      <c r="K230" t="s">
        <v>29</v>
      </c>
      <c r="L230" t="s">
        <v>401</v>
      </c>
      <c r="M230" t="s">
        <v>31</v>
      </c>
      <c r="N230" t="s">
        <v>57</v>
      </c>
      <c r="O230" t="s">
        <v>402</v>
      </c>
      <c r="P230">
        <v>31.984000000000002</v>
      </c>
      <c r="Q230">
        <v>2</v>
      </c>
      <c r="R230">
        <v>0.2</v>
      </c>
      <c r="S230">
        <v>1.9990000000000001</v>
      </c>
      <c r="T230" t="s">
        <v>130</v>
      </c>
      <c r="U230" t="s">
        <v>60</v>
      </c>
    </row>
    <row r="231" spans="1:21" x14ac:dyDescent="0.25">
      <c r="A231" t="s">
        <v>1038</v>
      </c>
      <c r="B231" s="1">
        <v>41815</v>
      </c>
      <c r="C231" s="1">
        <v>41818</v>
      </c>
      <c r="D231" t="s">
        <v>88</v>
      </c>
      <c r="E231" t="s">
        <v>1039</v>
      </c>
      <c r="F231" t="s">
        <v>1040</v>
      </c>
      <c r="G231" t="s">
        <v>91</v>
      </c>
      <c r="H231" t="s">
        <v>26</v>
      </c>
      <c r="I231" t="s">
        <v>53</v>
      </c>
      <c r="J231" t="s">
        <v>54</v>
      </c>
      <c r="K231" t="s">
        <v>55</v>
      </c>
      <c r="L231" t="s">
        <v>1041</v>
      </c>
      <c r="M231" t="s">
        <v>31</v>
      </c>
      <c r="N231" t="s">
        <v>46</v>
      </c>
      <c r="O231" t="s">
        <v>1042</v>
      </c>
      <c r="P231">
        <v>447.84</v>
      </c>
      <c r="Q231">
        <v>5</v>
      </c>
      <c r="R231">
        <v>0.2</v>
      </c>
      <c r="S231">
        <v>11.196</v>
      </c>
      <c r="T231" t="s">
        <v>34</v>
      </c>
      <c r="U231" t="s">
        <v>60</v>
      </c>
    </row>
    <row r="232" spans="1:21" x14ac:dyDescent="0.25">
      <c r="A232" t="s">
        <v>1043</v>
      </c>
      <c r="B232" s="1">
        <v>42535</v>
      </c>
      <c r="C232" s="1">
        <v>42538</v>
      </c>
      <c r="D232" t="s">
        <v>88</v>
      </c>
      <c r="E232" t="s">
        <v>1044</v>
      </c>
      <c r="F232" t="s">
        <v>1045</v>
      </c>
      <c r="G232" t="s">
        <v>101</v>
      </c>
      <c r="H232" t="s">
        <v>26</v>
      </c>
      <c r="I232" t="s">
        <v>329</v>
      </c>
      <c r="J232" t="s">
        <v>54</v>
      </c>
      <c r="K232" t="s">
        <v>55</v>
      </c>
      <c r="L232" t="s">
        <v>501</v>
      </c>
      <c r="M232" t="s">
        <v>31</v>
      </c>
      <c r="N232" t="s">
        <v>57</v>
      </c>
      <c r="O232" t="s">
        <v>502</v>
      </c>
      <c r="P232">
        <v>8.73</v>
      </c>
      <c r="Q232">
        <v>3</v>
      </c>
      <c r="R232">
        <v>0</v>
      </c>
      <c r="S232">
        <v>4.1031000000000004</v>
      </c>
      <c r="T232" t="s">
        <v>34</v>
      </c>
      <c r="U232" t="s">
        <v>60</v>
      </c>
    </row>
    <row r="233" spans="1:21" x14ac:dyDescent="0.25">
      <c r="A233" t="s">
        <v>1046</v>
      </c>
      <c r="B233" s="1">
        <v>42693</v>
      </c>
      <c r="C233" s="1">
        <v>42698</v>
      </c>
      <c r="D233" t="s">
        <v>40</v>
      </c>
      <c r="E233" t="s">
        <v>1047</v>
      </c>
      <c r="F233" t="s">
        <v>1048</v>
      </c>
      <c r="G233" t="s">
        <v>25</v>
      </c>
      <c r="H233" t="s">
        <v>26</v>
      </c>
      <c r="I233" t="s">
        <v>102</v>
      </c>
      <c r="J233" t="s">
        <v>93</v>
      </c>
      <c r="K233" t="s">
        <v>94</v>
      </c>
      <c r="L233" t="s">
        <v>501</v>
      </c>
      <c r="M233" t="s">
        <v>31</v>
      </c>
      <c r="N233" t="s">
        <v>57</v>
      </c>
      <c r="O233" t="s">
        <v>502</v>
      </c>
      <c r="P233">
        <v>2.3279999999999998</v>
      </c>
      <c r="Q233">
        <v>2</v>
      </c>
      <c r="R233">
        <v>0.6</v>
      </c>
      <c r="S233">
        <v>-0.75660000000000005</v>
      </c>
      <c r="T233" t="s">
        <v>59</v>
      </c>
      <c r="U233" t="s">
        <v>35</v>
      </c>
    </row>
    <row r="234" spans="1:21" x14ac:dyDescent="0.25">
      <c r="A234" t="s">
        <v>1049</v>
      </c>
      <c r="B234" s="1">
        <v>43087</v>
      </c>
      <c r="C234" s="1">
        <v>43092</v>
      </c>
      <c r="D234" t="s">
        <v>22</v>
      </c>
      <c r="E234" t="s">
        <v>1050</v>
      </c>
      <c r="F234" t="s">
        <v>1051</v>
      </c>
      <c r="G234" t="s">
        <v>25</v>
      </c>
      <c r="H234" t="s">
        <v>26</v>
      </c>
      <c r="I234" t="s">
        <v>1052</v>
      </c>
      <c r="J234" t="s">
        <v>54</v>
      </c>
      <c r="K234" t="s">
        <v>55</v>
      </c>
      <c r="L234" t="s">
        <v>1053</v>
      </c>
      <c r="M234" t="s">
        <v>31</v>
      </c>
      <c r="N234" t="s">
        <v>32</v>
      </c>
      <c r="O234" t="s">
        <v>1054</v>
      </c>
      <c r="P234">
        <v>119.833</v>
      </c>
      <c r="Q234">
        <v>1</v>
      </c>
      <c r="R234">
        <v>0.15</v>
      </c>
      <c r="S234">
        <v>-12.6882</v>
      </c>
      <c r="T234" t="s">
        <v>59</v>
      </c>
      <c r="U234" t="s">
        <v>97</v>
      </c>
    </row>
    <row r="235" spans="1:21" x14ac:dyDescent="0.25">
      <c r="A235" t="s">
        <v>1055</v>
      </c>
      <c r="B235" s="1">
        <v>41659</v>
      </c>
      <c r="C235" s="1">
        <v>41665</v>
      </c>
      <c r="D235" t="s">
        <v>40</v>
      </c>
      <c r="E235" t="s">
        <v>1056</v>
      </c>
      <c r="F235" t="s">
        <v>1057</v>
      </c>
      <c r="G235" t="s">
        <v>25</v>
      </c>
      <c r="H235" t="s">
        <v>26</v>
      </c>
      <c r="I235" t="s">
        <v>1058</v>
      </c>
      <c r="J235" t="s">
        <v>1059</v>
      </c>
      <c r="K235" t="s">
        <v>29</v>
      </c>
      <c r="L235" t="s">
        <v>153</v>
      </c>
      <c r="M235" t="s">
        <v>31</v>
      </c>
      <c r="N235" t="s">
        <v>57</v>
      </c>
      <c r="O235" t="s">
        <v>154</v>
      </c>
      <c r="P235">
        <v>38.6</v>
      </c>
      <c r="Q235">
        <v>4</v>
      </c>
      <c r="R235">
        <v>0</v>
      </c>
      <c r="S235">
        <v>11.58</v>
      </c>
      <c r="T235" t="s">
        <v>130</v>
      </c>
      <c r="U235" t="s">
        <v>170</v>
      </c>
    </row>
    <row r="236" spans="1:21" x14ac:dyDescent="0.25">
      <c r="A236" t="s">
        <v>1055</v>
      </c>
      <c r="B236" s="1">
        <v>41659</v>
      </c>
      <c r="C236" s="1">
        <v>41665</v>
      </c>
      <c r="D236" t="s">
        <v>40</v>
      </c>
      <c r="E236" t="s">
        <v>1056</v>
      </c>
      <c r="F236" t="s">
        <v>1057</v>
      </c>
      <c r="G236" t="s">
        <v>25</v>
      </c>
      <c r="H236" t="s">
        <v>26</v>
      </c>
      <c r="I236" t="s">
        <v>1058</v>
      </c>
      <c r="J236" t="s">
        <v>1059</v>
      </c>
      <c r="K236" t="s">
        <v>29</v>
      </c>
      <c r="L236" t="s">
        <v>515</v>
      </c>
      <c r="M236" t="s">
        <v>31</v>
      </c>
      <c r="N236" t="s">
        <v>37</v>
      </c>
      <c r="O236" t="s">
        <v>516</v>
      </c>
      <c r="P236">
        <v>1067.94</v>
      </c>
      <c r="Q236">
        <v>3</v>
      </c>
      <c r="R236">
        <v>0</v>
      </c>
      <c r="S236">
        <v>224.26740000000001</v>
      </c>
      <c r="T236" t="s">
        <v>130</v>
      </c>
      <c r="U236" t="s">
        <v>170</v>
      </c>
    </row>
    <row r="237" spans="1:21" x14ac:dyDescent="0.25">
      <c r="A237" t="s">
        <v>1060</v>
      </c>
      <c r="B237" s="1">
        <v>42472</v>
      </c>
      <c r="C237" s="1">
        <v>42476</v>
      </c>
      <c r="D237" t="s">
        <v>40</v>
      </c>
      <c r="E237" t="s">
        <v>1061</v>
      </c>
      <c r="F237" t="s">
        <v>1062</v>
      </c>
      <c r="G237" t="s">
        <v>25</v>
      </c>
      <c r="H237" t="s">
        <v>26</v>
      </c>
      <c r="I237" t="s">
        <v>879</v>
      </c>
      <c r="J237" t="s">
        <v>717</v>
      </c>
      <c r="K237" t="s">
        <v>29</v>
      </c>
      <c r="L237" t="s">
        <v>1063</v>
      </c>
      <c r="M237" t="s">
        <v>31</v>
      </c>
      <c r="N237" t="s">
        <v>46</v>
      </c>
      <c r="O237" t="s">
        <v>1064</v>
      </c>
      <c r="P237">
        <v>343.92</v>
      </c>
      <c r="Q237">
        <v>4</v>
      </c>
      <c r="R237">
        <v>0</v>
      </c>
      <c r="S237">
        <v>75.662400000000005</v>
      </c>
      <c r="T237" t="s">
        <v>84</v>
      </c>
      <c r="U237" t="s">
        <v>114</v>
      </c>
    </row>
    <row r="238" spans="1:21" x14ac:dyDescent="0.25">
      <c r="A238" t="s">
        <v>1065</v>
      </c>
      <c r="B238" s="1">
        <v>41911</v>
      </c>
      <c r="C238" s="1">
        <v>41915</v>
      </c>
      <c r="D238" t="s">
        <v>40</v>
      </c>
      <c r="E238" t="s">
        <v>1066</v>
      </c>
      <c r="F238" t="s">
        <v>1067</v>
      </c>
      <c r="G238" t="s">
        <v>25</v>
      </c>
      <c r="H238" t="s">
        <v>26</v>
      </c>
      <c r="I238" t="s">
        <v>53</v>
      </c>
      <c r="J238" t="s">
        <v>54</v>
      </c>
      <c r="K238" t="s">
        <v>55</v>
      </c>
      <c r="L238" t="s">
        <v>936</v>
      </c>
      <c r="M238" t="s">
        <v>31</v>
      </c>
      <c r="N238" t="s">
        <v>57</v>
      </c>
      <c r="O238" t="s">
        <v>937</v>
      </c>
      <c r="P238">
        <v>204.6</v>
      </c>
      <c r="Q238">
        <v>2</v>
      </c>
      <c r="R238">
        <v>0</v>
      </c>
      <c r="S238">
        <v>53.195999999999998</v>
      </c>
      <c r="T238" t="s">
        <v>84</v>
      </c>
      <c r="U238" t="s">
        <v>78</v>
      </c>
    </row>
    <row r="239" spans="1:21" x14ac:dyDescent="0.25">
      <c r="A239" t="s">
        <v>1068</v>
      </c>
      <c r="B239" s="1">
        <v>42132</v>
      </c>
      <c r="C239" s="1">
        <v>42138</v>
      </c>
      <c r="D239" t="s">
        <v>40</v>
      </c>
      <c r="E239" t="s">
        <v>1069</v>
      </c>
      <c r="F239" t="s">
        <v>1070</v>
      </c>
      <c r="G239" t="s">
        <v>91</v>
      </c>
      <c r="H239" t="s">
        <v>26</v>
      </c>
      <c r="I239" t="s">
        <v>1071</v>
      </c>
      <c r="J239" t="s">
        <v>232</v>
      </c>
      <c r="K239" t="s">
        <v>68</v>
      </c>
      <c r="L239" t="s">
        <v>1072</v>
      </c>
      <c r="M239" t="s">
        <v>31</v>
      </c>
      <c r="N239" t="s">
        <v>57</v>
      </c>
      <c r="O239" t="s">
        <v>1073</v>
      </c>
      <c r="P239">
        <v>8.3520000000000003</v>
      </c>
      <c r="Q239">
        <v>6</v>
      </c>
      <c r="R239">
        <v>0.2</v>
      </c>
      <c r="S239">
        <v>1.2527999999999999</v>
      </c>
      <c r="T239" t="s">
        <v>130</v>
      </c>
      <c r="U239" t="s">
        <v>162</v>
      </c>
    </row>
    <row r="240" spans="1:21" x14ac:dyDescent="0.25">
      <c r="A240" t="s">
        <v>1074</v>
      </c>
      <c r="B240" s="1">
        <v>41993</v>
      </c>
      <c r="C240" s="1">
        <v>41994</v>
      </c>
      <c r="D240" t="s">
        <v>88</v>
      </c>
      <c r="E240" t="s">
        <v>1075</v>
      </c>
      <c r="F240" t="s">
        <v>1076</v>
      </c>
      <c r="G240" t="s">
        <v>101</v>
      </c>
      <c r="H240" t="s">
        <v>26</v>
      </c>
      <c r="I240" t="s">
        <v>1077</v>
      </c>
      <c r="J240" t="s">
        <v>717</v>
      </c>
      <c r="K240" t="s">
        <v>29</v>
      </c>
      <c r="L240" t="s">
        <v>1078</v>
      </c>
      <c r="M240" t="s">
        <v>31</v>
      </c>
      <c r="N240" t="s">
        <v>46</v>
      </c>
      <c r="O240" t="s">
        <v>1079</v>
      </c>
      <c r="P240">
        <v>2244.48</v>
      </c>
      <c r="Q240">
        <v>7</v>
      </c>
      <c r="R240">
        <v>0</v>
      </c>
      <c r="S240">
        <v>493.78559999999999</v>
      </c>
      <c r="T240" t="s">
        <v>124</v>
      </c>
      <c r="U240" t="s">
        <v>97</v>
      </c>
    </row>
    <row r="241" spans="1:21" x14ac:dyDescent="0.25">
      <c r="A241" t="s">
        <v>1074</v>
      </c>
      <c r="B241" s="1">
        <v>41993</v>
      </c>
      <c r="C241" s="1">
        <v>41994</v>
      </c>
      <c r="D241" t="s">
        <v>88</v>
      </c>
      <c r="E241" t="s">
        <v>1075</v>
      </c>
      <c r="F241" t="s">
        <v>1076</v>
      </c>
      <c r="G241" t="s">
        <v>101</v>
      </c>
      <c r="H241" t="s">
        <v>26</v>
      </c>
      <c r="I241" t="s">
        <v>1077</v>
      </c>
      <c r="J241" t="s">
        <v>717</v>
      </c>
      <c r="K241" t="s">
        <v>29</v>
      </c>
      <c r="L241" t="s">
        <v>442</v>
      </c>
      <c r="M241" t="s">
        <v>31</v>
      </c>
      <c r="N241" t="s">
        <v>46</v>
      </c>
      <c r="O241" t="s">
        <v>443</v>
      </c>
      <c r="P241">
        <v>455.1</v>
      </c>
      <c r="Q241">
        <v>2</v>
      </c>
      <c r="R241">
        <v>0</v>
      </c>
      <c r="S241">
        <v>100.122</v>
      </c>
      <c r="T241" t="s">
        <v>124</v>
      </c>
      <c r="U241" t="s">
        <v>97</v>
      </c>
    </row>
    <row r="242" spans="1:21" x14ac:dyDescent="0.25">
      <c r="A242" t="s">
        <v>1080</v>
      </c>
      <c r="B242" s="1">
        <v>42553</v>
      </c>
      <c r="C242" s="1">
        <v>42558</v>
      </c>
      <c r="D242" t="s">
        <v>22</v>
      </c>
      <c r="E242" t="s">
        <v>1081</v>
      </c>
      <c r="F242" t="s">
        <v>1082</v>
      </c>
      <c r="G242" t="s">
        <v>91</v>
      </c>
      <c r="H242" t="s">
        <v>26</v>
      </c>
      <c r="I242" t="s">
        <v>53</v>
      </c>
      <c r="J242" t="s">
        <v>54</v>
      </c>
      <c r="K242" t="s">
        <v>55</v>
      </c>
      <c r="L242" t="s">
        <v>1083</v>
      </c>
      <c r="M242" t="s">
        <v>31</v>
      </c>
      <c r="N242" t="s">
        <v>37</v>
      </c>
      <c r="O242" t="s">
        <v>1084</v>
      </c>
      <c r="P242">
        <v>195.184</v>
      </c>
      <c r="Q242">
        <v>1</v>
      </c>
      <c r="R242">
        <v>0.2</v>
      </c>
      <c r="S242">
        <v>19.5184</v>
      </c>
      <c r="T242" t="s">
        <v>59</v>
      </c>
      <c r="U242" t="s">
        <v>72</v>
      </c>
    </row>
    <row r="243" spans="1:21" x14ac:dyDescent="0.25">
      <c r="A243" t="s">
        <v>1085</v>
      </c>
      <c r="B243" s="1">
        <v>43077</v>
      </c>
      <c r="C243" s="1">
        <v>43079</v>
      </c>
      <c r="D243" t="s">
        <v>22</v>
      </c>
      <c r="E243" t="s">
        <v>942</v>
      </c>
      <c r="F243" t="s">
        <v>943</v>
      </c>
      <c r="G243" t="s">
        <v>25</v>
      </c>
      <c r="H243" t="s">
        <v>26</v>
      </c>
      <c r="I243" t="s">
        <v>174</v>
      </c>
      <c r="J243" t="s">
        <v>121</v>
      </c>
      <c r="K243" t="s">
        <v>68</v>
      </c>
      <c r="L243" t="s">
        <v>1086</v>
      </c>
      <c r="M243" t="s">
        <v>31</v>
      </c>
      <c r="N243" t="s">
        <v>57</v>
      </c>
      <c r="O243" t="s">
        <v>1087</v>
      </c>
      <c r="P243">
        <v>109.48</v>
      </c>
      <c r="Q243">
        <v>2</v>
      </c>
      <c r="R243">
        <v>0</v>
      </c>
      <c r="S243">
        <v>33.938800000000001</v>
      </c>
      <c r="T243" t="s">
        <v>71</v>
      </c>
      <c r="U243" t="s">
        <v>97</v>
      </c>
    </row>
    <row r="244" spans="1:21" x14ac:dyDescent="0.25">
      <c r="A244" t="s">
        <v>1088</v>
      </c>
      <c r="B244" s="1">
        <v>42705</v>
      </c>
      <c r="C244" s="1">
        <v>42709</v>
      </c>
      <c r="D244" t="s">
        <v>40</v>
      </c>
      <c r="E244" t="s">
        <v>139</v>
      </c>
      <c r="F244" t="s">
        <v>140</v>
      </c>
      <c r="G244" t="s">
        <v>25</v>
      </c>
      <c r="H244" t="s">
        <v>26</v>
      </c>
      <c r="I244" t="s">
        <v>1089</v>
      </c>
      <c r="J244" t="s">
        <v>1090</v>
      </c>
      <c r="K244" t="s">
        <v>68</v>
      </c>
      <c r="L244" t="s">
        <v>1091</v>
      </c>
      <c r="M244" t="s">
        <v>31</v>
      </c>
      <c r="N244" t="s">
        <v>37</v>
      </c>
      <c r="O244" t="s">
        <v>1092</v>
      </c>
      <c r="P244">
        <v>172.5</v>
      </c>
      <c r="Q244">
        <v>2</v>
      </c>
      <c r="R244">
        <v>0</v>
      </c>
      <c r="S244">
        <v>51.75</v>
      </c>
      <c r="T244" t="s">
        <v>84</v>
      </c>
      <c r="U244" t="s">
        <v>97</v>
      </c>
    </row>
    <row r="245" spans="1:21" x14ac:dyDescent="0.25">
      <c r="A245" t="s">
        <v>1093</v>
      </c>
      <c r="B245" s="1">
        <v>42792</v>
      </c>
      <c r="C245" s="1">
        <v>42794</v>
      </c>
      <c r="D245" t="s">
        <v>22</v>
      </c>
      <c r="E245" t="s">
        <v>1094</v>
      </c>
      <c r="F245" t="s">
        <v>1095</v>
      </c>
      <c r="G245" t="s">
        <v>101</v>
      </c>
      <c r="H245" t="s">
        <v>26</v>
      </c>
      <c r="I245" t="s">
        <v>53</v>
      </c>
      <c r="J245" t="s">
        <v>54</v>
      </c>
      <c r="K245" t="s">
        <v>55</v>
      </c>
      <c r="L245" t="s">
        <v>1096</v>
      </c>
      <c r="M245" t="s">
        <v>31</v>
      </c>
      <c r="N245" t="s">
        <v>37</v>
      </c>
      <c r="O245" t="s">
        <v>1097</v>
      </c>
      <c r="P245">
        <v>892.22400000000005</v>
      </c>
      <c r="Q245">
        <v>3</v>
      </c>
      <c r="R245">
        <v>0.2</v>
      </c>
      <c r="S245">
        <v>89.222399999999993</v>
      </c>
      <c r="T245" t="s">
        <v>71</v>
      </c>
      <c r="U245" t="s">
        <v>298</v>
      </c>
    </row>
    <row r="246" spans="1:21" x14ac:dyDescent="0.25">
      <c r="A246" t="s">
        <v>1098</v>
      </c>
      <c r="B246" s="1">
        <v>42262</v>
      </c>
      <c r="C246" s="1">
        <v>42262</v>
      </c>
      <c r="D246" t="s">
        <v>426</v>
      </c>
      <c r="E246" t="s">
        <v>647</v>
      </c>
      <c r="F246" t="s">
        <v>648</v>
      </c>
      <c r="G246" t="s">
        <v>91</v>
      </c>
      <c r="H246" t="s">
        <v>26</v>
      </c>
      <c r="I246" t="s">
        <v>1099</v>
      </c>
      <c r="J246" t="s">
        <v>44</v>
      </c>
      <c r="K246" t="s">
        <v>29</v>
      </c>
      <c r="L246" t="s">
        <v>1100</v>
      </c>
      <c r="M246" t="s">
        <v>31</v>
      </c>
      <c r="N246" t="s">
        <v>57</v>
      </c>
      <c r="O246" t="s">
        <v>1101</v>
      </c>
      <c r="P246">
        <v>15.712</v>
      </c>
      <c r="Q246">
        <v>4</v>
      </c>
      <c r="R246">
        <v>0.2</v>
      </c>
      <c r="S246">
        <v>2.5531999999999999</v>
      </c>
      <c r="T246" t="s">
        <v>431</v>
      </c>
      <c r="U246" t="s">
        <v>78</v>
      </c>
    </row>
    <row r="247" spans="1:21" x14ac:dyDescent="0.25">
      <c r="A247" t="s">
        <v>1098</v>
      </c>
      <c r="B247" s="1">
        <v>42262</v>
      </c>
      <c r="C247" s="1">
        <v>42262</v>
      </c>
      <c r="D247" t="s">
        <v>426</v>
      </c>
      <c r="E247" t="s">
        <v>647</v>
      </c>
      <c r="F247" t="s">
        <v>648</v>
      </c>
      <c r="G247" t="s">
        <v>91</v>
      </c>
      <c r="H247" t="s">
        <v>26</v>
      </c>
      <c r="I247" t="s">
        <v>1099</v>
      </c>
      <c r="J247" t="s">
        <v>44</v>
      </c>
      <c r="K247" t="s">
        <v>29</v>
      </c>
      <c r="L247" t="s">
        <v>726</v>
      </c>
      <c r="M247" t="s">
        <v>31</v>
      </c>
      <c r="N247" t="s">
        <v>57</v>
      </c>
      <c r="O247" t="s">
        <v>727</v>
      </c>
      <c r="P247">
        <v>55.968000000000004</v>
      </c>
      <c r="Q247">
        <v>1</v>
      </c>
      <c r="R247">
        <v>0.2</v>
      </c>
      <c r="S247">
        <v>-2.0988000000000002</v>
      </c>
      <c r="T247" t="s">
        <v>431</v>
      </c>
      <c r="U247" t="s">
        <v>78</v>
      </c>
    </row>
    <row r="248" spans="1:21" x14ac:dyDescent="0.25">
      <c r="A248" t="s">
        <v>1102</v>
      </c>
      <c r="B248" s="1">
        <v>42468</v>
      </c>
      <c r="C248" s="1">
        <v>42472</v>
      </c>
      <c r="D248" t="s">
        <v>40</v>
      </c>
      <c r="E248" t="s">
        <v>844</v>
      </c>
      <c r="F248" t="s">
        <v>845</v>
      </c>
      <c r="G248" t="s">
        <v>25</v>
      </c>
      <c r="H248" t="s">
        <v>26</v>
      </c>
      <c r="I248" t="s">
        <v>102</v>
      </c>
      <c r="J248" t="s">
        <v>93</v>
      </c>
      <c r="K248" t="s">
        <v>94</v>
      </c>
      <c r="L248" t="s">
        <v>1103</v>
      </c>
      <c r="M248" t="s">
        <v>31</v>
      </c>
      <c r="N248" t="s">
        <v>37</v>
      </c>
      <c r="O248" t="s">
        <v>1104</v>
      </c>
      <c r="P248">
        <v>95.983999999999995</v>
      </c>
      <c r="Q248">
        <v>4</v>
      </c>
      <c r="R248">
        <v>0.3</v>
      </c>
      <c r="S248">
        <v>-4.1135999999999999</v>
      </c>
      <c r="T248" t="s">
        <v>84</v>
      </c>
      <c r="U248" t="s">
        <v>114</v>
      </c>
    </row>
    <row r="249" spans="1:21" x14ac:dyDescent="0.25">
      <c r="A249" t="s">
        <v>1105</v>
      </c>
      <c r="B249" s="1">
        <v>42569</v>
      </c>
      <c r="C249" s="1">
        <v>42575</v>
      </c>
      <c r="D249" t="s">
        <v>40</v>
      </c>
      <c r="E249" t="s">
        <v>1106</v>
      </c>
      <c r="F249" t="s">
        <v>1107</v>
      </c>
      <c r="G249" t="s">
        <v>91</v>
      </c>
      <c r="H249" t="s">
        <v>26</v>
      </c>
      <c r="I249" t="s">
        <v>266</v>
      </c>
      <c r="J249" t="s">
        <v>181</v>
      </c>
      <c r="K249" t="s">
        <v>55</v>
      </c>
      <c r="L249" t="s">
        <v>806</v>
      </c>
      <c r="M249" t="s">
        <v>31</v>
      </c>
      <c r="N249" t="s">
        <v>37</v>
      </c>
      <c r="O249" t="s">
        <v>807</v>
      </c>
      <c r="P249">
        <v>544.00800000000004</v>
      </c>
      <c r="Q249">
        <v>3</v>
      </c>
      <c r="R249">
        <v>0.2</v>
      </c>
      <c r="S249">
        <v>40.800600000000003</v>
      </c>
      <c r="T249" t="s">
        <v>130</v>
      </c>
      <c r="U249" t="s">
        <v>72</v>
      </c>
    </row>
    <row r="250" spans="1:21" x14ac:dyDescent="0.25">
      <c r="A250" t="s">
        <v>1105</v>
      </c>
      <c r="B250" s="1">
        <v>42569</v>
      </c>
      <c r="C250" s="1">
        <v>42575</v>
      </c>
      <c r="D250" t="s">
        <v>40</v>
      </c>
      <c r="E250" t="s">
        <v>1106</v>
      </c>
      <c r="F250" t="s">
        <v>1107</v>
      </c>
      <c r="G250" t="s">
        <v>91</v>
      </c>
      <c r="H250" t="s">
        <v>26</v>
      </c>
      <c r="I250" t="s">
        <v>266</v>
      </c>
      <c r="J250" t="s">
        <v>181</v>
      </c>
      <c r="K250" t="s">
        <v>55</v>
      </c>
      <c r="L250" t="s">
        <v>515</v>
      </c>
      <c r="M250" t="s">
        <v>31</v>
      </c>
      <c r="N250" t="s">
        <v>37</v>
      </c>
      <c r="O250" t="s">
        <v>516</v>
      </c>
      <c r="P250">
        <v>854.35199999999998</v>
      </c>
      <c r="Q250">
        <v>3</v>
      </c>
      <c r="R250">
        <v>0.2</v>
      </c>
      <c r="S250">
        <v>10.679399999999999</v>
      </c>
      <c r="T250" t="s">
        <v>130</v>
      </c>
      <c r="U250" t="s">
        <v>72</v>
      </c>
    </row>
    <row r="251" spans="1:21" x14ac:dyDescent="0.25">
      <c r="A251" t="s">
        <v>1108</v>
      </c>
      <c r="B251" s="1">
        <v>42565</v>
      </c>
      <c r="C251" s="1">
        <v>42569</v>
      </c>
      <c r="D251" t="s">
        <v>22</v>
      </c>
      <c r="E251" t="s">
        <v>1109</v>
      </c>
      <c r="F251" t="s">
        <v>1110</v>
      </c>
      <c r="G251" t="s">
        <v>91</v>
      </c>
      <c r="H251" t="s">
        <v>26</v>
      </c>
      <c r="I251" t="s">
        <v>174</v>
      </c>
      <c r="J251" t="s">
        <v>121</v>
      </c>
      <c r="K251" t="s">
        <v>68</v>
      </c>
      <c r="L251" t="s">
        <v>278</v>
      </c>
      <c r="M251" t="s">
        <v>31</v>
      </c>
      <c r="N251" t="s">
        <v>32</v>
      </c>
      <c r="O251" t="s">
        <v>279</v>
      </c>
      <c r="P251">
        <v>579.13599999999997</v>
      </c>
      <c r="Q251">
        <v>4</v>
      </c>
      <c r="R251">
        <v>0.2</v>
      </c>
      <c r="S251">
        <v>21.717600000000001</v>
      </c>
      <c r="T251" t="s">
        <v>84</v>
      </c>
      <c r="U251" t="s">
        <v>72</v>
      </c>
    </row>
    <row r="252" spans="1:21" x14ac:dyDescent="0.25">
      <c r="A252" t="s">
        <v>1111</v>
      </c>
      <c r="B252" s="1">
        <v>42987</v>
      </c>
      <c r="C252" s="1">
        <v>42991</v>
      </c>
      <c r="D252" t="s">
        <v>40</v>
      </c>
      <c r="E252" t="s">
        <v>1112</v>
      </c>
      <c r="F252" t="s">
        <v>1113</v>
      </c>
      <c r="G252" t="s">
        <v>91</v>
      </c>
      <c r="H252" t="s">
        <v>26</v>
      </c>
      <c r="I252" t="s">
        <v>66</v>
      </c>
      <c r="J252" t="s">
        <v>67</v>
      </c>
      <c r="K252" t="s">
        <v>68</v>
      </c>
      <c r="L252" t="s">
        <v>296</v>
      </c>
      <c r="M252" t="s">
        <v>31</v>
      </c>
      <c r="N252" t="s">
        <v>37</v>
      </c>
      <c r="O252" t="s">
        <v>297</v>
      </c>
      <c r="P252">
        <v>141.37200000000001</v>
      </c>
      <c r="Q252">
        <v>2</v>
      </c>
      <c r="R252">
        <v>0.3</v>
      </c>
      <c r="S252">
        <v>-48.470399999999998</v>
      </c>
      <c r="T252" t="s">
        <v>84</v>
      </c>
      <c r="U252" t="s">
        <v>78</v>
      </c>
    </row>
    <row r="253" spans="1:21" x14ac:dyDescent="0.25">
      <c r="A253" t="s">
        <v>1111</v>
      </c>
      <c r="B253" s="1">
        <v>42987</v>
      </c>
      <c r="C253" s="1">
        <v>42991</v>
      </c>
      <c r="D253" t="s">
        <v>40</v>
      </c>
      <c r="E253" t="s">
        <v>1112</v>
      </c>
      <c r="F253" t="s">
        <v>1113</v>
      </c>
      <c r="G253" t="s">
        <v>91</v>
      </c>
      <c r="H253" t="s">
        <v>26</v>
      </c>
      <c r="I253" t="s">
        <v>66</v>
      </c>
      <c r="J253" t="s">
        <v>67</v>
      </c>
      <c r="K253" t="s">
        <v>68</v>
      </c>
      <c r="L253" t="s">
        <v>1114</v>
      </c>
      <c r="M253" t="s">
        <v>31</v>
      </c>
      <c r="N253" t="s">
        <v>57</v>
      </c>
      <c r="O253" t="s">
        <v>1115</v>
      </c>
      <c r="P253">
        <v>17.024000000000001</v>
      </c>
      <c r="Q253">
        <v>2</v>
      </c>
      <c r="R253">
        <v>0.2</v>
      </c>
      <c r="S253">
        <v>1.7023999999999999</v>
      </c>
      <c r="T253" t="s">
        <v>84</v>
      </c>
      <c r="U253" t="s">
        <v>78</v>
      </c>
    </row>
    <row r="254" spans="1:21" x14ac:dyDescent="0.25">
      <c r="A254" t="s">
        <v>1116</v>
      </c>
      <c r="B254" s="1">
        <v>42708</v>
      </c>
      <c r="C254" s="1">
        <v>42709</v>
      </c>
      <c r="D254" t="s">
        <v>88</v>
      </c>
      <c r="E254" t="s">
        <v>244</v>
      </c>
      <c r="F254" t="s">
        <v>245</v>
      </c>
      <c r="G254" t="s">
        <v>25</v>
      </c>
      <c r="H254" t="s">
        <v>26</v>
      </c>
      <c r="I254" t="s">
        <v>174</v>
      </c>
      <c r="J254" t="s">
        <v>121</v>
      </c>
      <c r="K254" t="s">
        <v>68</v>
      </c>
      <c r="L254" t="s">
        <v>968</v>
      </c>
      <c r="M254" t="s">
        <v>31</v>
      </c>
      <c r="N254" t="s">
        <v>57</v>
      </c>
      <c r="O254" t="s">
        <v>969</v>
      </c>
      <c r="P254">
        <v>113.79</v>
      </c>
      <c r="Q254">
        <v>3</v>
      </c>
      <c r="R254">
        <v>0</v>
      </c>
      <c r="S254">
        <v>20.482199999999999</v>
      </c>
      <c r="T254" t="s">
        <v>124</v>
      </c>
      <c r="U254" t="s">
        <v>97</v>
      </c>
    </row>
    <row r="255" spans="1:21" x14ac:dyDescent="0.25">
      <c r="A255" t="s">
        <v>1117</v>
      </c>
      <c r="B255" s="1">
        <v>43045</v>
      </c>
      <c r="C255" s="1">
        <v>43050</v>
      </c>
      <c r="D255" t="s">
        <v>40</v>
      </c>
      <c r="E255" t="s">
        <v>844</v>
      </c>
      <c r="F255" t="s">
        <v>845</v>
      </c>
      <c r="G255" t="s">
        <v>25</v>
      </c>
      <c r="H255" t="s">
        <v>26</v>
      </c>
      <c r="I255" t="s">
        <v>53</v>
      </c>
      <c r="J255" t="s">
        <v>54</v>
      </c>
      <c r="K255" t="s">
        <v>55</v>
      </c>
      <c r="L255" t="s">
        <v>896</v>
      </c>
      <c r="M255" t="s">
        <v>31</v>
      </c>
      <c r="N255" t="s">
        <v>57</v>
      </c>
      <c r="O255" t="s">
        <v>897</v>
      </c>
      <c r="P255">
        <v>8.73</v>
      </c>
      <c r="Q255">
        <v>1</v>
      </c>
      <c r="R255">
        <v>0</v>
      </c>
      <c r="S255">
        <v>2.9681999999999999</v>
      </c>
      <c r="T255" t="s">
        <v>59</v>
      </c>
      <c r="U255" t="s">
        <v>35</v>
      </c>
    </row>
    <row r="256" spans="1:21" x14ac:dyDescent="0.25">
      <c r="A256" t="s">
        <v>1118</v>
      </c>
      <c r="B256" s="1">
        <v>42671</v>
      </c>
      <c r="C256" s="1">
        <v>42671</v>
      </c>
      <c r="D256" t="s">
        <v>426</v>
      </c>
      <c r="E256" t="s">
        <v>1119</v>
      </c>
      <c r="F256" t="s">
        <v>1120</v>
      </c>
      <c r="G256" t="s">
        <v>25</v>
      </c>
      <c r="H256" t="s">
        <v>26</v>
      </c>
      <c r="I256" t="s">
        <v>1121</v>
      </c>
      <c r="J256" t="s">
        <v>44</v>
      </c>
      <c r="K256" t="s">
        <v>29</v>
      </c>
      <c r="L256" t="s">
        <v>1122</v>
      </c>
      <c r="M256" t="s">
        <v>31</v>
      </c>
      <c r="N256" t="s">
        <v>57</v>
      </c>
      <c r="O256" t="s">
        <v>1123</v>
      </c>
      <c r="P256">
        <v>47.951999999999998</v>
      </c>
      <c r="Q256">
        <v>3</v>
      </c>
      <c r="R256">
        <v>0.2</v>
      </c>
      <c r="S256">
        <v>13.786199999999999</v>
      </c>
      <c r="T256" t="s">
        <v>431</v>
      </c>
      <c r="U256" t="s">
        <v>49</v>
      </c>
    </row>
    <row r="257" spans="1:21" x14ac:dyDescent="0.25">
      <c r="A257" t="s">
        <v>1118</v>
      </c>
      <c r="B257" s="1">
        <v>42671</v>
      </c>
      <c r="C257" s="1">
        <v>42671</v>
      </c>
      <c r="D257" t="s">
        <v>426</v>
      </c>
      <c r="E257" t="s">
        <v>1119</v>
      </c>
      <c r="F257" t="s">
        <v>1120</v>
      </c>
      <c r="G257" t="s">
        <v>25</v>
      </c>
      <c r="H257" t="s">
        <v>26</v>
      </c>
      <c r="I257" t="s">
        <v>1121</v>
      </c>
      <c r="J257" t="s">
        <v>44</v>
      </c>
      <c r="K257" t="s">
        <v>29</v>
      </c>
      <c r="L257" t="s">
        <v>1124</v>
      </c>
      <c r="M257" t="s">
        <v>31</v>
      </c>
      <c r="N257" t="s">
        <v>57</v>
      </c>
      <c r="O257" t="s">
        <v>1125</v>
      </c>
      <c r="P257">
        <v>63.968000000000004</v>
      </c>
      <c r="Q257">
        <v>2</v>
      </c>
      <c r="R257">
        <v>0.2</v>
      </c>
      <c r="S257">
        <v>0</v>
      </c>
      <c r="T257" t="s">
        <v>431</v>
      </c>
      <c r="U257" t="s">
        <v>49</v>
      </c>
    </row>
    <row r="258" spans="1:21" x14ac:dyDescent="0.25">
      <c r="A258" t="s">
        <v>1118</v>
      </c>
      <c r="B258" s="1">
        <v>42671</v>
      </c>
      <c r="C258" s="1">
        <v>42671</v>
      </c>
      <c r="D258" t="s">
        <v>426</v>
      </c>
      <c r="E258" t="s">
        <v>1119</v>
      </c>
      <c r="F258" t="s">
        <v>1120</v>
      </c>
      <c r="G258" t="s">
        <v>25</v>
      </c>
      <c r="H258" t="s">
        <v>26</v>
      </c>
      <c r="I258" t="s">
        <v>1121</v>
      </c>
      <c r="J258" t="s">
        <v>44</v>
      </c>
      <c r="K258" t="s">
        <v>29</v>
      </c>
      <c r="L258" t="s">
        <v>706</v>
      </c>
      <c r="M258" t="s">
        <v>31</v>
      </c>
      <c r="N258" t="s">
        <v>57</v>
      </c>
      <c r="O258" t="s">
        <v>707</v>
      </c>
      <c r="P258">
        <v>165.048</v>
      </c>
      <c r="Q258">
        <v>3</v>
      </c>
      <c r="R258">
        <v>0.2</v>
      </c>
      <c r="S258">
        <v>41.262</v>
      </c>
      <c r="T258" t="s">
        <v>431</v>
      </c>
      <c r="U258" t="s">
        <v>49</v>
      </c>
    </row>
    <row r="259" spans="1:21" x14ac:dyDescent="0.25">
      <c r="A259" t="s">
        <v>1126</v>
      </c>
      <c r="B259" s="1">
        <v>41862</v>
      </c>
      <c r="C259" s="1">
        <v>41866</v>
      </c>
      <c r="D259" t="s">
        <v>40</v>
      </c>
      <c r="E259" t="s">
        <v>1127</v>
      </c>
      <c r="F259" t="s">
        <v>1128</v>
      </c>
      <c r="G259" t="s">
        <v>25</v>
      </c>
      <c r="H259" t="s">
        <v>26</v>
      </c>
      <c r="I259" t="s">
        <v>192</v>
      </c>
      <c r="J259" t="s">
        <v>193</v>
      </c>
      <c r="K259" t="s">
        <v>55</v>
      </c>
      <c r="L259" t="s">
        <v>1129</v>
      </c>
      <c r="M259" t="s">
        <v>31</v>
      </c>
      <c r="N259" t="s">
        <v>57</v>
      </c>
      <c r="O259" t="s">
        <v>1130</v>
      </c>
      <c r="P259">
        <v>12.35</v>
      </c>
      <c r="Q259">
        <v>1</v>
      </c>
      <c r="R259">
        <v>0</v>
      </c>
      <c r="S259">
        <v>5.4340000000000002</v>
      </c>
      <c r="T259" t="s">
        <v>84</v>
      </c>
      <c r="U259" t="s">
        <v>254</v>
      </c>
    </row>
    <row r="260" spans="1:21" x14ac:dyDescent="0.25">
      <c r="A260" t="s">
        <v>1131</v>
      </c>
      <c r="B260" s="1">
        <v>41985</v>
      </c>
      <c r="C260" s="1">
        <v>41987</v>
      </c>
      <c r="D260" t="s">
        <v>22</v>
      </c>
      <c r="E260" t="s">
        <v>1132</v>
      </c>
      <c r="F260" t="s">
        <v>1133</v>
      </c>
      <c r="G260" t="s">
        <v>25</v>
      </c>
      <c r="H260" t="s">
        <v>26</v>
      </c>
      <c r="I260" t="s">
        <v>1134</v>
      </c>
      <c r="J260" t="s">
        <v>54</v>
      </c>
      <c r="K260" t="s">
        <v>55</v>
      </c>
      <c r="L260" t="s">
        <v>1135</v>
      </c>
      <c r="M260" t="s">
        <v>31</v>
      </c>
      <c r="N260" t="s">
        <v>46</v>
      </c>
      <c r="O260" t="s">
        <v>1136</v>
      </c>
      <c r="P260">
        <v>764.68799999999999</v>
      </c>
      <c r="Q260">
        <v>6</v>
      </c>
      <c r="R260">
        <v>0.2</v>
      </c>
      <c r="S260">
        <v>95.585999999999999</v>
      </c>
      <c r="T260" t="s">
        <v>71</v>
      </c>
      <c r="U260" t="s">
        <v>97</v>
      </c>
    </row>
    <row r="261" spans="1:21" x14ac:dyDescent="0.25">
      <c r="A261" t="s">
        <v>1131</v>
      </c>
      <c r="B261" s="1">
        <v>41985</v>
      </c>
      <c r="C261" s="1">
        <v>41987</v>
      </c>
      <c r="D261" t="s">
        <v>22</v>
      </c>
      <c r="E261" t="s">
        <v>1132</v>
      </c>
      <c r="F261" t="s">
        <v>1133</v>
      </c>
      <c r="G261" t="s">
        <v>25</v>
      </c>
      <c r="H261" t="s">
        <v>26</v>
      </c>
      <c r="I261" t="s">
        <v>1134</v>
      </c>
      <c r="J261" t="s">
        <v>54</v>
      </c>
      <c r="K261" t="s">
        <v>55</v>
      </c>
      <c r="L261" t="s">
        <v>307</v>
      </c>
      <c r="M261" t="s">
        <v>31</v>
      </c>
      <c r="N261" t="s">
        <v>46</v>
      </c>
      <c r="O261" t="s">
        <v>308</v>
      </c>
      <c r="P261">
        <v>3610.848</v>
      </c>
      <c r="Q261">
        <v>12</v>
      </c>
      <c r="R261">
        <v>0.2</v>
      </c>
      <c r="S261">
        <v>135.4068</v>
      </c>
      <c r="T261" t="s">
        <v>71</v>
      </c>
      <c r="U261" t="s">
        <v>97</v>
      </c>
    </row>
    <row r="262" spans="1:21" x14ac:dyDescent="0.25">
      <c r="A262" t="s">
        <v>1131</v>
      </c>
      <c r="B262" s="1">
        <v>41985</v>
      </c>
      <c r="C262" s="1">
        <v>41987</v>
      </c>
      <c r="D262" t="s">
        <v>22</v>
      </c>
      <c r="E262" t="s">
        <v>1132</v>
      </c>
      <c r="F262" t="s">
        <v>1133</v>
      </c>
      <c r="G262" t="s">
        <v>25</v>
      </c>
      <c r="H262" t="s">
        <v>26</v>
      </c>
      <c r="I262" t="s">
        <v>1134</v>
      </c>
      <c r="J262" t="s">
        <v>54</v>
      </c>
      <c r="K262" t="s">
        <v>55</v>
      </c>
      <c r="L262" t="s">
        <v>1137</v>
      </c>
      <c r="M262" t="s">
        <v>31</v>
      </c>
      <c r="N262" t="s">
        <v>32</v>
      </c>
      <c r="O262" t="s">
        <v>1138</v>
      </c>
      <c r="P262">
        <v>254.97450000000001</v>
      </c>
      <c r="Q262">
        <v>3</v>
      </c>
      <c r="R262">
        <v>0.15</v>
      </c>
      <c r="S262">
        <v>11.998799999999999</v>
      </c>
      <c r="T262" t="s">
        <v>71</v>
      </c>
      <c r="U262" t="s">
        <v>97</v>
      </c>
    </row>
    <row r="263" spans="1:21" x14ac:dyDescent="0.25">
      <c r="A263" t="s">
        <v>1139</v>
      </c>
      <c r="B263" s="1">
        <v>43087</v>
      </c>
      <c r="C263" s="1">
        <v>43093</v>
      </c>
      <c r="D263" t="s">
        <v>40</v>
      </c>
      <c r="E263" t="s">
        <v>1140</v>
      </c>
      <c r="F263" t="s">
        <v>1141</v>
      </c>
      <c r="G263" t="s">
        <v>25</v>
      </c>
      <c r="H263" t="s">
        <v>26</v>
      </c>
      <c r="I263" t="s">
        <v>174</v>
      </c>
      <c r="J263" t="s">
        <v>121</v>
      </c>
      <c r="K263" t="s">
        <v>68</v>
      </c>
      <c r="L263" t="s">
        <v>1142</v>
      </c>
      <c r="M263" t="s">
        <v>31</v>
      </c>
      <c r="N263" t="s">
        <v>37</v>
      </c>
      <c r="O263" t="s">
        <v>1143</v>
      </c>
      <c r="P263">
        <v>1141.9380000000001</v>
      </c>
      <c r="Q263">
        <v>9</v>
      </c>
      <c r="R263">
        <v>0.1</v>
      </c>
      <c r="S263">
        <v>139.5702</v>
      </c>
      <c r="T263" t="s">
        <v>130</v>
      </c>
      <c r="U263" t="s">
        <v>97</v>
      </c>
    </row>
    <row r="264" spans="1:21" x14ac:dyDescent="0.25">
      <c r="A264" t="s">
        <v>1144</v>
      </c>
      <c r="B264" s="1">
        <v>42804</v>
      </c>
      <c r="C264" s="1">
        <v>42808</v>
      </c>
      <c r="D264" t="s">
        <v>40</v>
      </c>
      <c r="E264" t="s">
        <v>1145</v>
      </c>
      <c r="F264" t="s">
        <v>1146</v>
      </c>
      <c r="G264" t="s">
        <v>101</v>
      </c>
      <c r="H264" t="s">
        <v>26</v>
      </c>
      <c r="I264" t="s">
        <v>1147</v>
      </c>
      <c r="J264" t="s">
        <v>67</v>
      </c>
      <c r="K264" t="s">
        <v>68</v>
      </c>
      <c r="L264" t="s">
        <v>1148</v>
      </c>
      <c r="M264" t="s">
        <v>31</v>
      </c>
      <c r="N264" t="s">
        <v>57</v>
      </c>
      <c r="O264" t="s">
        <v>1149</v>
      </c>
      <c r="P264">
        <v>6.6959999999999997</v>
      </c>
      <c r="Q264">
        <v>1</v>
      </c>
      <c r="R264">
        <v>0.2</v>
      </c>
      <c r="S264">
        <v>0.50219999999999998</v>
      </c>
      <c r="T264" t="s">
        <v>84</v>
      </c>
      <c r="U264" t="s">
        <v>196</v>
      </c>
    </row>
    <row r="265" spans="1:21" x14ac:dyDescent="0.25">
      <c r="A265" t="s">
        <v>1144</v>
      </c>
      <c r="B265" s="1">
        <v>42804</v>
      </c>
      <c r="C265" s="1">
        <v>42808</v>
      </c>
      <c r="D265" t="s">
        <v>40</v>
      </c>
      <c r="E265" t="s">
        <v>1145</v>
      </c>
      <c r="F265" t="s">
        <v>1146</v>
      </c>
      <c r="G265" t="s">
        <v>101</v>
      </c>
      <c r="H265" t="s">
        <v>26</v>
      </c>
      <c r="I265" t="s">
        <v>1147</v>
      </c>
      <c r="J265" t="s">
        <v>67</v>
      </c>
      <c r="K265" t="s">
        <v>68</v>
      </c>
      <c r="L265" t="s">
        <v>1150</v>
      </c>
      <c r="M265" t="s">
        <v>31</v>
      </c>
      <c r="N265" t="s">
        <v>57</v>
      </c>
      <c r="O265" t="s">
        <v>1151</v>
      </c>
      <c r="P265">
        <v>43.872</v>
      </c>
      <c r="Q265">
        <v>2</v>
      </c>
      <c r="R265">
        <v>0.2</v>
      </c>
      <c r="S265">
        <v>11.516400000000001</v>
      </c>
      <c r="T265" t="s">
        <v>84</v>
      </c>
      <c r="U265" t="s">
        <v>196</v>
      </c>
    </row>
    <row r="266" spans="1:21" x14ac:dyDescent="0.25">
      <c r="A266" t="s">
        <v>1152</v>
      </c>
      <c r="B266" s="1">
        <v>42644</v>
      </c>
      <c r="C266" s="1">
        <v>42645</v>
      </c>
      <c r="D266" t="s">
        <v>88</v>
      </c>
      <c r="E266" t="s">
        <v>1153</v>
      </c>
      <c r="F266" t="s">
        <v>1154</v>
      </c>
      <c r="G266" t="s">
        <v>25</v>
      </c>
      <c r="H266" t="s">
        <v>26</v>
      </c>
      <c r="I266" t="s">
        <v>1155</v>
      </c>
      <c r="J266" t="s">
        <v>111</v>
      </c>
      <c r="K266" t="s">
        <v>94</v>
      </c>
      <c r="L266" t="s">
        <v>1148</v>
      </c>
      <c r="M266" t="s">
        <v>31</v>
      </c>
      <c r="N266" t="s">
        <v>57</v>
      </c>
      <c r="O266" t="s">
        <v>1149</v>
      </c>
      <c r="P266">
        <v>41.85</v>
      </c>
      <c r="Q266">
        <v>5</v>
      </c>
      <c r="R266">
        <v>0</v>
      </c>
      <c r="S266">
        <v>10.881</v>
      </c>
      <c r="T266" t="s">
        <v>124</v>
      </c>
      <c r="U266" t="s">
        <v>49</v>
      </c>
    </row>
    <row r="267" spans="1:21" x14ac:dyDescent="0.25">
      <c r="A267" t="s">
        <v>1156</v>
      </c>
      <c r="B267" s="1">
        <v>41997</v>
      </c>
      <c r="C267" s="1">
        <v>42002</v>
      </c>
      <c r="D267" t="s">
        <v>40</v>
      </c>
      <c r="E267" t="s">
        <v>1157</v>
      </c>
      <c r="F267" t="s">
        <v>1158</v>
      </c>
      <c r="G267" t="s">
        <v>91</v>
      </c>
      <c r="H267" t="s">
        <v>26</v>
      </c>
      <c r="I267" t="s">
        <v>53</v>
      </c>
      <c r="J267" t="s">
        <v>54</v>
      </c>
      <c r="K267" t="s">
        <v>55</v>
      </c>
      <c r="L267" t="s">
        <v>136</v>
      </c>
      <c r="M267" t="s">
        <v>31</v>
      </c>
      <c r="N267" t="s">
        <v>37</v>
      </c>
      <c r="O267" t="s">
        <v>137</v>
      </c>
      <c r="P267">
        <v>292.27199999999999</v>
      </c>
      <c r="Q267">
        <v>6</v>
      </c>
      <c r="R267">
        <v>0.2</v>
      </c>
      <c r="S267">
        <v>18.266999999999999</v>
      </c>
      <c r="T267" t="s">
        <v>59</v>
      </c>
      <c r="U267" t="s">
        <v>97</v>
      </c>
    </row>
    <row r="268" spans="1:21" x14ac:dyDescent="0.25">
      <c r="A268" t="s">
        <v>1159</v>
      </c>
      <c r="B268" s="1">
        <v>43001</v>
      </c>
      <c r="C268" s="1">
        <v>43005</v>
      </c>
      <c r="D268" t="s">
        <v>40</v>
      </c>
      <c r="E268" t="s">
        <v>1160</v>
      </c>
      <c r="F268" t="s">
        <v>1161</v>
      </c>
      <c r="G268" t="s">
        <v>91</v>
      </c>
      <c r="H268" t="s">
        <v>26</v>
      </c>
      <c r="I268" t="s">
        <v>866</v>
      </c>
      <c r="J268" t="s">
        <v>181</v>
      </c>
      <c r="K268" t="s">
        <v>55</v>
      </c>
      <c r="L268" t="s">
        <v>494</v>
      </c>
      <c r="M268" t="s">
        <v>31</v>
      </c>
      <c r="N268" t="s">
        <v>57</v>
      </c>
      <c r="O268" t="s">
        <v>495</v>
      </c>
      <c r="P268">
        <v>29.327999999999999</v>
      </c>
      <c r="Q268">
        <v>3</v>
      </c>
      <c r="R268">
        <v>0.2</v>
      </c>
      <c r="S268">
        <v>3.6659999999999999</v>
      </c>
      <c r="T268" t="s">
        <v>84</v>
      </c>
      <c r="U268" t="s">
        <v>78</v>
      </c>
    </row>
    <row r="269" spans="1:21" x14ac:dyDescent="0.25">
      <c r="A269" t="s">
        <v>1162</v>
      </c>
      <c r="B269" s="1">
        <v>42516</v>
      </c>
      <c r="C269" s="1">
        <v>42516</v>
      </c>
      <c r="D269" t="s">
        <v>426</v>
      </c>
      <c r="E269" t="s">
        <v>1163</v>
      </c>
      <c r="F269" t="s">
        <v>1164</v>
      </c>
      <c r="G269" t="s">
        <v>25</v>
      </c>
      <c r="H269" t="s">
        <v>26</v>
      </c>
      <c r="I269" t="s">
        <v>596</v>
      </c>
      <c r="J269" t="s">
        <v>93</v>
      </c>
      <c r="K269" t="s">
        <v>94</v>
      </c>
      <c r="L269" t="s">
        <v>1165</v>
      </c>
      <c r="M269" t="s">
        <v>31</v>
      </c>
      <c r="N269" t="s">
        <v>37</v>
      </c>
      <c r="O269" t="s">
        <v>1166</v>
      </c>
      <c r="P269">
        <v>388.43</v>
      </c>
      <c r="Q269">
        <v>5</v>
      </c>
      <c r="R269">
        <v>0.3</v>
      </c>
      <c r="S269">
        <v>-88.784000000000006</v>
      </c>
      <c r="T269" t="s">
        <v>431</v>
      </c>
      <c r="U269" t="s">
        <v>162</v>
      </c>
    </row>
    <row r="270" spans="1:21" x14ac:dyDescent="0.25">
      <c r="A270" t="s">
        <v>1167</v>
      </c>
      <c r="B270" s="1">
        <v>42696</v>
      </c>
      <c r="C270" s="1">
        <v>42700</v>
      </c>
      <c r="D270" t="s">
        <v>40</v>
      </c>
      <c r="E270" t="s">
        <v>1168</v>
      </c>
      <c r="F270" t="s">
        <v>1169</v>
      </c>
      <c r="G270" t="s">
        <v>91</v>
      </c>
      <c r="H270" t="s">
        <v>26</v>
      </c>
      <c r="I270" t="s">
        <v>174</v>
      </c>
      <c r="J270" t="s">
        <v>121</v>
      </c>
      <c r="K270" t="s">
        <v>68</v>
      </c>
      <c r="L270" t="s">
        <v>128</v>
      </c>
      <c r="M270" t="s">
        <v>31</v>
      </c>
      <c r="N270" t="s">
        <v>57</v>
      </c>
      <c r="O270" t="s">
        <v>129</v>
      </c>
      <c r="P270">
        <v>39.880000000000003</v>
      </c>
      <c r="Q270">
        <v>2</v>
      </c>
      <c r="R270">
        <v>0</v>
      </c>
      <c r="S270">
        <v>11.166399999999999</v>
      </c>
      <c r="T270" t="s">
        <v>84</v>
      </c>
      <c r="U270" t="s">
        <v>35</v>
      </c>
    </row>
    <row r="271" spans="1:21" x14ac:dyDescent="0.25">
      <c r="A271" t="s">
        <v>1170</v>
      </c>
      <c r="B271" s="1">
        <v>42727</v>
      </c>
      <c r="C271" s="1">
        <v>42729</v>
      </c>
      <c r="D271" t="s">
        <v>22</v>
      </c>
      <c r="E271" t="s">
        <v>1171</v>
      </c>
      <c r="F271" t="s">
        <v>1172</v>
      </c>
      <c r="G271" t="s">
        <v>25</v>
      </c>
      <c r="H271" t="s">
        <v>26</v>
      </c>
      <c r="I271" t="s">
        <v>879</v>
      </c>
      <c r="J271" t="s">
        <v>717</v>
      </c>
      <c r="K271" t="s">
        <v>29</v>
      </c>
      <c r="L271" t="s">
        <v>95</v>
      </c>
      <c r="M271" t="s">
        <v>31</v>
      </c>
      <c r="N271" t="s">
        <v>57</v>
      </c>
      <c r="O271" t="s">
        <v>96</v>
      </c>
      <c r="P271">
        <v>572.76</v>
      </c>
      <c r="Q271">
        <v>6</v>
      </c>
      <c r="R271">
        <v>0</v>
      </c>
      <c r="S271">
        <v>166.10040000000001</v>
      </c>
      <c r="T271" t="s">
        <v>71</v>
      </c>
      <c r="U271" t="s">
        <v>97</v>
      </c>
    </row>
    <row r="272" spans="1:21" x14ac:dyDescent="0.25">
      <c r="A272" t="s">
        <v>1170</v>
      </c>
      <c r="B272" s="1">
        <v>42727</v>
      </c>
      <c r="C272" s="1">
        <v>42729</v>
      </c>
      <c r="D272" t="s">
        <v>22</v>
      </c>
      <c r="E272" t="s">
        <v>1171</v>
      </c>
      <c r="F272" t="s">
        <v>1172</v>
      </c>
      <c r="G272" t="s">
        <v>25</v>
      </c>
      <c r="H272" t="s">
        <v>26</v>
      </c>
      <c r="I272" t="s">
        <v>879</v>
      </c>
      <c r="J272" t="s">
        <v>717</v>
      </c>
      <c r="K272" t="s">
        <v>29</v>
      </c>
      <c r="L272" t="s">
        <v>95</v>
      </c>
      <c r="M272" t="s">
        <v>31</v>
      </c>
      <c r="N272" t="s">
        <v>57</v>
      </c>
      <c r="O272" t="s">
        <v>96</v>
      </c>
      <c r="P272">
        <v>286.38</v>
      </c>
      <c r="Q272">
        <v>3</v>
      </c>
      <c r="R272">
        <v>0</v>
      </c>
      <c r="S272">
        <v>83.050200000000004</v>
      </c>
      <c r="T272" t="s">
        <v>71</v>
      </c>
      <c r="U272" t="s">
        <v>97</v>
      </c>
    </row>
    <row r="273" spans="1:21" x14ac:dyDescent="0.25">
      <c r="A273" t="s">
        <v>1173</v>
      </c>
      <c r="B273" s="1">
        <v>42266</v>
      </c>
      <c r="C273" s="1">
        <v>42271</v>
      </c>
      <c r="D273" t="s">
        <v>22</v>
      </c>
      <c r="E273" t="s">
        <v>1174</v>
      </c>
      <c r="F273" t="s">
        <v>1175</v>
      </c>
      <c r="G273" t="s">
        <v>101</v>
      </c>
      <c r="H273" t="s">
        <v>26</v>
      </c>
      <c r="I273" t="s">
        <v>690</v>
      </c>
      <c r="J273" t="s">
        <v>717</v>
      </c>
      <c r="K273" t="s">
        <v>29</v>
      </c>
      <c r="L273" t="s">
        <v>1176</v>
      </c>
      <c r="M273" t="s">
        <v>31</v>
      </c>
      <c r="N273" t="s">
        <v>32</v>
      </c>
      <c r="O273" t="s">
        <v>1177</v>
      </c>
      <c r="P273">
        <v>61.96</v>
      </c>
      <c r="Q273">
        <v>2</v>
      </c>
      <c r="R273">
        <v>0</v>
      </c>
      <c r="S273">
        <v>4.3372000000000002</v>
      </c>
      <c r="T273" t="s">
        <v>59</v>
      </c>
      <c r="U273" t="s">
        <v>78</v>
      </c>
    </row>
    <row r="274" spans="1:21" x14ac:dyDescent="0.25">
      <c r="A274" t="s">
        <v>1178</v>
      </c>
      <c r="B274" s="1">
        <v>42919</v>
      </c>
      <c r="C274" s="1">
        <v>42923</v>
      </c>
      <c r="D274" t="s">
        <v>40</v>
      </c>
      <c r="E274" t="s">
        <v>1179</v>
      </c>
      <c r="F274" t="s">
        <v>1180</v>
      </c>
      <c r="G274" t="s">
        <v>25</v>
      </c>
      <c r="H274" t="s">
        <v>26</v>
      </c>
      <c r="I274" t="s">
        <v>348</v>
      </c>
      <c r="J274" t="s">
        <v>668</v>
      </c>
      <c r="K274" t="s">
        <v>29</v>
      </c>
      <c r="L274" t="s">
        <v>1181</v>
      </c>
      <c r="M274" t="s">
        <v>31</v>
      </c>
      <c r="N274" t="s">
        <v>57</v>
      </c>
      <c r="O274" t="s">
        <v>1182</v>
      </c>
      <c r="P274">
        <v>23.99</v>
      </c>
      <c r="Q274">
        <v>1</v>
      </c>
      <c r="R274">
        <v>0</v>
      </c>
      <c r="S274">
        <v>5.5176999999999996</v>
      </c>
      <c r="T274" t="s">
        <v>84</v>
      </c>
      <c r="U274" t="s">
        <v>72</v>
      </c>
    </row>
    <row r="275" spans="1:21" x14ac:dyDescent="0.25">
      <c r="A275" t="s">
        <v>1183</v>
      </c>
      <c r="B275" s="1">
        <v>42541</v>
      </c>
      <c r="C275" s="1">
        <v>42542</v>
      </c>
      <c r="D275" t="s">
        <v>88</v>
      </c>
      <c r="E275" t="s">
        <v>1184</v>
      </c>
      <c r="F275" t="s">
        <v>1185</v>
      </c>
      <c r="G275" t="s">
        <v>25</v>
      </c>
      <c r="H275" t="s">
        <v>26</v>
      </c>
      <c r="I275" t="s">
        <v>1186</v>
      </c>
      <c r="J275" t="s">
        <v>54</v>
      </c>
      <c r="K275" t="s">
        <v>55</v>
      </c>
      <c r="L275" t="s">
        <v>1187</v>
      </c>
      <c r="M275" t="s">
        <v>31</v>
      </c>
      <c r="N275" t="s">
        <v>37</v>
      </c>
      <c r="O275" t="s">
        <v>1188</v>
      </c>
      <c r="P275">
        <v>161.56800000000001</v>
      </c>
      <c r="Q275">
        <v>2</v>
      </c>
      <c r="R275">
        <v>0.2</v>
      </c>
      <c r="S275">
        <v>-8.0784000000000002</v>
      </c>
      <c r="T275" t="s">
        <v>124</v>
      </c>
      <c r="U275" t="s">
        <v>60</v>
      </c>
    </row>
    <row r="276" spans="1:21" x14ac:dyDescent="0.25">
      <c r="A276" t="s">
        <v>1189</v>
      </c>
      <c r="B276" s="1">
        <v>42637</v>
      </c>
      <c r="C276" s="1">
        <v>42644</v>
      </c>
      <c r="D276" t="s">
        <v>40</v>
      </c>
      <c r="E276" t="s">
        <v>492</v>
      </c>
      <c r="F276" t="s">
        <v>493</v>
      </c>
      <c r="G276" t="s">
        <v>25</v>
      </c>
      <c r="H276" t="s">
        <v>26</v>
      </c>
      <c r="I276" t="s">
        <v>348</v>
      </c>
      <c r="J276" t="s">
        <v>232</v>
      </c>
      <c r="K276" t="s">
        <v>68</v>
      </c>
      <c r="L276" t="s">
        <v>822</v>
      </c>
      <c r="M276" t="s">
        <v>31</v>
      </c>
      <c r="N276" t="s">
        <v>37</v>
      </c>
      <c r="O276" t="s">
        <v>823</v>
      </c>
      <c r="P276">
        <v>155.37200000000001</v>
      </c>
      <c r="Q276">
        <v>2</v>
      </c>
      <c r="R276">
        <v>0.3</v>
      </c>
      <c r="S276">
        <v>-13.317600000000001</v>
      </c>
      <c r="T276" t="s">
        <v>48</v>
      </c>
      <c r="U276" t="s">
        <v>78</v>
      </c>
    </row>
    <row r="277" spans="1:21" x14ac:dyDescent="0.25">
      <c r="A277" t="s">
        <v>1190</v>
      </c>
      <c r="B277" s="1">
        <v>42722</v>
      </c>
      <c r="C277" s="1">
        <v>42727</v>
      </c>
      <c r="D277" t="s">
        <v>40</v>
      </c>
      <c r="E277" t="s">
        <v>1191</v>
      </c>
      <c r="F277" t="s">
        <v>1192</v>
      </c>
      <c r="G277" t="s">
        <v>91</v>
      </c>
      <c r="H277" t="s">
        <v>26</v>
      </c>
      <c r="I277" t="s">
        <v>53</v>
      </c>
      <c r="J277" t="s">
        <v>54</v>
      </c>
      <c r="K277" t="s">
        <v>55</v>
      </c>
      <c r="L277" t="s">
        <v>1193</v>
      </c>
      <c r="M277" t="s">
        <v>31</v>
      </c>
      <c r="N277" t="s">
        <v>57</v>
      </c>
      <c r="O277" t="s">
        <v>1194</v>
      </c>
      <c r="P277">
        <v>183.84</v>
      </c>
      <c r="Q277">
        <v>8</v>
      </c>
      <c r="R277">
        <v>0</v>
      </c>
      <c r="S277">
        <v>62.505600000000001</v>
      </c>
      <c r="T277" t="s">
        <v>59</v>
      </c>
      <c r="U277" t="s">
        <v>97</v>
      </c>
    </row>
    <row r="278" spans="1:21" x14ac:dyDescent="0.25">
      <c r="A278" t="s">
        <v>1195</v>
      </c>
      <c r="B278" s="1">
        <v>42169</v>
      </c>
      <c r="C278" s="1">
        <v>42173</v>
      </c>
      <c r="D278" t="s">
        <v>40</v>
      </c>
      <c r="E278" t="s">
        <v>205</v>
      </c>
      <c r="F278" t="s">
        <v>206</v>
      </c>
      <c r="G278" t="s">
        <v>101</v>
      </c>
      <c r="H278" t="s">
        <v>26</v>
      </c>
      <c r="I278" t="s">
        <v>66</v>
      </c>
      <c r="J278" t="s">
        <v>67</v>
      </c>
      <c r="K278" t="s">
        <v>68</v>
      </c>
      <c r="L278" t="s">
        <v>1114</v>
      </c>
      <c r="M278" t="s">
        <v>31</v>
      </c>
      <c r="N278" t="s">
        <v>57</v>
      </c>
      <c r="O278" t="s">
        <v>1115</v>
      </c>
      <c r="P278">
        <v>51.072000000000003</v>
      </c>
      <c r="Q278">
        <v>6</v>
      </c>
      <c r="R278">
        <v>0.2</v>
      </c>
      <c r="S278">
        <v>5.1071999999999997</v>
      </c>
      <c r="T278" t="s">
        <v>84</v>
      </c>
      <c r="U278" t="s">
        <v>60</v>
      </c>
    </row>
    <row r="279" spans="1:21" x14ac:dyDescent="0.25">
      <c r="A279" t="s">
        <v>1196</v>
      </c>
      <c r="B279" s="1">
        <v>42513</v>
      </c>
      <c r="C279" s="1">
        <v>42517</v>
      </c>
      <c r="D279" t="s">
        <v>40</v>
      </c>
      <c r="E279" t="s">
        <v>1197</v>
      </c>
      <c r="F279" t="s">
        <v>1198</v>
      </c>
      <c r="G279" t="s">
        <v>25</v>
      </c>
      <c r="H279" t="s">
        <v>26</v>
      </c>
      <c r="I279" t="s">
        <v>329</v>
      </c>
      <c r="J279" t="s">
        <v>54</v>
      </c>
      <c r="K279" t="s">
        <v>55</v>
      </c>
      <c r="L279" t="s">
        <v>1129</v>
      </c>
      <c r="M279" t="s">
        <v>31</v>
      </c>
      <c r="N279" t="s">
        <v>57</v>
      </c>
      <c r="O279" t="s">
        <v>1130</v>
      </c>
      <c r="P279">
        <v>37.049999999999997</v>
      </c>
      <c r="Q279">
        <v>3</v>
      </c>
      <c r="R279">
        <v>0</v>
      </c>
      <c r="S279">
        <v>16.302</v>
      </c>
      <c r="T279" t="s">
        <v>84</v>
      </c>
      <c r="U279" t="s">
        <v>162</v>
      </c>
    </row>
    <row r="280" spans="1:21" x14ac:dyDescent="0.25">
      <c r="A280" t="s">
        <v>1199</v>
      </c>
      <c r="B280" s="1">
        <v>42827</v>
      </c>
      <c r="C280" s="1">
        <v>42832</v>
      </c>
      <c r="D280" t="s">
        <v>40</v>
      </c>
      <c r="E280" t="s">
        <v>1200</v>
      </c>
      <c r="F280" t="s">
        <v>1201</v>
      </c>
      <c r="G280" t="s">
        <v>25</v>
      </c>
      <c r="H280" t="s">
        <v>26</v>
      </c>
      <c r="I280" t="s">
        <v>53</v>
      </c>
      <c r="J280" t="s">
        <v>54</v>
      </c>
      <c r="K280" t="s">
        <v>55</v>
      </c>
      <c r="L280" t="s">
        <v>1148</v>
      </c>
      <c r="M280" t="s">
        <v>31</v>
      </c>
      <c r="N280" t="s">
        <v>57</v>
      </c>
      <c r="O280" t="s">
        <v>1149</v>
      </c>
      <c r="P280">
        <v>25.11</v>
      </c>
      <c r="Q280">
        <v>3</v>
      </c>
      <c r="R280">
        <v>0</v>
      </c>
      <c r="S280">
        <v>6.5286</v>
      </c>
      <c r="T280" t="s">
        <v>59</v>
      </c>
      <c r="U280" t="s">
        <v>114</v>
      </c>
    </row>
    <row r="281" spans="1:21" x14ac:dyDescent="0.25">
      <c r="A281" t="s">
        <v>1202</v>
      </c>
      <c r="B281" s="1">
        <v>42825</v>
      </c>
      <c r="C281" s="1">
        <v>42827</v>
      </c>
      <c r="D281" t="s">
        <v>22</v>
      </c>
      <c r="E281" t="s">
        <v>1203</v>
      </c>
      <c r="F281" t="s">
        <v>1204</v>
      </c>
      <c r="G281" t="s">
        <v>25</v>
      </c>
      <c r="H281" t="s">
        <v>26</v>
      </c>
      <c r="I281" t="s">
        <v>174</v>
      </c>
      <c r="J281" t="s">
        <v>121</v>
      </c>
      <c r="K281" t="s">
        <v>68</v>
      </c>
      <c r="L281" t="s">
        <v>1205</v>
      </c>
      <c r="M281" t="s">
        <v>31</v>
      </c>
      <c r="N281" t="s">
        <v>57</v>
      </c>
      <c r="O281" t="s">
        <v>1206</v>
      </c>
      <c r="P281">
        <v>29.78</v>
      </c>
      <c r="Q281">
        <v>2</v>
      </c>
      <c r="R281">
        <v>0</v>
      </c>
      <c r="S281">
        <v>8.0405999999999995</v>
      </c>
      <c r="T281" t="s">
        <v>71</v>
      </c>
      <c r="U281" t="s">
        <v>196</v>
      </c>
    </row>
    <row r="282" spans="1:21" x14ac:dyDescent="0.25">
      <c r="A282" t="s">
        <v>1207</v>
      </c>
      <c r="B282" s="1">
        <v>41915</v>
      </c>
      <c r="C282" s="1">
        <v>41920</v>
      </c>
      <c r="D282" t="s">
        <v>22</v>
      </c>
      <c r="E282" t="s">
        <v>1208</v>
      </c>
      <c r="F282" t="s">
        <v>1209</v>
      </c>
      <c r="G282" t="s">
        <v>25</v>
      </c>
      <c r="H282" t="s">
        <v>26</v>
      </c>
      <c r="I282" t="s">
        <v>1210</v>
      </c>
      <c r="J282" t="s">
        <v>135</v>
      </c>
      <c r="K282" t="s">
        <v>94</v>
      </c>
      <c r="L282" t="s">
        <v>1029</v>
      </c>
      <c r="M282" t="s">
        <v>31</v>
      </c>
      <c r="N282" t="s">
        <v>37</v>
      </c>
      <c r="O282" t="s">
        <v>1030</v>
      </c>
      <c r="P282">
        <v>258.279</v>
      </c>
      <c r="Q282">
        <v>3</v>
      </c>
      <c r="R282">
        <v>0.3</v>
      </c>
      <c r="S282">
        <v>-70.104299999999995</v>
      </c>
      <c r="T282" t="s">
        <v>59</v>
      </c>
      <c r="U282" t="s">
        <v>49</v>
      </c>
    </row>
    <row r="283" spans="1:21" x14ac:dyDescent="0.25">
      <c r="A283" t="s">
        <v>1211</v>
      </c>
      <c r="B283" s="1">
        <v>42859</v>
      </c>
      <c r="C283" s="1">
        <v>42864</v>
      </c>
      <c r="D283" t="s">
        <v>40</v>
      </c>
      <c r="E283" t="s">
        <v>939</v>
      </c>
      <c r="F283" t="s">
        <v>940</v>
      </c>
      <c r="G283" t="s">
        <v>91</v>
      </c>
      <c r="H283" t="s">
        <v>26</v>
      </c>
      <c r="I283" t="s">
        <v>329</v>
      </c>
      <c r="J283" t="s">
        <v>54</v>
      </c>
      <c r="K283" t="s">
        <v>55</v>
      </c>
      <c r="L283" t="s">
        <v>307</v>
      </c>
      <c r="M283" t="s">
        <v>31</v>
      </c>
      <c r="N283" t="s">
        <v>46</v>
      </c>
      <c r="O283" t="s">
        <v>308</v>
      </c>
      <c r="P283">
        <v>300.904</v>
      </c>
      <c r="Q283">
        <v>1</v>
      </c>
      <c r="R283">
        <v>0.2</v>
      </c>
      <c r="S283">
        <v>11.283899999999999</v>
      </c>
      <c r="T283" t="s">
        <v>59</v>
      </c>
      <c r="U283" t="s">
        <v>162</v>
      </c>
    </row>
    <row r="284" spans="1:21" x14ac:dyDescent="0.25">
      <c r="A284" t="s">
        <v>1212</v>
      </c>
      <c r="B284" s="1">
        <v>42851</v>
      </c>
      <c r="C284" s="1">
        <v>42852</v>
      </c>
      <c r="D284" t="s">
        <v>88</v>
      </c>
      <c r="E284" t="s">
        <v>1213</v>
      </c>
      <c r="F284" t="s">
        <v>1214</v>
      </c>
      <c r="G284" t="s">
        <v>25</v>
      </c>
      <c r="H284" t="s">
        <v>26</v>
      </c>
      <c r="I284" t="s">
        <v>596</v>
      </c>
      <c r="J284" t="s">
        <v>93</v>
      </c>
      <c r="K284" t="s">
        <v>94</v>
      </c>
      <c r="L284" t="s">
        <v>651</v>
      </c>
      <c r="M284" t="s">
        <v>31</v>
      </c>
      <c r="N284" t="s">
        <v>57</v>
      </c>
      <c r="O284" t="s">
        <v>652</v>
      </c>
      <c r="P284">
        <v>1.988</v>
      </c>
      <c r="Q284">
        <v>1</v>
      </c>
      <c r="R284">
        <v>0.6</v>
      </c>
      <c r="S284">
        <v>-1.4413</v>
      </c>
      <c r="T284" t="s">
        <v>124</v>
      </c>
      <c r="U284" t="s">
        <v>114</v>
      </c>
    </row>
    <row r="285" spans="1:21" x14ac:dyDescent="0.25">
      <c r="A285" t="s">
        <v>1215</v>
      </c>
      <c r="B285" s="1">
        <v>41908</v>
      </c>
      <c r="C285" s="1">
        <v>41913</v>
      </c>
      <c r="D285" t="s">
        <v>22</v>
      </c>
      <c r="E285" t="s">
        <v>1216</v>
      </c>
      <c r="F285" t="s">
        <v>1217</v>
      </c>
      <c r="G285" t="s">
        <v>25</v>
      </c>
      <c r="H285" t="s">
        <v>26</v>
      </c>
      <c r="I285" t="s">
        <v>53</v>
      </c>
      <c r="J285" t="s">
        <v>54</v>
      </c>
      <c r="K285" t="s">
        <v>55</v>
      </c>
      <c r="L285" t="s">
        <v>1218</v>
      </c>
      <c r="M285" t="s">
        <v>31</v>
      </c>
      <c r="N285" t="s">
        <v>37</v>
      </c>
      <c r="O285" t="s">
        <v>1219</v>
      </c>
      <c r="P285">
        <v>145.56800000000001</v>
      </c>
      <c r="Q285">
        <v>2</v>
      </c>
      <c r="R285">
        <v>0.2</v>
      </c>
      <c r="S285">
        <v>0</v>
      </c>
      <c r="T285" t="s">
        <v>59</v>
      </c>
      <c r="U285" t="s">
        <v>78</v>
      </c>
    </row>
    <row r="286" spans="1:21" x14ac:dyDescent="0.25">
      <c r="A286" t="s">
        <v>1220</v>
      </c>
      <c r="B286" s="1">
        <v>43049</v>
      </c>
      <c r="C286" s="1">
        <v>43050</v>
      </c>
      <c r="D286" t="s">
        <v>88</v>
      </c>
      <c r="E286" t="s">
        <v>1221</v>
      </c>
      <c r="F286" t="s">
        <v>1222</v>
      </c>
      <c r="G286" t="s">
        <v>91</v>
      </c>
      <c r="H286" t="s">
        <v>26</v>
      </c>
      <c r="I286" t="s">
        <v>1223</v>
      </c>
      <c r="J286" t="s">
        <v>521</v>
      </c>
      <c r="K286" t="s">
        <v>55</v>
      </c>
      <c r="L286" t="s">
        <v>406</v>
      </c>
      <c r="M286" t="s">
        <v>31</v>
      </c>
      <c r="N286" t="s">
        <v>37</v>
      </c>
      <c r="O286" t="s">
        <v>407</v>
      </c>
      <c r="P286">
        <v>899.13599999999997</v>
      </c>
      <c r="Q286">
        <v>4</v>
      </c>
      <c r="R286">
        <v>0.2</v>
      </c>
      <c r="S286">
        <v>-146.1096</v>
      </c>
      <c r="T286" t="s">
        <v>124</v>
      </c>
      <c r="U286" t="s">
        <v>35</v>
      </c>
    </row>
    <row r="287" spans="1:21" x14ac:dyDescent="0.25">
      <c r="A287" t="s">
        <v>1224</v>
      </c>
      <c r="B287" s="1">
        <v>42924</v>
      </c>
      <c r="C287" s="1">
        <v>42927</v>
      </c>
      <c r="D287" t="s">
        <v>88</v>
      </c>
      <c r="E287" t="s">
        <v>1225</v>
      </c>
      <c r="F287" t="s">
        <v>1226</v>
      </c>
      <c r="G287" t="s">
        <v>101</v>
      </c>
      <c r="H287" t="s">
        <v>26</v>
      </c>
      <c r="I287" t="s">
        <v>1227</v>
      </c>
      <c r="J287" t="s">
        <v>54</v>
      </c>
      <c r="K287" t="s">
        <v>55</v>
      </c>
      <c r="L287" t="s">
        <v>390</v>
      </c>
      <c r="M287" t="s">
        <v>31</v>
      </c>
      <c r="N287" t="s">
        <v>57</v>
      </c>
      <c r="O287" t="s">
        <v>391</v>
      </c>
      <c r="P287">
        <v>145.9</v>
      </c>
      <c r="Q287">
        <v>5</v>
      </c>
      <c r="R287">
        <v>0</v>
      </c>
      <c r="S287">
        <v>62.737000000000002</v>
      </c>
      <c r="T287" t="s">
        <v>34</v>
      </c>
      <c r="U287" t="s">
        <v>72</v>
      </c>
    </row>
    <row r="288" spans="1:21" x14ac:dyDescent="0.25">
      <c r="A288" t="s">
        <v>1228</v>
      </c>
      <c r="B288" s="1">
        <v>42362</v>
      </c>
      <c r="C288" s="1">
        <v>42366</v>
      </c>
      <c r="D288" t="s">
        <v>40</v>
      </c>
      <c r="E288" t="s">
        <v>1229</v>
      </c>
      <c r="F288" t="s">
        <v>1230</v>
      </c>
      <c r="G288" t="s">
        <v>25</v>
      </c>
      <c r="H288" t="s">
        <v>26</v>
      </c>
      <c r="I288" t="s">
        <v>354</v>
      </c>
      <c r="J288" t="s">
        <v>181</v>
      </c>
      <c r="K288" t="s">
        <v>55</v>
      </c>
      <c r="L288" t="s">
        <v>261</v>
      </c>
      <c r="M288" t="s">
        <v>31</v>
      </c>
      <c r="N288" t="s">
        <v>32</v>
      </c>
      <c r="O288" t="s">
        <v>262</v>
      </c>
      <c r="P288">
        <v>590.05799999999999</v>
      </c>
      <c r="Q288">
        <v>7</v>
      </c>
      <c r="R288">
        <v>0.7</v>
      </c>
      <c r="S288">
        <v>-786.74400000000003</v>
      </c>
      <c r="T288" t="s">
        <v>84</v>
      </c>
      <c r="U288" t="s">
        <v>97</v>
      </c>
    </row>
    <row r="289" spans="1:21" x14ac:dyDescent="0.25">
      <c r="A289" t="s">
        <v>1231</v>
      </c>
      <c r="B289" s="1">
        <v>42261</v>
      </c>
      <c r="C289" s="1">
        <v>42266</v>
      </c>
      <c r="D289" t="s">
        <v>40</v>
      </c>
      <c r="E289" t="s">
        <v>1232</v>
      </c>
      <c r="F289" t="s">
        <v>1233</v>
      </c>
      <c r="G289" t="s">
        <v>25</v>
      </c>
      <c r="H289" t="s">
        <v>26</v>
      </c>
      <c r="I289" t="s">
        <v>1234</v>
      </c>
      <c r="J289" t="s">
        <v>77</v>
      </c>
      <c r="K289" t="s">
        <v>55</v>
      </c>
      <c r="L289" t="s">
        <v>1235</v>
      </c>
      <c r="M289" t="s">
        <v>31</v>
      </c>
      <c r="N289" t="s">
        <v>46</v>
      </c>
      <c r="O289" t="s">
        <v>1236</v>
      </c>
      <c r="P289">
        <v>912.75</v>
      </c>
      <c r="Q289">
        <v>5</v>
      </c>
      <c r="R289">
        <v>0</v>
      </c>
      <c r="S289">
        <v>118.6575</v>
      </c>
      <c r="T289" t="s">
        <v>59</v>
      </c>
      <c r="U289" t="s">
        <v>78</v>
      </c>
    </row>
    <row r="290" spans="1:21" x14ac:dyDescent="0.25">
      <c r="A290" t="s">
        <v>1237</v>
      </c>
      <c r="B290" s="1">
        <v>42616</v>
      </c>
      <c r="C290" s="1">
        <v>42622</v>
      </c>
      <c r="D290" t="s">
        <v>40</v>
      </c>
      <c r="E290" t="s">
        <v>1238</v>
      </c>
      <c r="F290" t="s">
        <v>1239</v>
      </c>
      <c r="G290" t="s">
        <v>101</v>
      </c>
      <c r="H290" t="s">
        <v>26</v>
      </c>
      <c r="I290" t="s">
        <v>180</v>
      </c>
      <c r="J290" t="s">
        <v>135</v>
      </c>
      <c r="K290" t="s">
        <v>94</v>
      </c>
      <c r="L290" t="s">
        <v>726</v>
      </c>
      <c r="M290" t="s">
        <v>31</v>
      </c>
      <c r="N290" t="s">
        <v>57</v>
      </c>
      <c r="O290" t="s">
        <v>727</v>
      </c>
      <c r="P290">
        <v>83.951999999999998</v>
      </c>
      <c r="Q290">
        <v>3</v>
      </c>
      <c r="R290">
        <v>0.6</v>
      </c>
      <c r="S290">
        <v>-90.248400000000004</v>
      </c>
      <c r="T290" t="s">
        <v>130</v>
      </c>
      <c r="U290" t="s">
        <v>78</v>
      </c>
    </row>
    <row r="291" spans="1:21" x14ac:dyDescent="0.25">
      <c r="A291" t="s">
        <v>1240</v>
      </c>
      <c r="B291" s="1">
        <v>42405</v>
      </c>
      <c r="C291" s="1">
        <v>42405</v>
      </c>
      <c r="D291" t="s">
        <v>426</v>
      </c>
      <c r="E291" t="s">
        <v>1241</v>
      </c>
      <c r="F291" t="s">
        <v>1242</v>
      </c>
      <c r="G291" t="s">
        <v>101</v>
      </c>
      <c r="H291" t="s">
        <v>26</v>
      </c>
      <c r="I291" t="s">
        <v>1243</v>
      </c>
      <c r="J291" t="s">
        <v>668</v>
      </c>
      <c r="K291" t="s">
        <v>29</v>
      </c>
      <c r="L291" t="s">
        <v>355</v>
      </c>
      <c r="M291" t="s">
        <v>31</v>
      </c>
      <c r="N291" t="s">
        <v>57</v>
      </c>
      <c r="O291" t="s">
        <v>1244</v>
      </c>
      <c r="P291">
        <v>18.84</v>
      </c>
      <c r="Q291">
        <v>3</v>
      </c>
      <c r="R291">
        <v>0</v>
      </c>
      <c r="S291">
        <v>7.1592000000000002</v>
      </c>
      <c r="T291" t="s">
        <v>431</v>
      </c>
      <c r="U291" t="s">
        <v>298</v>
      </c>
    </row>
    <row r="292" spans="1:21" x14ac:dyDescent="0.25">
      <c r="A292" t="s">
        <v>1240</v>
      </c>
      <c r="B292" s="1">
        <v>42405</v>
      </c>
      <c r="C292" s="1">
        <v>42405</v>
      </c>
      <c r="D292" t="s">
        <v>426</v>
      </c>
      <c r="E292" t="s">
        <v>1241</v>
      </c>
      <c r="F292" t="s">
        <v>1242</v>
      </c>
      <c r="G292" t="s">
        <v>101</v>
      </c>
      <c r="H292" t="s">
        <v>26</v>
      </c>
      <c r="I292" t="s">
        <v>1243</v>
      </c>
      <c r="J292" t="s">
        <v>668</v>
      </c>
      <c r="K292" t="s">
        <v>29</v>
      </c>
      <c r="L292" t="s">
        <v>711</v>
      </c>
      <c r="M292" t="s">
        <v>31</v>
      </c>
      <c r="N292" t="s">
        <v>32</v>
      </c>
      <c r="O292" t="s">
        <v>712</v>
      </c>
      <c r="P292">
        <v>239.98</v>
      </c>
      <c r="Q292">
        <v>2</v>
      </c>
      <c r="R292">
        <v>0</v>
      </c>
      <c r="S292">
        <v>52.7956</v>
      </c>
      <c r="T292" t="s">
        <v>431</v>
      </c>
      <c r="U292" t="s">
        <v>298</v>
      </c>
    </row>
    <row r="293" spans="1:21" x14ac:dyDescent="0.25">
      <c r="A293" t="s">
        <v>1245</v>
      </c>
      <c r="B293" s="1">
        <v>43017</v>
      </c>
      <c r="C293" s="1">
        <v>43022</v>
      </c>
      <c r="D293" t="s">
        <v>40</v>
      </c>
      <c r="E293" t="s">
        <v>1246</v>
      </c>
      <c r="F293" t="s">
        <v>1247</v>
      </c>
      <c r="G293" t="s">
        <v>91</v>
      </c>
      <c r="H293" t="s">
        <v>26</v>
      </c>
      <c r="I293" t="s">
        <v>180</v>
      </c>
      <c r="J293" t="s">
        <v>135</v>
      </c>
      <c r="K293" t="s">
        <v>94</v>
      </c>
      <c r="L293" t="s">
        <v>1248</v>
      </c>
      <c r="M293" t="s">
        <v>31</v>
      </c>
      <c r="N293" t="s">
        <v>46</v>
      </c>
      <c r="O293" t="s">
        <v>1249</v>
      </c>
      <c r="P293">
        <v>652.45000000000005</v>
      </c>
      <c r="Q293">
        <v>5</v>
      </c>
      <c r="R293">
        <v>0.5</v>
      </c>
      <c r="S293">
        <v>-430.61700000000002</v>
      </c>
      <c r="T293" t="s">
        <v>59</v>
      </c>
      <c r="U293" t="s">
        <v>49</v>
      </c>
    </row>
    <row r="294" spans="1:21" x14ac:dyDescent="0.25">
      <c r="A294" t="s">
        <v>1245</v>
      </c>
      <c r="B294" s="1">
        <v>43017</v>
      </c>
      <c r="C294" s="1">
        <v>43022</v>
      </c>
      <c r="D294" t="s">
        <v>40</v>
      </c>
      <c r="E294" t="s">
        <v>1246</v>
      </c>
      <c r="F294" t="s">
        <v>1247</v>
      </c>
      <c r="G294" t="s">
        <v>91</v>
      </c>
      <c r="H294" t="s">
        <v>26</v>
      </c>
      <c r="I294" t="s">
        <v>180</v>
      </c>
      <c r="J294" t="s">
        <v>135</v>
      </c>
      <c r="K294" t="s">
        <v>94</v>
      </c>
      <c r="L294" t="s">
        <v>1250</v>
      </c>
      <c r="M294" t="s">
        <v>31</v>
      </c>
      <c r="N294" t="s">
        <v>46</v>
      </c>
      <c r="O294" t="s">
        <v>1251</v>
      </c>
      <c r="P294">
        <v>66.644999999999996</v>
      </c>
      <c r="Q294">
        <v>3</v>
      </c>
      <c r="R294">
        <v>0.5</v>
      </c>
      <c r="S294">
        <v>-42.652799999999999</v>
      </c>
      <c r="T294" t="s">
        <v>59</v>
      </c>
      <c r="U294" t="s">
        <v>49</v>
      </c>
    </row>
    <row r="295" spans="1:21" x14ac:dyDescent="0.25">
      <c r="A295" t="s">
        <v>1252</v>
      </c>
      <c r="B295" s="1">
        <v>42479</v>
      </c>
      <c r="C295" s="1">
        <v>42485</v>
      </c>
      <c r="D295" t="s">
        <v>40</v>
      </c>
      <c r="E295" t="s">
        <v>1253</v>
      </c>
      <c r="F295" t="s">
        <v>1254</v>
      </c>
      <c r="G295" t="s">
        <v>101</v>
      </c>
      <c r="H295" t="s">
        <v>26</v>
      </c>
      <c r="I295" t="s">
        <v>348</v>
      </c>
      <c r="J295" t="s">
        <v>232</v>
      </c>
      <c r="K295" t="s">
        <v>68</v>
      </c>
      <c r="L295" t="s">
        <v>1255</v>
      </c>
      <c r="M295" t="s">
        <v>31</v>
      </c>
      <c r="N295" t="s">
        <v>46</v>
      </c>
      <c r="O295" t="s">
        <v>1256</v>
      </c>
      <c r="P295">
        <v>205.17599999999999</v>
      </c>
      <c r="Q295">
        <v>2</v>
      </c>
      <c r="R295">
        <v>0.4</v>
      </c>
      <c r="S295">
        <v>-58.133200000000002</v>
      </c>
      <c r="T295" t="s">
        <v>130</v>
      </c>
      <c r="U295" t="s">
        <v>114</v>
      </c>
    </row>
    <row r="296" spans="1:21" x14ac:dyDescent="0.25">
      <c r="A296" t="s">
        <v>1257</v>
      </c>
      <c r="B296" s="1">
        <v>41735</v>
      </c>
      <c r="C296" s="1">
        <v>41737</v>
      </c>
      <c r="D296" t="s">
        <v>88</v>
      </c>
      <c r="E296" t="s">
        <v>1258</v>
      </c>
      <c r="F296" t="s">
        <v>1259</v>
      </c>
      <c r="G296" t="s">
        <v>101</v>
      </c>
      <c r="H296" t="s">
        <v>26</v>
      </c>
      <c r="I296" t="s">
        <v>66</v>
      </c>
      <c r="J296" t="s">
        <v>67</v>
      </c>
      <c r="K296" t="s">
        <v>68</v>
      </c>
      <c r="L296" t="s">
        <v>1260</v>
      </c>
      <c r="M296" t="s">
        <v>31</v>
      </c>
      <c r="N296" t="s">
        <v>46</v>
      </c>
      <c r="O296" t="s">
        <v>1064</v>
      </c>
      <c r="P296">
        <v>154.76400000000001</v>
      </c>
      <c r="Q296">
        <v>3</v>
      </c>
      <c r="R296">
        <v>0.4</v>
      </c>
      <c r="S296">
        <v>-36.111600000000003</v>
      </c>
      <c r="T296" t="s">
        <v>71</v>
      </c>
      <c r="U296" t="s">
        <v>114</v>
      </c>
    </row>
    <row r="297" spans="1:21" x14ac:dyDescent="0.25">
      <c r="A297" t="s">
        <v>1261</v>
      </c>
      <c r="B297" s="1">
        <v>42615</v>
      </c>
      <c r="C297" s="1">
        <v>42619</v>
      </c>
      <c r="D297" t="s">
        <v>40</v>
      </c>
      <c r="E297" t="s">
        <v>1032</v>
      </c>
      <c r="F297" t="s">
        <v>1033</v>
      </c>
      <c r="G297" t="s">
        <v>25</v>
      </c>
      <c r="H297" t="s">
        <v>26</v>
      </c>
      <c r="I297" t="s">
        <v>174</v>
      </c>
      <c r="J297" t="s">
        <v>121</v>
      </c>
      <c r="K297" t="s">
        <v>68</v>
      </c>
      <c r="L297" t="s">
        <v>401</v>
      </c>
      <c r="M297" t="s">
        <v>31</v>
      </c>
      <c r="N297" t="s">
        <v>57</v>
      </c>
      <c r="O297" t="s">
        <v>402</v>
      </c>
      <c r="P297">
        <v>39.979999999999997</v>
      </c>
      <c r="Q297">
        <v>2</v>
      </c>
      <c r="R297">
        <v>0</v>
      </c>
      <c r="S297">
        <v>9.9949999999999992</v>
      </c>
      <c r="T297" t="s">
        <v>84</v>
      </c>
      <c r="U297" t="s">
        <v>78</v>
      </c>
    </row>
    <row r="298" spans="1:21" x14ac:dyDescent="0.25">
      <c r="A298" t="s">
        <v>1262</v>
      </c>
      <c r="B298" s="1">
        <v>42638</v>
      </c>
      <c r="C298" s="1">
        <v>42643</v>
      </c>
      <c r="D298" t="s">
        <v>40</v>
      </c>
      <c r="E298" t="s">
        <v>1263</v>
      </c>
      <c r="F298" t="s">
        <v>1264</v>
      </c>
      <c r="G298" t="s">
        <v>25</v>
      </c>
      <c r="H298" t="s">
        <v>26</v>
      </c>
      <c r="I298" t="s">
        <v>520</v>
      </c>
      <c r="J298" t="s">
        <v>521</v>
      </c>
      <c r="K298" t="s">
        <v>55</v>
      </c>
      <c r="L298" t="s">
        <v>916</v>
      </c>
      <c r="M298" t="s">
        <v>31</v>
      </c>
      <c r="N298" t="s">
        <v>46</v>
      </c>
      <c r="O298" t="s">
        <v>917</v>
      </c>
      <c r="P298">
        <v>393.16500000000002</v>
      </c>
      <c r="Q298">
        <v>3</v>
      </c>
      <c r="R298">
        <v>0.5</v>
      </c>
      <c r="S298">
        <v>-204.44579999999999</v>
      </c>
      <c r="T298" t="s">
        <v>59</v>
      </c>
      <c r="U298" t="s">
        <v>78</v>
      </c>
    </row>
    <row r="299" spans="1:21" x14ac:dyDescent="0.25">
      <c r="A299" t="s">
        <v>1265</v>
      </c>
      <c r="B299" s="1">
        <v>42560</v>
      </c>
      <c r="C299" s="1">
        <v>42564</v>
      </c>
      <c r="D299" t="s">
        <v>40</v>
      </c>
      <c r="E299" t="s">
        <v>226</v>
      </c>
      <c r="F299" t="s">
        <v>227</v>
      </c>
      <c r="G299" t="s">
        <v>91</v>
      </c>
      <c r="H299" t="s">
        <v>26</v>
      </c>
      <c r="I299" t="s">
        <v>174</v>
      </c>
      <c r="J299" t="s">
        <v>121</v>
      </c>
      <c r="K299" t="s">
        <v>68</v>
      </c>
      <c r="L299" t="s">
        <v>806</v>
      </c>
      <c r="M299" t="s">
        <v>31</v>
      </c>
      <c r="N299" t="s">
        <v>37</v>
      </c>
      <c r="O299" t="s">
        <v>807</v>
      </c>
      <c r="P299">
        <v>408.00599999999997</v>
      </c>
      <c r="Q299">
        <v>2</v>
      </c>
      <c r="R299">
        <v>0.1</v>
      </c>
      <c r="S299">
        <v>72.534400000000005</v>
      </c>
      <c r="T299" t="s">
        <v>84</v>
      </c>
      <c r="U299" t="s">
        <v>72</v>
      </c>
    </row>
    <row r="300" spans="1:21" x14ac:dyDescent="0.25">
      <c r="A300" t="s">
        <v>1265</v>
      </c>
      <c r="B300" s="1">
        <v>42560</v>
      </c>
      <c r="C300" s="1">
        <v>42564</v>
      </c>
      <c r="D300" t="s">
        <v>40</v>
      </c>
      <c r="E300" t="s">
        <v>226</v>
      </c>
      <c r="F300" t="s">
        <v>227</v>
      </c>
      <c r="G300" t="s">
        <v>91</v>
      </c>
      <c r="H300" t="s">
        <v>26</v>
      </c>
      <c r="I300" t="s">
        <v>174</v>
      </c>
      <c r="J300" t="s">
        <v>121</v>
      </c>
      <c r="K300" t="s">
        <v>68</v>
      </c>
      <c r="L300" t="s">
        <v>597</v>
      </c>
      <c r="M300" t="s">
        <v>31</v>
      </c>
      <c r="N300" t="s">
        <v>57</v>
      </c>
      <c r="O300" t="s">
        <v>598</v>
      </c>
      <c r="P300">
        <v>165.28</v>
      </c>
      <c r="Q300">
        <v>4</v>
      </c>
      <c r="R300">
        <v>0</v>
      </c>
      <c r="S300">
        <v>14.8752</v>
      </c>
      <c r="T300" t="s">
        <v>84</v>
      </c>
      <c r="U300" t="s">
        <v>72</v>
      </c>
    </row>
    <row r="301" spans="1:21" x14ac:dyDescent="0.25">
      <c r="A301" t="s">
        <v>1266</v>
      </c>
      <c r="B301" s="1">
        <v>42763</v>
      </c>
      <c r="C301" s="1">
        <v>42766</v>
      </c>
      <c r="D301" t="s">
        <v>22</v>
      </c>
      <c r="E301" t="s">
        <v>1267</v>
      </c>
      <c r="F301" t="s">
        <v>1268</v>
      </c>
      <c r="G301" t="s">
        <v>101</v>
      </c>
      <c r="H301" t="s">
        <v>26</v>
      </c>
      <c r="I301" t="s">
        <v>551</v>
      </c>
      <c r="J301" t="s">
        <v>54</v>
      </c>
      <c r="K301" t="s">
        <v>55</v>
      </c>
      <c r="L301" t="s">
        <v>1269</v>
      </c>
      <c r="M301" t="s">
        <v>31</v>
      </c>
      <c r="N301" t="s">
        <v>57</v>
      </c>
      <c r="O301" t="s">
        <v>1270</v>
      </c>
      <c r="P301">
        <v>37.74</v>
      </c>
      <c r="Q301">
        <v>3</v>
      </c>
      <c r="R301">
        <v>0</v>
      </c>
      <c r="S301">
        <v>12.8316</v>
      </c>
      <c r="T301" t="s">
        <v>34</v>
      </c>
      <c r="U301" t="s">
        <v>170</v>
      </c>
    </row>
    <row r="302" spans="1:21" x14ac:dyDescent="0.25">
      <c r="A302" t="s">
        <v>1271</v>
      </c>
      <c r="B302" s="1">
        <v>42268</v>
      </c>
      <c r="C302" s="1">
        <v>42271</v>
      </c>
      <c r="D302" t="s">
        <v>88</v>
      </c>
      <c r="E302" t="s">
        <v>1272</v>
      </c>
      <c r="F302" t="s">
        <v>1273</v>
      </c>
      <c r="G302" t="s">
        <v>91</v>
      </c>
      <c r="H302" t="s">
        <v>26</v>
      </c>
      <c r="I302" t="s">
        <v>102</v>
      </c>
      <c r="J302" t="s">
        <v>93</v>
      </c>
      <c r="K302" t="s">
        <v>94</v>
      </c>
      <c r="L302" t="s">
        <v>112</v>
      </c>
      <c r="M302" t="s">
        <v>31</v>
      </c>
      <c r="N302" t="s">
        <v>57</v>
      </c>
      <c r="O302" t="s">
        <v>113</v>
      </c>
      <c r="P302">
        <v>4.9279999999999999</v>
      </c>
      <c r="Q302">
        <v>4</v>
      </c>
      <c r="R302">
        <v>0.6</v>
      </c>
      <c r="S302">
        <v>-1.4783999999999999</v>
      </c>
      <c r="T302" t="s">
        <v>34</v>
      </c>
      <c r="U302" t="s">
        <v>78</v>
      </c>
    </row>
    <row r="303" spans="1:21" x14ac:dyDescent="0.25">
      <c r="A303" t="s">
        <v>1274</v>
      </c>
      <c r="B303" s="1">
        <v>41992</v>
      </c>
      <c r="C303" s="1">
        <v>41994</v>
      </c>
      <c r="D303" t="s">
        <v>22</v>
      </c>
      <c r="E303" t="s">
        <v>1275</v>
      </c>
      <c r="F303" t="s">
        <v>1276</v>
      </c>
      <c r="G303" t="s">
        <v>25</v>
      </c>
      <c r="H303" t="s">
        <v>26</v>
      </c>
      <c r="I303" t="s">
        <v>855</v>
      </c>
      <c r="J303" t="s">
        <v>1277</v>
      </c>
      <c r="K303" t="s">
        <v>29</v>
      </c>
      <c r="L303" t="s">
        <v>143</v>
      </c>
      <c r="M303" t="s">
        <v>31</v>
      </c>
      <c r="N303" t="s">
        <v>37</v>
      </c>
      <c r="O303" t="s">
        <v>144</v>
      </c>
      <c r="P303">
        <v>1819.86</v>
      </c>
      <c r="Q303">
        <v>14</v>
      </c>
      <c r="R303">
        <v>0</v>
      </c>
      <c r="S303">
        <v>163.78739999999999</v>
      </c>
      <c r="T303" t="s">
        <v>71</v>
      </c>
      <c r="U303" t="s">
        <v>97</v>
      </c>
    </row>
    <row r="304" spans="1:21" x14ac:dyDescent="0.25">
      <c r="A304" t="s">
        <v>1278</v>
      </c>
      <c r="B304" s="1">
        <v>42292</v>
      </c>
      <c r="C304" s="1">
        <v>42292</v>
      </c>
      <c r="D304" t="s">
        <v>426</v>
      </c>
      <c r="E304" t="s">
        <v>139</v>
      </c>
      <c r="F304" t="s">
        <v>140</v>
      </c>
      <c r="G304" t="s">
        <v>25</v>
      </c>
      <c r="H304" t="s">
        <v>26</v>
      </c>
      <c r="I304" t="s">
        <v>529</v>
      </c>
      <c r="J304" t="s">
        <v>93</v>
      </c>
      <c r="K304" t="s">
        <v>94</v>
      </c>
      <c r="L304" t="s">
        <v>602</v>
      </c>
      <c r="M304" t="s">
        <v>31</v>
      </c>
      <c r="N304" t="s">
        <v>37</v>
      </c>
      <c r="O304" t="s">
        <v>603</v>
      </c>
      <c r="P304">
        <v>2453.4299999999998</v>
      </c>
      <c r="Q304">
        <v>5</v>
      </c>
      <c r="R304">
        <v>0.3</v>
      </c>
      <c r="S304">
        <v>-350.49</v>
      </c>
      <c r="T304" t="s">
        <v>431</v>
      </c>
      <c r="U304" t="s">
        <v>49</v>
      </c>
    </row>
    <row r="305" spans="1:21" x14ac:dyDescent="0.25">
      <c r="A305" t="s">
        <v>1279</v>
      </c>
      <c r="B305" s="1">
        <v>42899</v>
      </c>
      <c r="C305" s="1">
        <v>42902</v>
      </c>
      <c r="D305" t="s">
        <v>88</v>
      </c>
      <c r="E305" t="s">
        <v>1258</v>
      </c>
      <c r="F305" t="s">
        <v>1259</v>
      </c>
      <c r="G305" t="s">
        <v>101</v>
      </c>
      <c r="H305" t="s">
        <v>26</v>
      </c>
      <c r="I305" t="s">
        <v>134</v>
      </c>
      <c r="J305" t="s">
        <v>135</v>
      </c>
      <c r="K305" t="s">
        <v>94</v>
      </c>
      <c r="L305" t="s">
        <v>1280</v>
      </c>
      <c r="M305" t="s">
        <v>31</v>
      </c>
      <c r="N305" t="s">
        <v>37</v>
      </c>
      <c r="O305" t="s">
        <v>1281</v>
      </c>
      <c r="P305">
        <v>470.30200000000002</v>
      </c>
      <c r="Q305">
        <v>7</v>
      </c>
      <c r="R305">
        <v>0.3</v>
      </c>
      <c r="S305">
        <v>-87.341800000000006</v>
      </c>
      <c r="T305" t="s">
        <v>34</v>
      </c>
      <c r="U305" t="s">
        <v>60</v>
      </c>
    </row>
    <row r="306" spans="1:21" x14ac:dyDescent="0.25">
      <c r="A306" t="s">
        <v>1282</v>
      </c>
      <c r="B306" s="1">
        <v>42898</v>
      </c>
      <c r="C306" s="1">
        <v>42905</v>
      </c>
      <c r="D306" t="s">
        <v>40</v>
      </c>
      <c r="E306" t="s">
        <v>1283</v>
      </c>
      <c r="F306" t="s">
        <v>1284</v>
      </c>
      <c r="G306" t="s">
        <v>101</v>
      </c>
      <c r="H306" t="s">
        <v>26</v>
      </c>
      <c r="I306" t="s">
        <v>348</v>
      </c>
      <c r="J306" t="s">
        <v>668</v>
      </c>
      <c r="K306" t="s">
        <v>29</v>
      </c>
      <c r="L306" t="s">
        <v>1285</v>
      </c>
      <c r="M306" t="s">
        <v>31</v>
      </c>
      <c r="N306" t="s">
        <v>46</v>
      </c>
      <c r="O306" t="s">
        <v>1286</v>
      </c>
      <c r="P306">
        <v>452.94</v>
      </c>
      <c r="Q306">
        <v>3</v>
      </c>
      <c r="R306">
        <v>0</v>
      </c>
      <c r="S306">
        <v>67.941000000000003</v>
      </c>
      <c r="T306" t="s">
        <v>48</v>
      </c>
      <c r="U306" t="s">
        <v>60</v>
      </c>
    </row>
    <row r="307" spans="1:21" x14ac:dyDescent="0.25">
      <c r="A307" t="s">
        <v>1287</v>
      </c>
      <c r="B307" s="1">
        <v>41763</v>
      </c>
      <c r="C307" s="1">
        <v>41763</v>
      </c>
      <c r="D307" t="s">
        <v>426</v>
      </c>
      <c r="E307" t="s">
        <v>1288</v>
      </c>
      <c r="F307" t="s">
        <v>1289</v>
      </c>
      <c r="G307" t="s">
        <v>25</v>
      </c>
      <c r="H307" t="s">
        <v>26</v>
      </c>
      <c r="I307" t="s">
        <v>1290</v>
      </c>
      <c r="J307" t="s">
        <v>430</v>
      </c>
      <c r="K307" t="s">
        <v>68</v>
      </c>
      <c r="L307" t="s">
        <v>1291</v>
      </c>
      <c r="M307" t="s">
        <v>31</v>
      </c>
      <c r="N307" t="s">
        <v>57</v>
      </c>
      <c r="O307" t="s">
        <v>1292</v>
      </c>
      <c r="P307">
        <v>27.46</v>
      </c>
      <c r="Q307">
        <v>2</v>
      </c>
      <c r="R307">
        <v>0</v>
      </c>
      <c r="S307">
        <v>9.8856000000000002</v>
      </c>
      <c r="T307" t="s">
        <v>431</v>
      </c>
      <c r="U307" t="s">
        <v>162</v>
      </c>
    </row>
    <row r="308" spans="1:21" x14ac:dyDescent="0.25">
      <c r="A308" t="s">
        <v>1293</v>
      </c>
      <c r="B308" s="1">
        <v>42440</v>
      </c>
      <c r="C308" s="1">
        <v>42444</v>
      </c>
      <c r="D308" t="s">
        <v>40</v>
      </c>
      <c r="E308" t="s">
        <v>1294</v>
      </c>
      <c r="F308" t="s">
        <v>1295</v>
      </c>
      <c r="G308" t="s">
        <v>25</v>
      </c>
      <c r="H308" t="s">
        <v>26</v>
      </c>
      <c r="I308" t="s">
        <v>1296</v>
      </c>
      <c r="J308" t="s">
        <v>363</v>
      </c>
      <c r="K308" t="s">
        <v>68</v>
      </c>
      <c r="L308" t="s">
        <v>785</v>
      </c>
      <c r="M308" t="s">
        <v>31</v>
      </c>
      <c r="N308" t="s">
        <v>46</v>
      </c>
      <c r="O308" t="s">
        <v>786</v>
      </c>
      <c r="P308">
        <v>244.006</v>
      </c>
      <c r="Q308">
        <v>2</v>
      </c>
      <c r="R308">
        <v>0.3</v>
      </c>
      <c r="S308">
        <v>-31.372199999999999</v>
      </c>
      <c r="T308" t="s">
        <v>84</v>
      </c>
      <c r="U308" t="s">
        <v>196</v>
      </c>
    </row>
    <row r="309" spans="1:21" x14ac:dyDescent="0.25">
      <c r="A309" t="s">
        <v>1297</v>
      </c>
      <c r="B309" s="1">
        <v>42608</v>
      </c>
      <c r="C309" s="1">
        <v>42610</v>
      </c>
      <c r="D309" t="s">
        <v>88</v>
      </c>
      <c r="E309" t="s">
        <v>1298</v>
      </c>
      <c r="F309" t="s">
        <v>1299</v>
      </c>
      <c r="G309" t="s">
        <v>91</v>
      </c>
      <c r="H309" t="s">
        <v>26</v>
      </c>
      <c r="I309" t="s">
        <v>1186</v>
      </c>
      <c r="J309" t="s">
        <v>93</v>
      </c>
      <c r="K309" t="s">
        <v>94</v>
      </c>
      <c r="L309" t="s">
        <v>1083</v>
      </c>
      <c r="M309" t="s">
        <v>31</v>
      </c>
      <c r="N309" t="s">
        <v>37</v>
      </c>
      <c r="O309" t="s">
        <v>1084</v>
      </c>
      <c r="P309">
        <v>1024.7159999999999</v>
      </c>
      <c r="Q309">
        <v>6</v>
      </c>
      <c r="R309">
        <v>0.3</v>
      </c>
      <c r="S309">
        <v>-29.2776</v>
      </c>
      <c r="T309" t="s">
        <v>71</v>
      </c>
      <c r="U309" t="s">
        <v>254</v>
      </c>
    </row>
    <row r="310" spans="1:21" x14ac:dyDescent="0.25">
      <c r="A310" t="s">
        <v>1300</v>
      </c>
      <c r="B310" s="1">
        <v>41859</v>
      </c>
      <c r="C310" s="1">
        <v>41865</v>
      </c>
      <c r="D310" t="s">
        <v>40</v>
      </c>
      <c r="E310" t="s">
        <v>1301</v>
      </c>
      <c r="F310" t="s">
        <v>1302</v>
      </c>
      <c r="G310" t="s">
        <v>25</v>
      </c>
      <c r="H310" t="s">
        <v>26</v>
      </c>
      <c r="I310" t="s">
        <v>1303</v>
      </c>
      <c r="J310" t="s">
        <v>521</v>
      </c>
      <c r="K310" t="s">
        <v>55</v>
      </c>
      <c r="L310" t="s">
        <v>968</v>
      </c>
      <c r="M310" t="s">
        <v>31</v>
      </c>
      <c r="N310" t="s">
        <v>57</v>
      </c>
      <c r="O310" t="s">
        <v>969</v>
      </c>
      <c r="P310">
        <v>121.376</v>
      </c>
      <c r="Q310">
        <v>4</v>
      </c>
      <c r="R310">
        <v>0.2</v>
      </c>
      <c r="S310">
        <v>-3.0344000000000002</v>
      </c>
      <c r="T310" t="s">
        <v>130</v>
      </c>
      <c r="U310" t="s">
        <v>254</v>
      </c>
    </row>
    <row r="311" spans="1:21" x14ac:dyDescent="0.25">
      <c r="A311" t="s">
        <v>1304</v>
      </c>
      <c r="B311" s="1">
        <v>43078</v>
      </c>
      <c r="C311" s="1">
        <v>43082</v>
      </c>
      <c r="D311" t="s">
        <v>40</v>
      </c>
      <c r="E311" t="s">
        <v>1305</v>
      </c>
      <c r="F311" t="s">
        <v>1306</v>
      </c>
      <c r="G311" t="s">
        <v>91</v>
      </c>
      <c r="H311" t="s">
        <v>26</v>
      </c>
      <c r="I311" t="s">
        <v>289</v>
      </c>
      <c r="J311" t="s">
        <v>290</v>
      </c>
      <c r="K311" t="s">
        <v>94</v>
      </c>
      <c r="L311" t="s">
        <v>1307</v>
      </c>
      <c r="M311" t="s">
        <v>31</v>
      </c>
      <c r="N311" t="s">
        <v>37</v>
      </c>
      <c r="O311" t="s">
        <v>1308</v>
      </c>
      <c r="P311">
        <v>872.94</v>
      </c>
      <c r="Q311">
        <v>3</v>
      </c>
      <c r="R311">
        <v>0</v>
      </c>
      <c r="S311">
        <v>226.96440000000001</v>
      </c>
      <c r="T311" t="s">
        <v>84</v>
      </c>
      <c r="U311" t="s">
        <v>97</v>
      </c>
    </row>
    <row r="312" spans="1:21" x14ac:dyDescent="0.25">
      <c r="A312" t="s">
        <v>1309</v>
      </c>
      <c r="B312" s="1">
        <v>42339</v>
      </c>
      <c r="C312" s="1">
        <v>42340</v>
      </c>
      <c r="D312" t="s">
        <v>426</v>
      </c>
      <c r="E312" t="s">
        <v>1310</v>
      </c>
      <c r="F312" t="s">
        <v>1311</v>
      </c>
      <c r="G312" t="s">
        <v>25</v>
      </c>
      <c r="H312" t="s">
        <v>26</v>
      </c>
      <c r="I312" t="s">
        <v>102</v>
      </c>
      <c r="J312" t="s">
        <v>93</v>
      </c>
      <c r="K312" t="s">
        <v>94</v>
      </c>
      <c r="L312" t="s">
        <v>1312</v>
      </c>
      <c r="M312" t="s">
        <v>31</v>
      </c>
      <c r="N312" t="s">
        <v>57</v>
      </c>
      <c r="O312" t="s">
        <v>1313</v>
      </c>
      <c r="P312">
        <v>6.6879999999999997</v>
      </c>
      <c r="Q312">
        <v>4</v>
      </c>
      <c r="R312">
        <v>0.6</v>
      </c>
      <c r="S312">
        <v>-4.0128000000000004</v>
      </c>
      <c r="T312" t="s">
        <v>124</v>
      </c>
      <c r="U312" t="s">
        <v>97</v>
      </c>
    </row>
    <row r="313" spans="1:21" x14ac:dyDescent="0.25">
      <c r="A313" t="s">
        <v>1314</v>
      </c>
      <c r="B313" s="1">
        <v>42311</v>
      </c>
      <c r="C313" s="1">
        <v>42315</v>
      </c>
      <c r="D313" t="s">
        <v>40</v>
      </c>
      <c r="E313" t="s">
        <v>1315</v>
      </c>
      <c r="F313" t="s">
        <v>1316</v>
      </c>
      <c r="G313" t="s">
        <v>101</v>
      </c>
      <c r="H313" t="s">
        <v>26</v>
      </c>
      <c r="I313" t="s">
        <v>53</v>
      </c>
      <c r="J313" t="s">
        <v>54</v>
      </c>
      <c r="K313" t="s">
        <v>55</v>
      </c>
      <c r="L313" t="s">
        <v>486</v>
      </c>
      <c r="M313" t="s">
        <v>31</v>
      </c>
      <c r="N313" t="s">
        <v>57</v>
      </c>
      <c r="O313" t="s">
        <v>487</v>
      </c>
      <c r="P313">
        <v>42.6</v>
      </c>
      <c r="Q313">
        <v>3</v>
      </c>
      <c r="R313">
        <v>0</v>
      </c>
      <c r="S313">
        <v>16.614000000000001</v>
      </c>
      <c r="T313" t="s">
        <v>84</v>
      </c>
      <c r="U313" t="s">
        <v>35</v>
      </c>
    </row>
    <row r="314" spans="1:21" x14ac:dyDescent="0.25">
      <c r="A314" t="s">
        <v>1317</v>
      </c>
      <c r="B314" s="1">
        <v>43063</v>
      </c>
      <c r="C314" s="1">
        <v>43067</v>
      </c>
      <c r="D314" t="s">
        <v>40</v>
      </c>
      <c r="E314" t="s">
        <v>1318</v>
      </c>
      <c r="F314" t="s">
        <v>1319</v>
      </c>
      <c r="G314" t="s">
        <v>91</v>
      </c>
      <c r="H314" t="s">
        <v>26</v>
      </c>
      <c r="I314" t="s">
        <v>174</v>
      </c>
      <c r="J314" t="s">
        <v>121</v>
      </c>
      <c r="K314" t="s">
        <v>68</v>
      </c>
      <c r="L314" t="s">
        <v>421</v>
      </c>
      <c r="M314" t="s">
        <v>31</v>
      </c>
      <c r="N314" t="s">
        <v>37</v>
      </c>
      <c r="O314" t="s">
        <v>422</v>
      </c>
      <c r="P314">
        <v>977.29200000000003</v>
      </c>
      <c r="Q314">
        <v>6</v>
      </c>
      <c r="R314">
        <v>0.1</v>
      </c>
      <c r="S314">
        <v>173.74080000000001</v>
      </c>
      <c r="T314" t="s">
        <v>84</v>
      </c>
      <c r="U314" t="s">
        <v>35</v>
      </c>
    </row>
    <row r="315" spans="1:21" x14ac:dyDescent="0.25">
      <c r="A315" t="s">
        <v>1320</v>
      </c>
      <c r="B315" s="1">
        <v>43038</v>
      </c>
      <c r="C315" s="1">
        <v>43042</v>
      </c>
      <c r="D315" t="s">
        <v>40</v>
      </c>
      <c r="E315" t="s">
        <v>1321</v>
      </c>
      <c r="F315" t="s">
        <v>1322</v>
      </c>
      <c r="G315" t="s">
        <v>91</v>
      </c>
      <c r="H315" t="s">
        <v>26</v>
      </c>
      <c r="I315" t="s">
        <v>683</v>
      </c>
      <c r="J315" t="s">
        <v>193</v>
      </c>
      <c r="K315" t="s">
        <v>55</v>
      </c>
      <c r="L315" t="s">
        <v>960</v>
      </c>
      <c r="M315" t="s">
        <v>31</v>
      </c>
      <c r="N315" t="s">
        <v>57</v>
      </c>
      <c r="O315" t="s">
        <v>961</v>
      </c>
      <c r="P315">
        <v>9.64</v>
      </c>
      <c r="Q315">
        <v>2</v>
      </c>
      <c r="R315">
        <v>0</v>
      </c>
      <c r="S315">
        <v>3.6631999999999998</v>
      </c>
      <c r="T315" t="s">
        <v>84</v>
      </c>
      <c r="U315" t="s">
        <v>49</v>
      </c>
    </row>
    <row r="316" spans="1:21" x14ac:dyDescent="0.25">
      <c r="A316" t="s">
        <v>1323</v>
      </c>
      <c r="B316" s="1">
        <v>42698</v>
      </c>
      <c r="C316" s="1">
        <v>42705</v>
      </c>
      <c r="D316" t="s">
        <v>40</v>
      </c>
      <c r="E316" t="s">
        <v>1324</v>
      </c>
      <c r="F316" t="s">
        <v>1325</v>
      </c>
      <c r="G316" t="s">
        <v>101</v>
      </c>
      <c r="H316" t="s">
        <v>26</v>
      </c>
      <c r="I316" t="s">
        <v>53</v>
      </c>
      <c r="J316" t="s">
        <v>54</v>
      </c>
      <c r="K316" t="s">
        <v>55</v>
      </c>
      <c r="L316" t="s">
        <v>651</v>
      </c>
      <c r="M316" t="s">
        <v>31</v>
      </c>
      <c r="N316" t="s">
        <v>57</v>
      </c>
      <c r="O316" t="s">
        <v>652</v>
      </c>
      <c r="P316">
        <v>9.94</v>
      </c>
      <c r="Q316">
        <v>2</v>
      </c>
      <c r="R316">
        <v>0</v>
      </c>
      <c r="S316">
        <v>3.0813999999999999</v>
      </c>
      <c r="T316" t="s">
        <v>48</v>
      </c>
      <c r="U316" t="s">
        <v>35</v>
      </c>
    </row>
    <row r="317" spans="1:21" x14ac:dyDescent="0.25">
      <c r="A317" t="s">
        <v>1326</v>
      </c>
      <c r="B317" s="1">
        <v>42217</v>
      </c>
      <c r="C317" s="1">
        <v>42223</v>
      </c>
      <c r="D317" t="s">
        <v>40</v>
      </c>
      <c r="E317" t="s">
        <v>1327</v>
      </c>
      <c r="F317" t="s">
        <v>1328</v>
      </c>
      <c r="G317" t="s">
        <v>101</v>
      </c>
      <c r="H317" t="s">
        <v>26</v>
      </c>
      <c r="I317" t="s">
        <v>53</v>
      </c>
      <c r="J317" t="s">
        <v>54</v>
      </c>
      <c r="K317" t="s">
        <v>55</v>
      </c>
      <c r="L317" t="s">
        <v>1329</v>
      </c>
      <c r="M317" t="s">
        <v>31</v>
      </c>
      <c r="N317" t="s">
        <v>46</v>
      </c>
      <c r="O317" t="s">
        <v>1330</v>
      </c>
      <c r="P317">
        <v>1004.976</v>
      </c>
      <c r="Q317">
        <v>6</v>
      </c>
      <c r="R317">
        <v>0.2</v>
      </c>
      <c r="S317">
        <v>-175.8708</v>
      </c>
      <c r="T317" t="s">
        <v>130</v>
      </c>
      <c r="U317" t="s">
        <v>254</v>
      </c>
    </row>
    <row r="318" spans="1:21" x14ac:dyDescent="0.25">
      <c r="A318" t="s">
        <v>1331</v>
      </c>
      <c r="B318" s="1">
        <v>42990</v>
      </c>
      <c r="C318" s="1">
        <v>42993</v>
      </c>
      <c r="D318" t="s">
        <v>88</v>
      </c>
      <c r="E318" t="s">
        <v>1332</v>
      </c>
      <c r="F318" t="s">
        <v>1333</v>
      </c>
      <c r="G318" t="s">
        <v>25</v>
      </c>
      <c r="H318" t="s">
        <v>26</v>
      </c>
      <c r="I318" t="s">
        <v>53</v>
      </c>
      <c r="J318" t="s">
        <v>54</v>
      </c>
      <c r="K318" t="s">
        <v>55</v>
      </c>
      <c r="L318" t="s">
        <v>1312</v>
      </c>
      <c r="M318" t="s">
        <v>31</v>
      </c>
      <c r="N318" t="s">
        <v>57</v>
      </c>
      <c r="O318" t="s">
        <v>1313</v>
      </c>
      <c r="P318">
        <v>8.36</v>
      </c>
      <c r="Q318">
        <v>2</v>
      </c>
      <c r="R318">
        <v>0</v>
      </c>
      <c r="S318">
        <v>3.0095999999999998</v>
      </c>
      <c r="T318" t="s">
        <v>34</v>
      </c>
      <c r="U318" t="s">
        <v>78</v>
      </c>
    </row>
    <row r="319" spans="1:21" x14ac:dyDescent="0.25">
      <c r="A319" t="s">
        <v>1334</v>
      </c>
      <c r="B319" s="1">
        <v>43080</v>
      </c>
      <c r="C319" s="1">
        <v>43086</v>
      </c>
      <c r="D319" t="s">
        <v>40</v>
      </c>
      <c r="E319" t="s">
        <v>1335</v>
      </c>
      <c r="F319" t="s">
        <v>1336</v>
      </c>
      <c r="G319" t="s">
        <v>25</v>
      </c>
      <c r="H319" t="s">
        <v>26</v>
      </c>
      <c r="I319" t="s">
        <v>66</v>
      </c>
      <c r="J319" t="s">
        <v>67</v>
      </c>
      <c r="K319" t="s">
        <v>68</v>
      </c>
      <c r="L319" t="s">
        <v>1218</v>
      </c>
      <c r="M319" t="s">
        <v>31</v>
      </c>
      <c r="N319" t="s">
        <v>37</v>
      </c>
      <c r="O319" t="s">
        <v>1219</v>
      </c>
      <c r="P319">
        <v>63.686</v>
      </c>
      <c r="Q319">
        <v>1</v>
      </c>
      <c r="R319">
        <v>0.3</v>
      </c>
      <c r="S319">
        <v>-9.0980000000000008</v>
      </c>
      <c r="T319" t="s">
        <v>130</v>
      </c>
      <c r="U319" t="s">
        <v>97</v>
      </c>
    </row>
    <row r="320" spans="1:21" x14ac:dyDescent="0.25">
      <c r="A320" t="s">
        <v>1337</v>
      </c>
      <c r="B320" s="1">
        <v>43079</v>
      </c>
      <c r="C320" s="1">
        <v>43083</v>
      </c>
      <c r="D320" t="s">
        <v>22</v>
      </c>
      <c r="E320" t="s">
        <v>1338</v>
      </c>
      <c r="F320" t="s">
        <v>1339</v>
      </c>
      <c r="G320" t="s">
        <v>25</v>
      </c>
      <c r="H320" t="s">
        <v>26</v>
      </c>
      <c r="I320" t="s">
        <v>1340</v>
      </c>
      <c r="J320" t="s">
        <v>1341</v>
      </c>
      <c r="K320" t="s">
        <v>55</v>
      </c>
      <c r="L320" t="s">
        <v>613</v>
      </c>
      <c r="M320" t="s">
        <v>31</v>
      </c>
      <c r="N320" t="s">
        <v>46</v>
      </c>
      <c r="O320" t="s">
        <v>614</v>
      </c>
      <c r="P320">
        <v>1669.6</v>
      </c>
      <c r="Q320">
        <v>4</v>
      </c>
      <c r="R320">
        <v>0</v>
      </c>
      <c r="S320">
        <v>116.872</v>
      </c>
      <c r="T320" t="s">
        <v>84</v>
      </c>
      <c r="U320" t="s">
        <v>97</v>
      </c>
    </row>
    <row r="321" spans="1:21" x14ac:dyDescent="0.25">
      <c r="A321" t="s">
        <v>1342</v>
      </c>
      <c r="B321" s="1">
        <v>42344</v>
      </c>
      <c r="C321" s="1">
        <v>42349</v>
      </c>
      <c r="D321" t="s">
        <v>40</v>
      </c>
      <c r="E321" t="s">
        <v>1343</v>
      </c>
      <c r="F321" t="s">
        <v>1344</v>
      </c>
      <c r="G321" t="s">
        <v>25</v>
      </c>
      <c r="H321" t="s">
        <v>26</v>
      </c>
      <c r="I321" t="s">
        <v>1223</v>
      </c>
      <c r="J321" t="s">
        <v>521</v>
      </c>
      <c r="K321" t="s">
        <v>55</v>
      </c>
      <c r="L321" t="s">
        <v>746</v>
      </c>
      <c r="M321" t="s">
        <v>31</v>
      </c>
      <c r="N321" t="s">
        <v>57</v>
      </c>
      <c r="O321" t="s">
        <v>747</v>
      </c>
      <c r="P321">
        <v>206.11199999999999</v>
      </c>
      <c r="Q321">
        <v>6</v>
      </c>
      <c r="R321">
        <v>0.2</v>
      </c>
      <c r="S321">
        <v>48.951599999999999</v>
      </c>
      <c r="T321" t="s">
        <v>59</v>
      </c>
      <c r="U321" t="s">
        <v>97</v>
      </c>
    </row>
    <row r="322" spans="1:21" x14ac:dyDescent="0.25">
      <c r="A322" t="s">
        <v>1345</v>
      </c>
      <c r="B322" s="1">
        <v>42573</v>
      </c>
      <c r="C322" s="1">
        <v>42578</v>
      </c>
      <c r="D322" t="s">
        <v>40</v>
      </c>
      <c r="E322" t="s">
        <v>1346</v>
      </c>
      <c r="F322" t="s">
        <v>1347</v>
      </c>
      <c r="G322" t="s">
        <v>25</v>
      </c>
      <c r="H322" t="s">
        <v>26</v>
      </c>
      <c r="I322" t="s">
        <v>1348</v>
      </c>
      <c r="J322" t="s">
        <v>67</v>
      </c>
      <c r="K322" t="s">
        <v>68</v>
      </c>
      <c r="L322" t="s">
        <v>1349</v>
      </c>
      <c r="M322" t="s">
        <v>31</v>
      </c>
      <c r="N322" t="s">
        <v>57</v>
      </c>
      <c r="O322" t="s">
        <v>1350</v>
      </c>
      <c r="P322">
        <v>11.648</v>
      </c>
      <c r="Q322">
        <v>2</v>
      </c>
      <c r="R322">
        <v>0.2</v>
      </c>
      <c r="S322">
        <v>3.3488000000000002</v>
      </c>
      <c r="T322" t="s">
        <v>59</v>
      </c>
      <c r="U322" t="s">
        <v>72</v>
      </c>
    </row>
    <row r="323" spans="1:21" x14ac:dyDescent="0.25">
      <c r="A323" t="s">
        <v>1351</v>
      </c>
      <c r="B323" s="1">
        <v>42776</v>
      </c>
      <c r="C323" s="1">
        <v>42780</v>
      </c>
      <c r="D323" t="s">
        <v>40</v>
      </c>
      <c r="E323" t="s">
        <v>1352</v>
      </c>
      <c r="F323" t="s">
        <v>1353</v>
      </c>
      <c r="G323" t="s">
        <v>101</v>
      </c>
      <c r="H323" t="s">
        <v>26</v>
      </c>
      <c r="I323" t="s">
        <v>1354</v>
      </c>
      <c r="J323" t="s">
        <v>54</v>
      </c>
      <c r="K323" t="s">
        <v>55</v>
      </c>
      <c r="L323" t="s">
        <v>711</v>
      </c>
      <c r="M323" t="s">
        <v>31</v>
      </c>
      <c r="N323" t="s">
        <v>32</v>
      </c>
      <c r="O323" t="s">
        <v>712</v>
      </c>
      <c r="P323">
        <v>203.983</v>
      </c>
      <c r="Q323">
        <v>2</v>
      </c>
      <c r="R323">
        <v>0.15</v>
      </c>
      <c r="S323">
        <v>16.7986</v>
      </c>
      <c r="T323" t="s">
        <v>84</v>
      </c>
      <c r="U323" t="s">
        <v>298</v>
      </c>
    </row>
    <row r="324" spans="1:21" x14ac:dyDescent="0.25">
      <c r="A324" t="s">
        <v>1355</v>
      </c>
      <c r="B324" s="1">
        <v>42993</v>
      </c>
      <c r="C324" s="1">
        <v>42995</v>
      </c>
      <c r="D324" t="s">
        <v>22</v>
      </c>
      <c r="E324" t="s">
        <v>1356</v>
      </c>
      <c r="F324" t="s">
        <v>1357</v>
      </c>
      <c r="G324" t="s">
        <v>25</v>
      </c>
      <c r="H324" t="s">
        <v>26</v>
      </c>
      <c r="I324" t="s">
        <v>1358</v>
      </c>
      <c r="J324" t="s">
        <v>435</v>
      </c>
      <c r="K324" t="s">
        <v>68</v>
      </c>
      <c r="L324" t="s">
        <v>103</v>
      </c>
      <c r="M324" t="s">
        <v>31</v>
      </c>
      <c r="N324" t="s">
        <v>32</v>
      </c>
      <c r="O324" t="s">
        <v>104</v>
      </c>
      <c r="P324">
        <v>782.94</v>
      </c>
      <c r="Q324">
        <v>3</v>
      </c>
      <c r="R324">
        <v>0</v>
      </c>
      <c r="S324">
        <v>203.56440000000001</v>
      </c>
      <c r="T324" t="s">
        <v>71</v>
      </c>
      <c r="U324" t="s">
        <v>78</v>
      </c>
    </row>
    <row r="325" spans="1:21" x14ac:dyDescent="0.25">
      <c r="A325" t="s">
        <v>1359</v>
      </c>
      <c r="B325" s="1">
        <v>41709</v>
      </c>
      <c r="C325" s="1">
        <v>41714</v>
      </c>
      <c r="D325" t="s">
        <v>22</v>
      </c>
      <c r="E325" t="s">
        <v>1360</v>
      </c>
      <c r="F325" t="s">
        <v>1361</v>
      </c>
      <c r="G325" t="s">
        <v>25</v>
      </c>
      <c r="H325" t="s">
        <v>26</v>
      </c>
      <c r="I325" t="s">
        <v>348</v>
      </c>
      <c r="J325" t="s">
        <v>232</v>
      </c>
      <c r="K325" t="s">
        <v>68</v>
      </c>
      <c r="L325" t="s">
        <v>1362</v>
      </c>
      <c r="M325" t="s">
        <v>31</v>
      </c>
      <c r="N325" t="s">
        <v>57</v>
      </c>
      <c r="O325" t="s">
        <v>424</v>
      </c>
      <c r="P325">
        <v>8.32</v>
      </c>
      <c r="Q325">
        <v>5</v>
      </c>
      <c r="R325">
        <v>0.2</v>
      </c>
      <c r="S325">
        <v>2.2879999999999998</v>
      </c>
      <c r="T325" t="s">
        <v>59</v>
      </c>
      <c r="U325" t="s">
        <v>196</v>
      </c>
    </row>
    <row r="326" spans="1:21" x14ac:dyDescent="0.25">
      <c r="A326" t="s">
        <v>1363</v>
      </c>
      <c r="B326" s="1">
        <v>42004</v>
      </c>
      <c r="C326" s="1">
        <v>42008</v>
      </c>
      <c r="D326" t="s">
        <v>22</v>
      </c>
      <c r="E326" t="s">
        <v>1364</v>
      </c>
      <c r="F326" t="s">
        <v>1365</v>
      </c>
      <c r="G326" t="s">
        <v>91</v>
      </c>
      <c r="H326" t="s">
        <v>26</v>
      </c>
      <c r="I326" t="s">
        <v>1366</v>
      </c>
      <c r="J326" t="s">
        <v>121</v>
      </c>
      <c r="K326" t="s">
        <v>68</v>
      </c>
      <c r="L326" t="s">
        <v>261</v>
      </c>
      <c r="M326" t="s">
        <v>31</v>
      </c>
      <c r="N326" t="s">
        <v>32</v>
      </c>
      <c r="O326" t="s">
        <v>262</v>
      </c>
      <c r="P326">
        <v>1573.4880000000001</v>
      </c>
      <c r="Q326">
        <v>7</v>
      </c>
      <c r="R326">
        <v>0.2</v>
      </c>
      <c r="S326">
        <v>196.68600000000001</v>
      </c>
      <c r="T326" t="s">
        <v>84</v>
      </c>
      <c r="U326" t="s">
        <v>97</v>
      </c>
    </row>
    <row r="327" spans="1:21" x14ac:dyDescent="0.25">
      <c r="A327" t="s">
        <v>1367</v>
      </c>
      <c r="B327" s="1">
        <v>42079</v>
      </c>
      <c r="C327" s="1">
        <v>42081</v>
      </c>
      <c r="D327" t="s">
        <v>22</v>
      </c>
      <c r="E327" t="s">
        <v>538</v>
      </c>
      <c r="F327" t="s">
        <v>539</v>
      </c>
      <c r="G327" t="s">
        <v>25</v>
      </c>
      <c r="H327" t="s">
        <v>26</v>
      </c>
      <c r="I327" t="s">
        <v>192</v>
      </c>
      <c r="J327" t="s">
        <v>193</v>
      </c>
      <c r="K327" t="s">
        <v>55</v>
      </c>
      <c r="L327" t="s">
        <v>1260</v>
      </c>
      <c r="M327" t="s">
        <v>31</v>
      </c>
      <c r="N327" t="s">
        <v>46</v>
      </c>
      <c r="O327" t="s">
        <v>1064</v>
      </c>
      <c r="P327">
        <v>171.96</v>
      </c>
      <c r="Q327">
        <v>2</v>
      </c>
      <c r="R327">
        <v>0</v>
      </c>
      <c r="S327">
        <v>44.709600000000002</v>
      </c>
      <c r="T327" t="s">
        <v>71</v>
      </c>
      <c r="U327" t="s">
        <v>196</v>
      </c>
    </row>
    <row r="328" spans="1:21" x14ac:dyDescent="0.25">
      <c r="A328" t="s">
        <v>1368</v>
      </c>
      <c r="B328" s="1">
        <v>42916</v>
      </c>
      <c r="C328" s="1">
        <v>42916</v>
      </c>
      <c r="D328" t="s">
        <v>426</v>
      </c>
      <c r="E328" t="s">
        <v>1369</v>
      </c>
      <c r="F328" t="s">
        <v>1370</v>
      </c>
      <c r="G328" t="s">
        <v>25</v>
      </c>
      <c r="H328" t="s">
        <v>26</v>
      </c>
      <c r="I328" t="s">
        <v>174</v>
      </c>
      <c r="J328" t="s">
        <v>121</v>
      </c>
      <c r="K328" t="s">
        <v>68</v>
      </c>
      <c r="L328" t="s">
        <v>45</v>
      </c>
      <c r="M328" t="s">
        <v>31</v>
      </c>
      <c r="N328" t="s">
        <v>46</v>
      </c>
      <c r="O328" t="s">
        <v>47</v>
      </c>
      <c r="P328">
        <v>1044.6300000000001</v>
      </c>
      <c r="Q328">
        <v>5</v>
      </c>
      <c r="R328">
        <v>0.4</v>
      </c>
      <c r="S328">
        <v>-295.9785</v>
      </c>
      <c r="T328" t="s">
        <v>431</v>
      </c>
      <c r="U328" t="s">
        <v>60</v>
      </c>
    </row>
    <row r="329" spans="1:21" x14ac:dyDescent="0.25">
      <c r="A329" t="s">
        <v>1371</v>
      </c>
      <c r="B329" s="1">
        <v>41966</v>
      </c>
      <c r="C329" s="1">
        <v>41968</v>
      </c>
      <c r="D329" t="s">
        <v>88</v>
      </c>
      <c r="E329" t="s">
        <v>508</v>
      </c>
      <c r="F329" t="s">
        <v>509</v>
      </c>
      <c r="G329" t="s">
        <v>25</v>
      </c>
      <c r="H329" t="s">
        <v>26</v>
      </c>
      <c r="I329" t="s">
        <v>53</v>
      </c>
      <c r="J329" t="s">
        <v>54</v>
      </c>
      <c r="K329" t="s">
        <v>55</v>
      </c>
      <c r="L329" t="s">
        <v>160</v>
      </c>
      <c r="M329" t="s">
        <v>31</v>
      </c>
      <c r="N329" t="s">
        <v>37</v>
      </c>
      <c r="O329" t="s">
        <v>161</v>
      </c>
      <c r="P329">
        <v>603.91999999999996</v>
      </c>
      <c r="Q329">
        <v>5</v>
      </c>
      <c r="R329">
        <v>0.2</v>
      </c>
      <c r="S329">
        <v>-67.941000000000003</v>
      </c>
      <c r="T329" t="s">
        <v>71</v>
      </c>
      <c r="U329" t="s">
        <v>35</v>
      </c>
    </row>
    <row r="330" spans="1:21" x14ac:dyDescent="0.25">
      <c r="A330" t="s">
        <v>1371</v>
      </c>
      <c r="B330" s="1">
        <v>41966</v>
      </c>
      <c r="C330" s="1">
        <v>41968</v>
      </c>
      <c r="D330" t="s">
        <v>88</v>
      </c>
      <c r="E330" t="s">
        <v>508</v>
      </c>
      <c r="F330" t="s">
        <v>509</v>
      </c>
      <c r="G330" t="s">
        <v>25</v>
      </c>
      <c r="H330" t="s">
        <v>26</v>
      </c>
      <c r="I330" t="s">
        <v>53</v>
      </c>
      <c r="J330" t="s">
        <v>54</v>
      </c>
      <c r="K330" t="s">
        <v>55</v>
      </c>
      <c r="L330" t="s">
        <v>581</v>
      </c>
      <c r="M330" t="s">
        <v>31</v>
      </c>
      <c r="N330" t="s">
        <v>37</v>
      </c>
      <c r="O330" t="s">
        <v>582</v>
      </c>
      <c r="P330">
        <v>381.44</v>
      </c>
      <c r="Q330">
        <v>2</v>
      </c>
      <c r="R330">
        <v>0.2</v>
      </c>
      <c r="S330">
        <v>23.84</v>
      </c>
      <c r="T330" t="s">
        <v>71</v>
      </c>
      <c r="U330" t="s">
        <v>35</v>
      </c>
    </row>
    <row r="331" spans="1:21" x14ac:dyDescent="0.25">
      <c r="A331" t="s">
        <v>1372</v>
      </c>
      <c r="B331" s="1">
        <v>41988</v>
      </c>
      <c r="C331" s="1">
        <v>41991</v>
      </c>
      <c r="D331" t="s">
        <v>88</v>
      </c>
      <c r="E331" t="s">
        <v>1373</v>
      </c>
      <c r="F331" t="s">
        <v>1374</v>
      </c>
      <c r="G331" t="s">
        <v>25</v>
      </c>
      <c r="H331" t="s">
        <v>26</v>
      </c>
      <c r="I331" t="s">
        <v>1375</v>
      </c>
      <c r="J331" t="s">
        <v>93</v>
      </c>
      <c r="K331" t="s">
        <v>94</v>
      </c>
      <c r="L331" t="s">
        <v>817</v>
      </c>
      <c r="M331" t="s">
        <v>31</v>
      </c>
      <c r="N331" t="s">
        <v>37</v>
      </c>
      <c r="O331" t="s">
        <v>818</v>
      </c>
      <c r="P331">
        <v>763.28</v>
      </c>
      <c r="Q331">
        <v>5</v>
      </c>
      <c r="R331">
        <v>0.3</v>
      </c>
      <c r="S331">
        <v>-21.808</v>
      </c>
      <c r="T331" t="s">
        <v>34</v>
      </c>
      <c r="U331" t="s">
        <v>97</v>
      </c>
    </row>
    <row r="332" spans="1:21" x14ac:dyDescent="0.25">
      <c r="A332" t="s">
        <v>1376</v>
      </c>
      <c r="B332" s="1">
        <v>42225</v>
      </c>
      <c r="C332" s="1">
        <v>42228</v>
      </c>
      <c r="D332" t="s">
        <v>88</v>
      </c>
      <c r="E332" t="s">
        <v>714</v>
      </c>
      <c r="F332" t="s">
        <v>715</v>
      </c>
      <c r="G332" t="s">
        <v>25</v>
      </c>
      <c r="H332" t="s">
        <v>26</v>
      </c>
      <c r="I332" t="s">
        <v>174</v>
      </c>
      <c r="J332" t="s">
        <v>121</v>
      </c>
      <c r="K332" t="s">
        <v>68</v>
      </c>
      <c r="L332" t="s">
        <v>318</v>
      </c>
      <c r="M332" t="s">
        <v>31</v>
      </c>
      <c r="N332" t="s">
        <v>46</v>
      </c>
      <c r="O332" t="s">
        <v>319</v>
      </c>
      <c r="P332">
        <v>382.80599999999998</v>
      </c>
      <c r="Q332">
        <v>9</v>
      </c>
      <c r="R332">
        <v>0.4</v>
      </c>
      <c r="S332">
        <v>-153.1224</v>
      </c>
      <c r="T332" t="s">
        <v>34</v>
      </c>
      <c r="U332" t="s">
        <v>254</v>
      </c>
    </row>
    <row r="333" spans="1:21" x14ac:dyDescent="0.25">
      <c r="A333" t="s">
        <v>1376</v>
      </c>
      <c r="B333" s="1">
        <v>42225</v>
      </c>
      <c r="C333" s="1">
        <v>42228</v>
      </c>
      <c r="D333" t="s">
        <v>88</v>
      </c>
      <c r="E333" t="s">
        <v>714</v>
      </c>
      <c r="F333" t="s">
        <v>715</v>
      </c>
      <c r="G333" t="s">
        <v>25</v>
      </c>
      <c r="H333" t="s">
        <v>26</v>
      </c>
      <c r="I333" t="s">
        <v>174</v>
      </c>
      <c r="J333" t="s">
        <v>121</v>
      </c>
      <c r="K333" t="s">
        <v>68</v>
      </c>
      <c r="L333" t="s">
        <v>202</v>
      </c>
      <c r="M333" t="s">
        <v>31</v>
      </c>
      <c r="N333" t="s">
        <v>57</v>
      </c>
      <c r="O333" t="s">
        <v>203</v>
      </c>
      <c r="P333">
        <v>47.04</v>
      </c>
      <c r="Q333">
        <v>3</v>
      </c>
      <c r="R333">
        <v>0</v>
      </c>
      <c r="S333">
        <v>18.345600000000001</v>
      </c>
      <c r="T333" t="s">
        <v>34</v>
      </c>
      <c r="U333" t="s">
        <v>254</v>
      </c>
    </row>
    <row r="334" spans="1:21" x14ac:dyDescent="0.25">
      <c r="A334" t="s">
        <v>1376</v>
      </c>
      <c r="B334" s="1">
        <v>42225</v>
      </c>
      <c r="C334" s="1">
        <v>42228</v>
      </c>
      <c r="D334" t="s">
        <v>88</v>
      </c>
      <c r="E334" t="s">
        <v>714</v>
      </c>
      <c r="F334" t="s">
        <v>715</v>
      </c>
      <c r="G334" t="s">
        <v>25</v>
      </c>
      <c r="H334" t="s">
        <v>26</v>
      </c>
      <c r="I334" t="s">
        <v>174</v>
      </c>
      <c r="J334" t="s">
        <v>121</v>
      </c>
      <c r="K334" t="s">
        <v>68</v>
      </c>
      <c r="L334" t="s">
        <v>112</v>
      </c>
      <c r="M334" t="s">
        <v>31</v>
      </c>
      <c r="N334" t="s">
        <v>57</v>
      </c>
      <c r="O334" t="s">
        <v>113</v>
      </c>
      <c r="P334">
        <v>6.16</v>
      </c>
      <c r="Q334">
        <v>2</v>
      </c>
      <c r="R334">
        <v>0</v>
      </c>
      <c r="S334">
        <v>2.9567999999999999</v>
      </c>
      <c r="T334" t="s">
        <v>34</v>
      </c>
      <c r="U334" t="s">
        <v>254</v>
      </c>
    </row>
    <row r="335" spans="1:21" x14ac:dyDescent="0.25">
      <c r="A335" t="s">
        <v>1377</v>
      </c>
      <c r="B335" s="1">
        <v>42087</v>
      </c>
      <c r="C335" s="1">
        <v>42090</v>
      </c>
      <c r="D335" t="s">
        <v>88</v>
      </c>
      <c r="E335" t="s">
        <v>1378</v>
      </c>
      <c r="F335" t="s">
        <v>1379</v>
      </c>
      <c r="G335" t="s">
        <v>101</v>
      </c>
      <c r="H335" t="s">
        <v>26</v>
      </c>
      <c r="I335" t="s">
        <v>1380</v>
      </c>
      <c r="J335" t="s">
        <v>135</v>
      </c>
      <c r="K335" t="s">
        <v>94</v>
      </c>
      <c r="L335" t="s">
        <v>1381</v>
      </c>
      <c r="M335" t="s">
        <v>31</v>
      </c>
      <c r="N335" t="s">
        <v>32</v>
      </c>
      <c r="O335" t="s">
        <v>1382</v>
      </c>
      <c r="P335">
        <v>359.05799999999999</v>
      </c>
      <c r="Q335">
        <v>3</v>
      </c>
      <c r="R335">
        <v>0.3</v>
      </c>
      <c r="S335">
        <v>-35.905799999999999</v>
      </c>
      <c r="T335" t="s">
        <v>34</v>
      </c>
      <c r="U335" t="s">
        <v>196</v>
      </c>
    </row>
    <row r="336" spans="1:21" x14ac:dyDescent="0.25">
      <c r="A336" t="s">
        <v>1383</v>
      </c>
      <c r="B336" s="1">
        <v>42863</v>
      </c>
      <c r="C336" s="1">
        <v>42867</v>
      </c>
      <c r="D336" t="s">
        <v>40</v>
      </c>
      <c r="E336" t="s">
        <v>1384</v>
      </c>
      <c r="F336" t="s">
        <v>1385</v>
      </c>
      <c r="G336" t="s">
        <v>25</v>
      </c>
      <c r="H336" t="s">
        <v>26</v>
      </c>
      <c r="I336" t="s">
        <v>348</v>
      </c>
      <c r="J336" t="s">
        <v>232</v>
      </c>
      <c r="K336" t="s">
        <v>68</v>
      </c>
      <c r="L336" t="s">
        <v>1103</v>
      </c>
      <c r="M336" t="s">
        <v>31</v>
      </c>
      <c r="N336" t="s">
        <v>37</v>
      </c>
      <c r="O336" t="s">
        <v>1104</v>
      </c>
      <c r="P336">
        <v>47.991999999999997</v>
      </c>
      <c r="Q336">
        <v>2</v>
      </c>
      <c r="R336">
        <v>0.3</v>
      </c>
      <c r="S336">
        <v>-2.0568</v>
      </c>
      <c r="T336" t="s">
        <v>84</v>
      </c>
      <c r="U336" t="s">
        <v>162</v>
      </c>
    </row>
    <row r="337" spans="1:21" x14ac:dyDescent="0.25">
      <c r="A337" t="s">
        <v>1386</v>
      </c>
      <c r="B337" s="1">
        <v>43024</v>
      </c>
      <c r="C337" s="1">
        <v>43026</v>
      </c>
      <c r="D337" t="s">
        <v>88</v>
      </c>
      <c r="E337" t="s">
        <v>557</v>
      </c>
      <c r="F337" t="s">
        <v>558</v>
      </c>
      <c r="G337" t="s">
        <v>91</v>
      </c>
      <c r="H337" t="s">
        <v>26</v>
      </c>
      <c r="I337" t="s">
        <v>174</v>
      </c>
      <c r="J337" t="s">
        <v>121</v>
      </c>
      <c r="K337" t="s">
        <v>68</v>
      </c>
      <c r="L337" t="s">
        <v>567</v>
      </c>
      <c r="M337" t="s">
        <v>31</v>
      </c>
      <c r="N337" t="s">
        <v>57</v>
      </c>
      <c r="O337" t="s">
        <v>568</v>
      </c>
      <c r="P337">
        <v>547.29999999999995</v>
      </c>
      <c r="Q337">
        <v>13</v>
      </c>
      <c r="R337">
        <v>0</v>
      </c>
      <c r="S337">
        <v>175.136</v>
      </c>
      <c r="T337" t="s">
        <v>71</v>
      </c>
      <c r="U337" t="s">
        <v>49</v>
      </c>
    </row>
    <row r="338" spans="1:21" x14ac:dyDescent="0.25">
      <c r="A338" t="s">
        <v>1387</v>
      </c>
      <c r="B338" s="1">
        <v>43058</v>
      </c>
      <c r="C338" s="1">
        <v>43060</v>
      </c>
      <c r="D338" t="s">
        <v>22</v>
      </c>
      <c r="E338" t="s">
        <v>1388</v>
      </c>
      <c r="F338" t="s">
        <v>1389</v>
      </c>
      <c r="G338" t="s">
        <v>25</v>
      </c>
      <c r="H338" t="s">
        <v>26</v>
      </c>
      <c r="I338" t="s">
        <v>1390</v>
      </c>
      <c r="J338" t="s">
        <v>93</v>
      </c>
      <c r="K338" t="s">
        <v>94</v>
      </c>
      <c r="L338" t="s">
        <v>401</v>
      </c>
      <c r="M338" t="s">
        <v>31</v>
      </c>
      <c r="N338" t="s">
        <v>57</v>
      </c>
      <c r="O338" t="s">
        <v>402</v>
      </c>
      <c r="P338">
        <v>15.992000000000001</v>
      </c>
      <c r="Q338">
        <v>2</v>
      </c>
      <c r="R338">
        <v>0.6</v>
      </c>
      <c r="S338">
        <v>-13.993</v>
      </c>
      <c r="T338" t="s">
        <v>71</v>
      </c>
      <c r="U338" t="s">
        <v>35</v>
      </c>
    </row>
    <row r="339" spans="1:21" x14ac:dyDescent="0.25">
      <c r="A339" t="s">
        <v>1391</v>
      </c>
      <c r="B339" s="1">
        <v>42498</v>
      </c>
      <c r="C339" s="1">
        <v>42503</v>
      </c>
      <c r="D339" t="s">
        <v>22</v>
      </c>
      <c r="E339" t="s">
        <v>1081</v>
      </c>
      <c r="F339" t="s">
        <v>1082</v>
      </c>
      <c r="G339" t="s">
        <v>91</v>
      </c>
      <c r="H339" t="s">
        <v>26</v>
      </c>
      <c r="I339" t="s">
        <v>742</v>
      </c>
      <c r="J339" t="s">
        <v>201</v>
      </c>
      <c r="K339" t="s">
        <v>68</v>
      </c>
      <c r="L339" t="s">
        <v>1392</v>
      </c>
      <c r="M339" t="s">
        <v>31</v>
      </c>
      <c r="N339" t="s">
        <v>57</v>
      </c>
      <c r="O339" t="s">
        <v>1393</v>
      </c>
      <c r="P339">
        <v>211.96</v>
      </c>
      <c r="Q339">
        <v>2</v>
      </c>
      <c r="R339">
        <v>0</v>
      </c>
      <c r="S339">
        <v>42.392000000000003</v>
      </c>
      <c r="T339" t="s">
        <v>59</v>
      </c>
      <c r="U339" t="s">
        <v>162</v>
      </c>
    </row>
    <row r="340" spans="1:21" x14ac:dyDescent="0.25">
      <c r="A340" t="s">
        <v>1394</v>
      </c>
      <c r="B340" s="1">
        <v>41785</v>
      </c>
      <c r="C340" s="1">
        <v>41789</v>
      </c>
      <c r="D340" t="s">
        <v>40</v>
      </c>
      <c r="E340" t="s">
        <v>1395</v>
      </c>
      <c r="F340" t="s">
        <v>1396</v>
      </c>
      <c r="G340" t="s">
        <v>91</v>
      </c>
      <c r="H340" t="s">
        <v>26</v>
      </c>
      <c r="I340" t="s">
        <v>53</v>
      </c>
      <c r="J340" t="s">
        <v>54</v>
      </c>
      <c r="K340" t="s">
        <v>55</v>
      </c>
      <c r="L340" t="s">
        <v>1381</v>
      </c>
      <c r="M340" t="s">
        <v>31</v>
      </c>
      <c r="N340" t="s">
        <v>32</v>
      </c>
      <c r="O340" t="s">
        <v>1382</v>
      </c>
      <c r="P340">
        <v>290.666</v>
      </c>
      <c r="Q340">
        <v>2</v>
      </c>
      <c r="R340">
        <v>0.15</v>
      </c>
      <c r="S340">
        <v>27.3568</v>
      </c>
      <c r="T340" t="s">
        <v>84</v>
      </c>
      <c r="U340" t="s">
        <v>162</v>
      </c>
    </row>
    <row r="341" spans="1:21" x14ac:dyDescent="0.25">
      <c r="A341" t="s">
        <v>1397</v>
      </c>
      <c r="B341" s="1">
        <v>42924</v>
      </c>
      <c r="C341" s="1">
        <v>42931</v>
      </c>
      <c r="D341" t="s">
        <v>40</v>
      </c>
      <c r="E341" t="s">
        <v>1398</v>
      </c>
      <c r="F341" t="s">
        <v>1399</v>
      </c>
      <c r="G341" t="s">
        <v>25</v>
      </c>
      <c r="H341" t="s">
        <v>26</v>
      </c>
      <c r="I341" t="s">
        <v>1400</v>
      </c>
      <c r="J341" t="s">
        <v>193</v>
      </c>
      <c r="K341" t="s">
        <v>55</v>
      </c>
      <c r="L341" t="s">
        <v>1401</v>
      </c>
      <c r="M341" t="s">
        <v>31</v>
      </c>
      <c r="N341" t="s">
        <v>57</v>
      </c>
      <c r="O341" t="s">
        <v>1402</v>
      </c>
      <c r="P341">
        <v>198.46</v>
      </c>
      <c r="Q341">
        <v>2</v>
      </c>
      <c r="R341">
        <v>0</v>
      </c>
      <c r="S341">
        <v>99.23</v>
      </c>
      <c r="T341" t="s">
        <v>48</v>
      </c>
      <c r="U341" t="s">
        <v>72</v>
      </c>
    </row>
    <row r="342" spans="1:21" x14ac:dyDescent="0.25">
      <c r="A342" t="s">
        <v>1403</v>
      </c>
      <c r="B342" s="1">
        <v>42271</v>
      </c>
      <c r="C342" s="1">
        <v>42277</v>
      </c>
      <c r="D342" t="s">
        <v>40</v>
      </c>
      <c r="E342" t="s">
        <v>1404</v>
      </c>
      <c r="F342" t="s">
        <v>1405</v>
      </c>
      <c r="G342" t="s">
        <v>25</v>
      </c>
      <c r="H342" t="s">
        <v>26</v>
      </c>
      <c r="I342" t="s">
        <v>1406</v>
      </c>
      <c r="J342" t="s">
        <v>1407</v>
      </c>
      <c r="K342" t="s">
        <v>29</v>
      </c>
      <c r="L342" t="s">
        <v>1091</v>
      </c>
      <c r="M342" t="s">
        <v>31</v>
      </c>
      <c r="N342" t="s">
        <v>37</v>
      </c>
      <c r="O342" t="s">
        <v>1092</v>
      </c>
      <c r="P342">
        <v>517.5</v>
      </c>
      <c r="Q342">
        <v>6</v>
      </c>
      <c r="R342">
        <v>0</v>
      </c>
      <c r="S342">
        <v>155.25</v>
      </c>
      <c r="T342" t="s">
        <v>130</v>
      </c>
      <c r="U342" t="s">
        <v>78</v>
      </c>
    </row>
    <row r="343" spans="1:21" x14ac:dyDescent="0.25">
      <c r="A343" t="s">
        <v>1408</v>
      </c>
      <c r="B343" s="1">
        <v>42907</v>
      </c>
      <c r="C343" s="1">
        <v>42911</v>
      </c>
      <c r="D343" t="s">
        <v>22</v>
      </c>
      <c r="E343" t="s">
        <v>644</v>
      </c>
      <c r="F343" t="s">
        <v>645</v>
      </c>
      <c r="G343" t="s">
        <v>25</v>
      </c>
      <c r="H343" t="s">
        <v>26</v>
      </c>
      <c r="I343" t="s">
        <v>694</v>
      </c>
      <c r="J343" t="s">
        <v>232</v>
      </c>
      <c r="K343" t="s">
        <v>68</v>
      </c>
      <c r="L343" t="s">
        <v>1409</v>
      </c>
      <c r="M343" t="s">
        <v>31</v>
      </c>
      <c r="N343" t="s">
        <v>57</v>
      </c>
      <c r="O343" t="s">
        <v>1410</v>
      </c>
      <c r="P343">
        <v>17.920000000000002</v>
      </c>
      <c r="Q343">
        <v>5</v>
      </c>
      <c r="R343">
        <v>0.2</v>
      </c>
      <c r="S343">
        <v>2.464</v>
      </c>
      <c r="T343" t="s">
        <v>84</v>
      </c>
      <c r="U343" t="s">
        <v>60</v>
      </c>
    </row>
    <row r="344" spans="1:21" x14ac:dyDescent="0.25">
      <c r="A344" t="s">
        <v>1411</v>
      </c>
      <c r="B344" s="1">
        <v>42516</v>
      </c>
      <c r="C344" s="1">
        <v>42522</v>
      </c>
      <c r="D344" t="s">
        <v>40</v>
      </c>
      <c r="E344" t="s">
        <v>1412</v>
      </c>
      <c r="F344" t="s">
        <v>1413</v>
      </c>
      <c r="G344" t="s">
        <v>25</v>
      </c>
      <c r="H344" t="s">
        <v>26</v>
      </c>
      <c r="I344" t="s">
        <v>193</v>
      </c>
      <c r="J344" t="s">
        <v>981</v>
      </c>
      <c r="K344" t="s">
        <v>68</v>
      </c>
      <c r="L344" t="s">
        <v>175</v>
      </c>
      <c r="M344" t="s">
        <v>31</v>
      </c>
      <c r="N344" t="s">
        <v>57</v>
      </c>
      <c r="O344" t="s">
        <v>176</v>
      </c>
      <c r="P344">
        <v>41.37</v>
      </c>
      <c r="Q344">
        <v>3</v>
      </c>
      <c r="R344">
        <v>0</v>
      </c>
      <c r="S344">
        <v>17.375399999999999</v>
      </c>
      <c r="T344" t="s">
        <v>130</v>
      </c>
      <c r="U344" t="s">
        <v>162</v>
      </c>
    </row>
    <row r="345" spans="1:21" x14ac:dyDescent="0.25">
      <c r="A345" t="s">
        <v>1414</v>
      </c>
      <c r="B345" s="1">
        <v>41771</v>
      </c>
      <c r="C345" s="1">
        <v>41774</v>
      </c>
      <c r="D345" t="s">
        <v>88</v>
      </c>
      <c r="E345" t="s">
        <v>1056</v>
      </c>
      <c r="F345" t="s">
        <v>1057</v>
      </c>
      <c r="G345" t="s">
        <v>25</v>
      </c>
      <c r="H345" t="s">
        <v>26</v>
      </c>
      <c r="I345" t="s">
        <v>906</v>
      </c>
      <c r="J345" t="s">
        <v>239</v>
      </c>
      <c r="K345" t="s">
        <v>94</v>
      </c>
      <c r="L345" t="s">
        <v>651</v>
      </c>
      <c r="M345" t="s">
        <v>31</v>
      </c>
      <c r="N345" t="s">
        <v>57</v>
      </c>
      <c r="O345" t="s">
        <v>652</v>
      </c>
      <c r="P345">
        <v>34.79</v>
      </c>
      <c r="Q345">
        <v>7</v>
      </c>
      <c r="R345">
        <v>0</v>
      </c>
      <c r="S345">
        <v>10.7849</v>
      </c>
      <c r="T345" t="s">
        <v>34</v>
      </c>
      <c r="U345" t="s">
        <v>162</v>
      </c>
    </row>
    <row r="346" spans="1:21" x14ac:dyDescent="0.25">
      <c r="A346" t="s">
        <v>1415</v>
      </c>
      <c r="B346" s="1">
        <v>42014</v>
      </c>
      <c r="C346" s="1">
        <v>42019</v>
      </c>
      <c r="D346" t="s">
        <v>40</v>
      </c>
      <c r="E346" t="s">
        <v>1416</v>
      </c>
      <c r="F346" t="s">
        <v>1417</v>
      </c>
      <c r="G346" t="s">
        <v>25</v>
      </c>
      <c r="H346" t="s">
        <v>26</v>
      </c>
      <c r="I346" t="s">
        <v>174</v>
      </c>
      <c r="J346" t="s">
        <v>121</v>
      </c>
      <c r="K346" t="s">
        <v>68</v>
      </c>
      <c r="L346" t="s">
        <v>522</v>
      </c>
      <c r="M346" t="s">
        <v>31</v>
      </c>
      <c r="N346" t="s">
        <v>46</v>
      </c>
      <c r="O346" t="s">
        <v>523</v>
      </c>
      <c r="P346">
        <v>1018.104</v>
      </c>
      <c r="Q346">
        <v>4</v>
      </c>
      <c r="R346">
        <v>0.4</v>
      </c>
      <c r="S346">
        <v>-373.3048</v>
      </c>
      <c r="T346" t="s">
        <v>59</v>
      </c>
      <c r="U346" t="s">
        <v>170</v>
      </c>
    </row>
    <row r="347" spans="1:21" x14ac:dyDescent="0.25">
      <c r="A347" t="s">
        <v>1418</v>
      </c>
      <c r="B347" s="1">
        <v>42264</v>
      </c>
      <c r="C347" s="1">
        <v>42268</v>
      </c>
      <c r="D347" t="s">
        <v>40</v>
      </c>
      <c r="E347" t="s">
        <v>654</v>
      </c>
      <c r="F347" t="s">
        <v>655</v>
      </c>
      <c r="G347" t="s">
        <v>91</v>
      </c>
      <c r="H347" t="s">
        <v>26</v>
      </c>
      <c r="I347" t="s">
        <v>102</v>
      </c>
      <c r="J347" t="s">
        <v>93</v>
      </c>
      <c r="K347" t="s">
        <v>94</v>
      </c>
      <c r="L347" t="s">
        <v>1150</v>
      </c>
      <c r="M347" t="s">
        <v>31</v>
      </c>
      <c r="N347" t="s">
        <v>57</v>
      </c>
      <c r="O347" t="s">
        <v>1151</v>
      </c>
      <c r="P347">
        <v>21.936</v>
      </c>
      <c r="Q347">
        <v>2</v>
      </c>
      <c r="R347">
        <v>0.6</v>
      </c>
      <c r="S347">
        <v>-10.419600000000001</v>
      </c>
      <c r="T347" t="s">
        <v>84</v>
      </c>
      <c r="U347" t="s">
        <v>78</v>
      </c>
    </row>
    <row r="348" spans="1:21" x14ac:dyDescent="0.25">
      <c r="A348" t="s">
        <v>1419</v>
      </c>
      <c r="B348" s="1">
        <v>41889</v>
      </c>
      <c r="C348" s="1">
        <v>41895</v>
      </c>
      <c r="D348" t="s">
        <v>40</v>
      </c>
      <c r="E348" t="s">
        <v>1420</v>
      </c>
      <c r="F348" t="s">
        <v>1421</v>
      </c>
      <c r="G348" t="s">
        <v>91</v>
      </c>
      <c r="H348" t="s">
        <v>26</v>
      </c>
      <c r="I348" t="s">
        <v>66</v>
      </c>
      <c r="J348" t="s">
        <v>67</v>
      </c>
      <c r="K348" t="s">
        <v>68</v>
      </c>
      <c r="L348" t="s">
        <v>1422</v>
      </c>
      <c r="M348" t="s">
        <v>31</v>
      </c>
      <c r="N348" t="s">
        <v>57</v>
      </c>
      <c r="O348" t="s">
        <v>1423</v>
      </c>
      <c r="P348">
        <v>42.368000000000002</v>
      </c>
      <c r="Q348">
        <v>2</v>
      </c>
      <c r="R348">
        <v>0.2</v>
      </c>
      <c r="S348">
        <v>8.4735999999999994</v>
      </c>
      <c r="T348" t="s">
        <v>130</v>
      </c>
      <c r="U348" t="s">
        <v>78</v>
      </c>
    </row>
    <row r="349" spans="1:21" x14ac:dyDescent="0.25">
      <c r="A349" t="s">
        <v>1424</v>
      </c>
      <c r="B349" s="1">
        <v>42681</v>
      </c>
      <c r="C349" s="1">
        <v>42686</v>
      </c>
      <c r="D349" t="s">
        <v>40</v>
      </c>
      <c r="E349" t="s">
        <v>1069</v>
      </c>
      <c r="F349" t="s">
        <v>1070</v>
      </c>
      <c r="G349" t="s">
        <v>91</v>
      </c>
      <c r="H349" t="s">
        <v>26</v>
      </c>
      <c r="I349" t="s">
        <v>329</v>
      </c>
      <c r="J349" t="s">
        <v>54</v>
      </c>
      <c r="K349" t="s">
        <v>55</v>
      </c>
      <c r="L349" t="s">
        <v>803</v>
      </c>
      <c r="M349" t="s">
        <v>31</v>
      </c>
      <c r="N349" t="s">
        <v>57</v>
      </c>
      <c r="O349" t="s">
        <v>804</v>
      </c>
      <c r="P349">
        <v>14.82</v>
      </c>
      <c r="Q349">
        <v>3</v>
      </c>
      <c r="R349">
        <v>0</v>
      </c>
      <c r="S349">
        <v>6.2244000000000002</v>
      </c>
      <c r="T349" t="s">
        <v>59</v>
      </c>
      <c r="U349" t="s">
        <v>35</v>
      </c>
    </row>
    <row r="350" spans="1:21" x14ac:dyDescent="0.25">
      <c r="A350" t="s">
        <v>1425</v>
      </c>
      <c r="B350" s="1">
        <v>43079</v>
      </c>
      <c r="C350" s="1">
        <v>43081</v>
      </c>
      <c r="D350" t="s">
        <v>88</v>
      </c>
      <c r="E350" t="s">
        <v>1426</v>
      </c>
      <c r="F350" t="s">
        <v>1427</v>
      </c>
      <c r="G350" t="s">
        <v>25</v>
      </c>
      <c r="H350" t="s">
        <v>26</v>
      </c>
      <c r="I350" t="s">
        <v>66</v>
      </c>
      <c r="J350" t="s">
        <v>67</v>
      </c>
      <c r="K350" t="s">
        <v>68</v>
      </c>
      <c r="L350" t="s">
        <v>791</v>
      </c>
      <c r="M350" t="s">
        <v>31</v>
      </c>
      <c r="N350" t="s">
        <v>57</v>
      </c>
      <c r="O350" t="s">
        <v>792</v>
      </c>
      <c r="P350">
        <v>310.88</v>
      </c>
      <c r="Q350">
        <v>2</v>
      </c>
      <c r="R350">
        <v>0.2</v>
      </c>
      <c r="S350">
        <v>23.315999999999999</v>
      </c>
      <c r="T350" t="s">
        <v>71</v>
      </c>
      <c r="U350" t="s">
        <v>97</v>
      </c>
    </row>
    <row r="351" spans="1:21" x14ac:dyDescent="0.25">
      <c r="A351" t="s">
        <v>1428</v>
      </c>
      <c r="B351" s="1">
        <v>41867</v>
      </c>
      <c r="C351" s="1">
        <v>41871</v>
      </c>
      <c r="D351" t="s">
        <v>40</v>
      </c>
      <c r="E351" t="s">
        <v>1429</v>
      </c>
      <c r="F351" t="s">
        <v>1430</v>
      </c>
      <c r="G351" t="s">
        <v>25</v>
      </c>
      <c r="H351" t="s">
        <v>26</v>
      </c>
      <c r="I351" t="s">
        <v>66</v>
      </c>
      <c r="J351" t="s">
        <v>67</v>
      </c>
      <c r="K351" t="s">
        <v>68</v>
      </c>
      <c r="L351" t="s">
        <v>61</v>
      </c>
      <c r="M351" t="s">
        <v>31</v>
      </c>
      <c r="N351" t="s">
        <v>46</v>
      </c>
      <c r="O351" t="s">
        <v>62</v>
      </c>
      <c r="P351">
        <v>853.09199999999998</v>
      </c>
      <c r="Q351">
        <v>6</v>
      </c>
      <c r="R351">
        <v>0.4</v>
      </c>
      <c r="S351">
        <v>-227.49119999999999</v>
      </c>
      <c r="T351" t="s">
        <v>84</v>
      </c>
      <c r="U351" t="s">
        <v>254</v>
      </c>
    </row>
    <row r="352" spans="1:21" x14ac:dyDescent="0.25">
      <c r="A352" t="s">
        <v>1431</v>
      </c>
      <c r="B352" s="1">
        <v>42443</v>
      </c>
      <c r="C352" s="1">
        <v>42448</v>
      </c>
      <c r="D352" t="s">
        <v>40</v>
      </c>
      <c r="E352" t="s">
        <v>1432</v>
      </c>
      <c r="F352" t="s">
        <v>1433</v>
      </c>
      <c r="G352" t="s">
        <v>25</v>
      </c>
      <c r="H352" t="s">
        <v>26</v>
      </c>
      <c r="I352" t="s">
        <v>348</v>
      </c>
      <c r="J352" t="s">
        <v>232</v>
      </c>
      <c r="K352" t="s">
        <v>68</v>
      </c>
      <c r="L352" t="s">
        <v>621</v>
      </c>
      <c r="M352" t="s">
        <v>31</v>
      </c>
      <c r="N352" t="s">
        <v>57</v>
      </c>
      <c r="O352" t="s">
        <v>622</v>
      </c>
      <c r="P352">
        <v>21.88</v>
      </c>
      <c r="Q352">
        <v>5</v>
      </c>
      <c r="R352">
        <v>0.2</v>
      </c>
      <c r="S352">
        <v>6.2904999999999998</v>
      </c>
      <c r="T352" t="s">
        <v>59</v>
      </c>
      <c r="U352" t="s">
        <v>196</v>
      </c>
    </row>
    <row r="353" spans="1:21" x14ac:dyDescent="0.25">
      <c r="A353" t="s">
        <v>1434</v>
      </c>
      <c r="B353" s="1">
        <v>41793</v>
      </c>
      <c r="C353" s="1">
        <v>41797</v>
      </c>
      <c r="D353" t="s">
        <v>22</v>
      </c>
      <c r="E353" t="s">
        <v>198</v>
      </c>
      <c r="F353" t="s">
        <v>199</v>
      </c>
      <c r="G353" t="s">
        <v>25</v>
      </c>
      <c r="H353" t="s">
        <v>26</v>
      </c>
      <c r="I353" t="s">
        <v>192</v>
      </c>
      <c r="J353" t="s">
        <v>193</v>
      </c>
      <c r="K353" t="s">
        <v>55</v>
      </c>
      <c r="L353" t="s">
        <v>1063</v>
      </c>
      <c r="M353" t="s">
        <v>31</v>
      </c>
      <c r="N353" t="s">
        <v>46</v>
      </c>
      <c r="O353" t="s">
        <v>1064</v>
      </c>
      <c r="P353">
        <v>515.88</v>
      </c>
      <c r="Q353">
        <v>6</v>
      </c>
      <c r="R353">
        <v>0</v>
      </c>
      <c r="S353">
        <v>113.4936</v>
      </c>
      <c r="T353" t="s">
        <v>84</v>
      </c>
      <c r="U353" t="s">
        <v>60</v>
      </c>
    </row>
    <row r="354" spans="1:21" x14ac:dyDescent="0.25">
      <c r="A354" t="s">
        <v>1435</v>
      </c>
      <c r="B354" s="1">
        <v>42198</v>
      </c>
      <c r="C354" s="1">
        <v>42200</v>
      </c>
      <c r="D354" t="s">
        <v>22</v>
      </c>
      <c r="E354" t="s">
        <v>1436</v>
      </c>
      <c r="F354" t="s">
        <v>1437</v>
      </c>
      <c r="G354" t="s">
        <v>25</v>
      </c>
      <c r="H354" t="s">
        <v>26</v>
      </c>
      <c r="I354" t="s">
        <v>174</v>
      </c>
      <c r="J354" t="s">
        <v>121</v>
      </c>
      <c r="K354" t="s">
        <v>68</v>
      </c>
      <c r="L354" t="s">
        <v>581</v>
      </c>
      <c r="M354" t="s">
        <v>31</v>
      </c>
      <c r="N354" t="s">
        <v>37</v>
      </c>
      <c r="O354" t="s">
        <v>582</v>
      </c>
      <c r="P354">
        <v>1931.04</v>
      </c>
      <c r="Q354">
        <v>9</v>
      </c>
      <c r="R354">
        <v>0.1</v>
      </c>
      <c r="S354">
        <v>321.83999999999997</v>
      </c>
      <c r="T354" t="s">
        <v>71</v>
      </c>
      <c r="U354" t="s">
        <v>72</v>
      </c>
    </row>
    <row r="355" spans="1:21" x14ac:dyDescent="0.25">
      <c r="A355" t="s">
        <v>1438</v>
      </c>
      <c r="B355" s="1">
        <v>43038</v>
      </c>
      <c r="C355" s="1">
        <v>43044</v>
      </c>
      <c r="D355" t="s">
        <v>40</v>
      </c>
      <c r="E355" t="s">
        <v>1439</v>
      </c>
      <c r="F355" t="s">
        <v>1440</v>
      </c>
      <c r="G355" t="s">
        <v>25</v>
      </c>
      <c r="H355" t="s">
        <v>26</v>
      </c>
      <c r="I355" t="s">
        <v>329</v>
      </c>
      <c r="J355" t="s">
        <v>54</v>
      </c>
      <c r="K355" t="s">
        <v>55</v>
      </c>
      <c r="L355" t="s">
        <v>115</v>
      </c>
      <c r="M355" t="s">
        <v>31</v>
      </c>
      <c r="N355" t="s">
        <v>37</v>
      </c>
      <c r="O355" t="s">
        <v>116</v>
      </c>
      <c r="P355">
        <v>71.992000000000004</v>
      </c>
      <c r="Q355">
        <v>1</v>
      </c>
      <c r="R355">
        <v>0.2</v>
      </c>
      <c r="S355">
        <v>-0.89990000000000003</v>
      </c>
      <c r="T355" t="s">
        <v>130</v>
      </c>
      <c r="U355" t="s">
        <v>49</v>
      </c>
    </row>
    <row r="356" spans="1:21" x14ac:dyDescent="0.25">
      <c r="A356" t="s">
        <v>1441</v>
      </c>
      <c r="B356" s="1">
        <v>42986</v>
      </c>
      <c r="C356" s="1">
        <v>42991</v>
      </c>
      <c r="D356" t="s">
        <v>22</v>
      </c>
      <c r="E356" t="s">
        <v>1442</v>
      </c>
      <c r="F356" t="s">
        <v>1443</v>
      </c>
      <c r="G356" t="s">
        <v>25</v>
      </c>
      <c r="H356" t="s">
        <v>26</v>
      </c>
      <c r="I356" t="s">
        <v>134</v>
      </c>
      <c r="J356" t="s">
        <v>135</v>
      </c>
      <c r="K356" t="s">
        <v>94</v>
      </c>
      <c r="L356" t="s">
        <v>267</v>
      </c>
      <c r="M356" t="s">
        <v>31</v>
      </c>
      <c r="N356" t="s">
        <v>46</v>
      </c>
      <c r="O356" t="s">
        <v>268</v>
      </c>
      <c r="P356">
        <v>765.625</v>
      </c>
      <c r="Q356">
        <v>7</v>
      </c>
      <c r="R356">
        <v>0.5</v>
      </c>
      <c r="S356">
        <v>-566.5625</v>
      </c>
      <c r="T356" t="s">
        <v>59</v>
      </c>
      <c r="U356" t="s">
        <v>78</v>
      </c>
    </row>
    <row r="357" spans="1:21" x14ac:dyDescent="0.25">
      <c r="A357" t="s">
        <v>1444</v>
      </c>
      <c r="B357" s="1">
        <v>43015</v>
      </c>
      <c r="C357" s="1">
        <v>43021</v>
      </c>
      <c r="D357" t="s">
        <v>40</v>
      </c>
      <c r="E357" t="s">
        <v>1445</v>
      </c>
      <c r="F357" t="s">
        <v>1446</v>
      </c>
      <c r="G357" t="s">
        <v>25</v>
      </c>
      <c r="H357" t="s">
        <v>26</v>
      </c>
      <c r="I357" t="s">
        <v>329</v>
      </c>
      <c r="J357" t="s">
        <v>54</v>
      </c>
      <c r="K357" t="s">
        <v>55</v>
      </c>
      <c r="L357" t="s">
        <v>1447</v>
      </c>
      <c r="M357" t="s">
        <v>31</v>
      </c>
      <c r="N357" t="s">
        <v>32</v>
      </c>
      <c r="O357" t="s">
        <v>1448</v>
      </c>
      <c r="P357">
        <v>307.666</v>
      </c>
      <c r="Q357">
        <v>2</v>
      </c>
      <c r="R357">
        <v>0.15</v>
      </c>
      <c r="S357">
        <v>-14.478400000000001</v>
      </c>
      <c r="T357" t="s">
        <v>130</v>
      </c>
      <c r="U357" t="s">
        <v>49</v>
      </c>
    </row>
    <row r="358" spans="1:21" x14ac:dyDescent="0.25">
      <c r="A358" t="s">
        <v>1449</v>
      </c>
      <c r="B358" s="1">
        <v>42509</v>
      </c>
      <c r="C358" s="1">
        <v>42514</v>
      </c>
      <c r="D358" t="s">
        <v>40</v>
      </c>
      <c r="E358" t="s">
        <v>1450</v>
      </c>
      <c r="F358" t="s">
        <v>1451</v>
      </c>
      <c r="G358" t="s">
        <v>25</v>
      </c>
      <c r="H358" t="s">
        <v>26</v>
      </c>
      <c r="I358" t="s">
        <v>174</v>
      </c>
      <c r="J358" t="s">
        <v>121</v>
      </c>
      <c r="K358" t="s">
        <v>68</v>
      </c>
      <c r="L358" t="s">
        <v>1452</v>
      </c>
      <c r="M358" t="s">
        <v>31</v>
      </c>
      <c r="N358" t="s">
        <v>57</v>
      </c>
      <c r="O358" t="s">
        <v>1453</v>
      </c>
      <c r="P358">
        <v>35.92</v>
      </c>
      <c r="Q358">
        <v>4</v>
      </c>
      <c r="R358">
        <v>0</v>
      </c>
      <c r="S358">
        <v>15.086399999999999</v>
      </c>
      <c r="T358" t="s">
        <v>59</v>
      </c>
      <c r="U358" t="s">
        <v>162</v>
      </c>
    </row>
    <row r="359" spans="1:21" x14ac:dyDescent="0.25">
      <c r="A359" t="s">
        <v>1449</v>
      </c>
      <c r="B359" s="1">
        <v>42509</v>
      </c>
      <c r="C359" s="1">
        <v>42514</v>
      </c>
      <c r="D359" t="s">
        <v>40</v>
      </c>
      <c r="E359" t="s">
        <v>1450</v>
      </c>
      <c r="F359" t="s">
        <v>1451</v>
      </c>
      <c r="G359" t="s">
        <v>25</v>
      </c>
      <c r="H359" t="s">
        <v>26</v>
      </c>
      <c r="I359" t="s">
        <v>174</v>
      </c>
      <c r="J359" t="s">
        <v>121</v>
      </c>
      <c r="K359" t="s">
        <v>68</v>
      </c>
      <c r="L359" t="s">
        <v>651</v>
      </c>
      <c r="M359" t="s">
        <v>31</v>
      </c>
      <c r="N359" t="s">
        <v>57</v>
      </c>
      <c r="O359" t="s">
        <v>652</v>
      </c>
      <c r="P359">
        <v>39.76</v>
      </c>
      <c r="Q359">
        <v>8</v>
      </c>
      <c r="R359">
        <v>0</v>
      </c>
      <c r="S359">
        <v>12.3256</v>
      </c>
      <c r="T359" t="s">
        <v>59</v>
      </c>
      <c r="U359" t="s">
        <v>162</v>
      </c>
    </row>
    <row r="360" spans="1:21" x14ac:dyDescent="0.25">
      <c r="A360" t="s">
        <v>1454</v>
      </c>
      <c r="B360" s="1">
        <v>42358</v>
      </c>
      <c r="C360" s="1">
        <v>42363</v>
      </c>
      <c r="D360" t="s">
        <v>40</v>
      </c>
      <c r="E360" t="s">
        <v>1455</v>
      </c>
      <c r="F360" t="s">
        <v>1456</v>
      </c>
      <c r="G360" t="s">
        <v>25</v>
      </c>
      <c r="H360" t="s">
        <v>26</v>
      </c>
      <c r="I360" t="s">
        <v>134</v>
      </c>
      <c r="J360" t="s">
        <v>135</v>
      </c>
      <c r="K360" t="s">
        <v>94</v>
      </c>
      <c r="L360" t="s">
        <v>1457</v>
      </c>
      <c r="M360" t="s">
        <v>31</v>
      </c>
      <c r="N360" t="s">
        <v>32</v>
      </c>
      <c r="O360" t="s">
        <v>1458</v>
      </c>
      <c r="P360">
        <v>359.05799999999999</v>
      </c>
      <c r="Q360">
        <v>3</v>
      </c>
      <c r="R360">
        <v>0.3</v>
      </c>
      <c r="S360">
        <v>-71.811599999999999</v>
      </c>
      <c r="T360" t="s">
        <v>59</v>
      </c>
      <c r="U360" t="s">
        <v>97</v>
      </c>
    </row>
    <row r="361" spans="1:21" x14ac:dyDescent="0.25">
      <c r="A361" t="s">
        <v>1459</v>
      </c>
      <c r="B361" s="1">
        <v>42854</v>
      </c>
      <c r="C361" s="1">
        <v>42859</v>
      </c>
      <c r="D361" t="s">
        <v>22</v>
      </c>
      <c r="E361" t="s">
        <v>1460</v>
      </c>
      <c r="F361" t="s">
        <v>1461</v>
      </c>
      <c r="G361" t="s">
        <v>91</v>
      </c>
      <c r="H361" t="s">
        <v>26</v>
      </c>
      <c r="I361" t="s">
        <v>283</v>
      </c>
      <c r="J361" t="s">
        <v>232</v>
      </c>
      <c r="K361" t="s">
        <v>68</v>
      </c>
      <c r="L361" t="s">
        <v>1462</v>
      </c>
      <c r="M361" t="s">
        <v>31</v>
      </c>
      <c r="N361" t="s">
        <v>46</v>
      </c>
      <c r="O361" t="s">
        <v>1463</v>
      </c>
      <c r="P361">
        <v>1048.3499999999999</v>
      </c>
      <c r="Q361">
        <v>5</v>
      </c>
      <c r="R361">
        <v>0.4</v>
      </c>
      <c r="S361">
        <v>-69.89</v>
      </c>
      <c r="T361" t="s">
        <v>59</v>
      </c>
      <c r="U361" t="s">
        <v>114</v>
      </c>
    </row>
    <row r="362" spans="1:21" x14ac:dyDescent="0.25">
      <c r="A362" t="s">
        <v>1464</v>
      </c>
      <c r="B362" s="1">
        <v>43038</v>
      </c>
      <c r="C362" s="1">
        <v>43042</v>
      </c>
      <c r="D362" t="s">
        <v>40</v>
      </c>
      <c r="E362" t="s">
        <v>1373</v>
      </c>
      <c r="F362" t="s">
        <v>1374</v>
      </c>
      <c r="G362" t="s">
        <v>25</v>
      </c>
      <c r="H362" t="s">
        <v>26</v>
      </c>
      <c r="I362" t="s">
        <v>66</v>
      </c>
      <c r="J362" t="s">
        <v>67</v>
      </c>
      <c r="K362" t="s">
        <v>68</v>
      </c>
      <c r="L362" t="s">
        <v>1409</v>
      </c>
      <c r="M362" t="s">
        <v>31</v>
      </c>
      <c r="N362" t="s">
        <v>57</v>
      </c>
      <c r="O362" t="s">
        <v>1410</v>
      </c>
      <c r="P362">
        <v>7.1680000000000001</v>
      </c>
      <c r="Q362">
        <v>2</v>
      </c>
      <c r="R362">
        <v>0.2</v>
      </c>
      <c r="S362">
        <v>0.98560000000000003</v>
      </c>
      <c r="T362" t="s">
        <v>84</v>
      </c>
      <c r="U362" t="s">
        <v>49</v>
      </c>
    </row>
    <row r="363" spans="1:21" x14ac:dyDescent="0.25">
      <c r="A363" t="s">
        <v>1465</v>
      </c>
      <c r="B363" s="1">
        <v>42330</v>
      </c>
      <c r="C363" s="1">
        <v>42335</v>
      </c>
      <c r="D363" t="s">
        <v>40</v>
      </c>
      <c r="E363" t="s">
        <v>660</v>
      </c>
      <c r="F363" t="s">
        <v>661</v>
      </c>
      <c r="G363" t="s">
        <v>101</v>
      </c>
      <c r="H363" t="s">
        <v>26</v>
      </c>
      <c r="I363" t="s">
        <v>246</v>
      </c>
      <c r="J363" t="s">
        <v>93</v>
      </c>
      <c r="K363" t="s">
        <v>94</v>
      </c>
      <c r="L363" t="s">
        <v>1466</v>
      </c>
      <c r="M363" t="s">
        <v>31</v>
      </c>
      <c r="N363" t="s">
        <v>46</v>
      </c>
      <c r="O363" t="s">
        <v>1467</v>
      </c>
      <c r="P363">
        <v>206.96199999999999</v>
      </c>
      <c r="Q363">
        <v>2</v>
      </c>
      <c r="R363">
        <v>0.3</v>
      </c>
      <c r="S363">
        <v>-32.522599999999997</v>
      </c>
      <c r="T363" t="s">
        <v>59</v>
      </c>
      <c r="U363" t="s">
        <v>35</v>
      </c>
    </row>
    <row r="364" spans="1:21" x14ac:dyDescent="0.25">
      <c r="A364" t="s">
        <v>1468</v>
      </c>
      <c r="B364" s="1">
        <v>43022</v>
      </c>
      <c r="C364" s="1">
        <v>43025</v>
      </c>
      <c r="D364" t="s">
        <v>88</v>
      </c>
      <c r="E364" t="s">
        <v>1469</v>
      </c>
      <c r="F364" t="s">
        <v>1470</v>
      </c>
      <c r="G364" t="s">
        <v>25</v>
      </c>
      <c r="H364" t="s">
        <v>26</v>
      </c>
      <c r="I364" t="s">
        <v>1471</v>
      </c>
      <c r="J364" t="s">
        <v>54</v>
      </c>
      <c r="K364" t="s">
        <v>55</v>
      </c>
      <c r="L364" t="s">
        <v>380</v>
      </c>
      <c r="M364" t="s">
        <v>31</v>
      </c>
      <c r="N364" t="s">
        <v>57</v>
      </c>
      <c r="O364" t="s">
        <v>381</v>
      </c>
      <c r="P364">
        <v>9.4600000000000009</v>
      </c>
      <c r="Q364">
        <v>2</v>
      </c>
      <c r="R364">
        <v>0</v>
      </c>
      <c r="S364">
        <v>3.6894</v>
      </c>
      <c r="T364" t="s">
        <v>34</v>
      </c>
      <c r="U364" t="s">
        <v>49</v>
      </c>
    </row>
    <row r="365" spans="1:21" x14ac:dyDescent="0.25">
      <c r="A365" t="s">
        <v>1472</v>
      </c>
      <c r="B365" s="1">
        <v>42252</v>
      </c>
      <c r="C365" s="1">
        <v>42256</v>
      </c>
      <c r="D365" t="s">
        <v>40</v>
      </c>
      <c r="E365" t="s">
        <v>1473</v>
      </c>
      <c r="F365" t="s">
        <v>1474</v>
      </c>
      <c r="G365" t="s">
        <v>25</v>
      </c>
      <c r="H365" t="s">
        <v>26</v>
      </c>
      <c r="I365" t="s">
        <v>640</v>
      </c>
      <c r="J365" t="s">
        <v>54</v>
      </c>
      <c r="K365" t="s">
        <v>55</v>
      </c>
      <c r="L365" t="s">
        <v>1475</v>
      </c>
      <c r="M365" t="s">
        <v>31</v>
      </c>
      <c r="N365" t="s">
        <v>32</v>
      </c>
      <c r="O365" t="s">
        <v>1476</v>
      </c>
      <c r="P365">
        <v>411.33199999999999</v>
      </c>
      <c r="Q365">
        <v>4</v>
      </c>
      <c r="R365">
        <v>0.15</v>
      </c>
      <c r="S365">
        <v>-4.8391999999999999</v>
      </c>
      <c r="T365" t="s">
        <v>84</v>
      </c>
      <c r="U365" t="s">
        <v>78</v>
      </c>
    </row>
    <row r="366" spans="1:21" x14ac:dyDescent="0.25">
      <c r="A366" t="s">
        <v>1472</v>
      </c>
      <c r="B366" s="1">
        <v>42252</v>
      </c>
      <c r="C366" s="1">
        <v>42256</v>
      </c>
      <c r="D366" t="s">
        <v>40</v>
      </c>
      <c r="E366" t="s">
        <v>1473</v>
      </c>
      <c r="F366" t="s">
        <v>1474</v>
      </c>
      <c r="G366" t="s">
        <v>25</v>
      </c>
      <c r="H366" t="s">
        <v>26</v>
      </c>
      <c r="I366" t="s">
        <v>640</v>
      </c>
      <c r="J366" t="s">
        <v>54</v>
      </c>
      <c r="K366" t="s">
        <v>55</v>
      </c>
      <c r="L366" t="s">
        <v>1477</v>
      </c>
      <c r="M366" t="s">
        <v>31</v>
      </c>
      <c r="N366" t="s">
        <v>32</v>
      </c>
      <c r="O366" t="s">
        <v>1478</v>
      </c>
      <c r="P366">
        <v>293.19900000000001</v>
      </c>
      <c r="Q366">
        <v>3</v>
      </c>
      <c r="R366">
        <v>0.15</v>
      </c>
      <c r="S366">
        <v>-20.696400000000001</v>
      </c>
      <c r="T366" t="s">
        <v>84</v>
      </c>
      <c r="U366" t="s">
        <v>78</v>
      </c>
    </row>
    <row r="367" spans="1:21" x14ac:dyDescent="0.25">
      <c r="A367" t="s">
        <v>1479</v>
      </c>
      <c r="B367" s="1">
        <v>42586</v>
      </c>
      <c r="C367" s="1">
        <v>42590</v>
      </c>
      <c r="D367" t="s">
        <v>40</v>
      </c>
      <c r="E367" t="s">
        <v>1480</v>
      </c>
      <c r="F367" t="s">
        <v>1481</v>
      </c>
      <c r="G367" t="s">
        <v>101</v>
      </c>
      <c r="H367" t="s">
        <v>26</v>
      </c>
      <c r="I367" t="s">
        <v>1482</v>
      </c>
      <c r="J367" t="s">
        <v>717</v>
      </c>
      <c r="K367" t="s">
        <v>29</v>
      </c>
      <c r="L367" t="s">
        <v>1483</v>
      </c>
      <c r="M367" t="s">
        <v>31</v>
      </c>
      <c r="N367" t="s">
        <v>57</v>
      </c>
      <c r="O367" t="s">
        <v>1484</v>
      </c>
      <c r="P367">
        <v>109.8</v>
      </c>
      <c r="Q367">
        <v>9</v>
      </c>
      <c r="R367">
        <v>0</v>
      </c>
      <c r="S367">
        <v>46.116</v>
      </c>
      <c r="T367" t="s">
        <v>84</v>
      </c>
      <c r="U367" t="s">
        <v>254</v>
      </c>
    </row>
    <row r="368" spans="1:21" x14ac:dyDescent="0.25">
      <c r="A368" t="s">
        <v>1485</v>
      </c>
      <c r="B368" s="1">
        <v>41974</v>
      </c>
      <c r="C368" s="1">
        <v>41976</v>
      </c>
      <c r="D368" t="s">
        <v>88</v>
      </c>
      <c r="E368" t="s">
        <v>692</v>
      </c>
      <c r="F368" t="s">
        <v>693</v>
      </c>
      <c r="G368" t="s">
        <v>25</v>
      </c>
      <c r="H368" t="s">
        <v>26</v>
      </c>
      <c r="I368" t="s">
        <v>1486</v>
      </c>
      <c r="J368" t="s">
        <v>239</v>
      </c>
      <c r="K368" t="s">
        <v>94</v>
      </c>
      <c r="L368" t="s">
        <v>1487</v>
      </c>
      <c r="M368" t="s">
        <v>31</v>
      </c>
      <c r="N368" t="s">
        <v>37</v>
      </c>
      <c r="O368" t="s">
        <v>1488</v>
      </c>
      <c r="P368">
        <v>2807.84</v>
      </c>
      <c r="Q368">
        <v>8</v>
      </c>
      <c r="R368">
        <v>0</v>
      </c>
      <c r="S368">
        <v>673.88160000000005</v>
      </c>
      <c r="T368" t="s">
        <v>71</v>
      </c>
      <c r="U368" t="s">
        <v>97</v>
      </c>
    </row>
    <row r="369" spans="1:21" x14ac:dyDescent="0.25">
      <c r="A369" t="s">
        <v>1489</v>
      </c>
      <c r="B369" s="1">
        <v>42558</v>
      </c>
      <c r="C369" s="1">
        <v>42562</v>
      </c>
      <c r="D369" t="s">
        <v>40</v>
      </c>
      <c r="E369" t="s">
        <v>1490</v>
      </c>
      <c r="F369" t="s">
        <v>1491</v>
      </c>
      <c r="G369" t="s">
        <v>25</v>
      </c>
      <c r="H369" t="s">
        <v>26</v>
      </c>
      <c r="I369" t="s">
        <v>1492</v>
      </c>
      <c r="J369" t="s">
        <v>54</v>
      </c>
      <c r="K369" t="s">
        <v>55</v>
      </c>
      <c r="L369" t="s">
        <v>608</v>
      </c>
      <c r="M369" t="s">
        <v>31</v>
      </c>
      <c r="N369" t="s">
        <v>57</v>
      </c>
      <c r="O369" t="s">
        <v>609</v>
      </c>
      <c r="P369">
        <v>215.65</v>
      </c>
      <c r="Q369">
        <v>5</v>
      </c>
      <c r="R369">
        <v>0</v>
      </c>
      <c r="S369">
        <v>73.320999999999998</v>
      </c>
      <c r="T369" t="s">
        <v>84</v>
      </c>
      <c r="U369" t="s">
        <v>72</v>
      </c>
    </row>
    <row r="370" spans="1:21" x14ac:dyDescent="0.25">
      <c r="A370" t="s">
        <v>1493</v>
      </c>
      <c r="B370" s="1">
        <v>42687</v>
      </c>
      <c r="C370" s="1">
        <v>42693</v>
      </c>
      <c r="D370" t="s">
        <v>40</v>
      </c>
      <c r="E370" t="s">
        <v>1494</v>
      </c>
      <c r="F370" t="s">
        <v>1495</v>
      </c>
      <c r="G370" t="s">
        <v>101</v>
      </c>
      <c r="H370" t="s">
        <v>26</v>
      </c>
      <c r="I370" t="s">
        <v>953</v>
      </c>
      <c r="J370" t="s">
        <v>193</v>
      </c>
      <c r="K370" t="s">
        <v>55</v>
      </c>
      <c r="L370" t="s">
        <v>1312</v>
      </c>
      <c r="M370" t="s">
        <v>31</v>
      </c>
      <c r="N370" t="s">
        <v>57</v>
      </c>
      <c r="O370" t="s">
        <v>1313</v>
      </c>
      <c r="P370">
        <v>4.18</v>
      </c>
      <c r="Q370">
        <v>1</v>
      </c>
      <c r="R370">
        <v>0</v>
      </c>
      <c r="S370">
        <v>1.5047999999999999</v>
      </c>
      <c r="T370" t="s">
        <v>130</v>
      </c>
      <c r="U370" t="s">
        <v>35</v>
      </c>
    </row>
    <row r="371" spans="1:21" x14ac:dyDescent="0.25">
      <c r="A371" t="s">
        <v>1496</v>
      </c>
      <c r="B371" s="1">
        <v>42666</v>
      </c>
      <c r="C371" s="1">
        <v>42672</v>
      </c>
      <c r="D371" t="s">
        <v>40</v>
      </c>
      <c r="E371" t="s">
        <v>270</v>
      </c>
      <c r="F371" t="s">
        <v>271</v>
      </c>
      <c r="G371" t="s">
        <v>91</v>
      </c>
      <c r="H371" t="s">
        <v>26</v>
      </c>
      <c r="I371" t="s">
        <v>134</v>
      </c>
      <c r="J371" t="s">
        <v>135</v>
      </c>
      <c r="K371" t="s">
        <v>94</v>
      </c>
      <c r="L371" t="s">
        <v>1497</v>
      </c>
      <c r="M371" t="s">
        <v>31</v>
      </c>
      <c r="N371" t="s">
        <v>57</v>
      </c>
      <c r="O371" t="s">
        <v>1498</v>
      </c>
      <c r="P371">
        <v>16.155999999999999</v>
      </c>
      <c r="Q371">
        <v>7</v>
      </c>
      <c r="R371">
        <v>0.6</v>
      </c>
      <c r="S371">
        <v>-12.117000000000001</v>
      </c>
      <c r="T371" t="s">
        <v>130</v>
      </c>
      <c r="U371" t="s">
        <v>49</v>
      </c>
    </row>
    <row r="372" spans="1:21" x14ac:dyDescent="0.25">
      <c r="A372" t="s">
        <v>1499</v>
      </c>
      <c r="B372" s="1">
        <v>41799</v>
      </c>
      <c r="C372" s="1">
        <v>41801</v>
      </c>
      <c r="D372" t="s">
        <v>22</v>
      </c>
      <c r="E372" t="s">
        <v>1500</v>
      </c>
      <c r="F372" t="s">
        <v>1501</v>
      </c>
      <c r="G372" t="s">
        <v>25</v>
      </c>
      <c r="H372" t="s">
        <v>26</v>
      </c>
      <c r="I372" t="s">
        <v>1077</v>
      </c>
      <c r="J372" t="s">
        <v>717</v>
      </c>
      <c r="K372" t="s">
        <v>29</v>
      </c>
      <c r="L372" t="s">
        <v>213</v>
      </c>
      <c r="M372" t="s">
        <v>31</v>
      </c>
      <c r="N372" t="s">
        <v>46</v>
      </c>
      <c r="O372" t="s">
        <v>214</v>
      </c>
      <c r="P372">
        <v>1441.3</v>
      </c>
      <c r="Q372">
        <v>7</v>
      </c>
      <c r="R372">
        <v>0</v>
      </c>
      <c r="S372">
        <v>245.02099999999999</v>
      </c>
      <c r="T372" t="s">
        <v>71</v>
      </c>
      <c r="U372" t="s">
        <v>60</v>
      </c>
    </row>
    <row r="373" spans="1:21" x14ac:dyDescent="0.25">
      <c r="A373" t="s">
        <v>1502</v>
      </c>
      <c r="B373" s="1">
        <v>43059</v>
      </c>
      <c r="C373" s="1">
        <v>43065</v>
      </c>
      <c r="D373" t="s">
        <v>40</v>
      </c>
      <c r="E373" t="s">
        <v>1503</v>
      </c>
      <c r="F373" t="s">
        <v>1504</v>
      </c>
      <c r="G373" t="s">
        <v>25</v>
      </c>
      <c r="H373" t="s">
        <v>26</v>
      </c>
      <c r="I373" t="s">
        <v>231</v>
      </c>
      <c r="J373" t="s">
        <v>232</v>
      </c>
      <c r="K373" t="s">
        <v>68</v>
      </c>
      <c r="L373" t="s">
        <v>364</v>
      </c>
      <c r="M373" t="s">
        <v>31</v>
      </c>
      <c r="N373" t="s">
        <v>57</v>
      </c>
      <c r="O373" t="s">
        <v>365</v>
      </c>
      <c r="P373">
        <v>77.599999999999994</v>
      </c>
      <c r="Q373">
        <v>5</v>
      </c>
      <c r="R373">
        <v>0.2</v>
      </c>
      <c r="S373">
        <v>28.13</v>
      </c>
      <c r="T373" t="s">
        <v>130</v>
      </c>
      <c r="U373" t="s">
        <v>35</v>
      </c>
    </row>
    <row r="374" spans="1:21" x14ac:dyDescent="0.25">
      <c r="A374" t="s">
        <v>1502</v>
      </c>
      <c r="B374" s="1">
        <v>43059</v>
      </c>
      <c r="C374" s="1">
        <v>43065</v>
      </c>
      <c r="D374" t="s">
        <v>40</v>
      </c>
      <c r="E374" t="s">
        <v>1503</v>
      </c>
      <c r="F374" t="s">
        <v>1504</v>
      </c>
      <c r="G374" t="s">
        <v>25</v>
      </c>
      <c r="H374" t="s">
        <v>26</v>
      </c>
      <c r="I374" t="s">
        <v>231</v>
      </c>
      <c r="J374" t="s">
        <v>232</v>
      </c>
      <c r="K374" t="s">
        <v>68</v>
      </c>
      <c r="L374" t="s">
        <v>501</v>
      </c>
      <c r="M374" t="s">
        <v>31</v>
      </c>
      <c r="N374" t="s">
        <v>57</v>
      </c>
      <c r="O374" t="s">
        <v>502</v>
      </c>
      <c r="P374">
        <v>4.6559999999999997</v>
      </c>
      <c r="Q374">
        <v>2</v>
      </c>
      <c r="R374">
        <v>0.2</v>
      </c>
      <c r="S374">
        <v>1.5713999999999999</v>
      </c>
      <c r="T374" t="s">
        <v>130</v>
      </c>
      <c r="U374" t="s">
        <v>35</v>
      </c>
    </row>
    <row r="375" spans="1:21" x14ac:dyDescent="0.25">
      <c r="A375" t="s">
        <v>1505</v>
      </c>
      <c r="B375" s="1">
        <v>42261</v>
      </c>
      <c r="C375" s="1">
        <v>42265</v>
      </c>
      <c r="D375" t="s">
        <v>40</v>
      </c>
      <c r="E375" t="s">
        <v>1112</v>
      </c>
      <c r="F375" t="s">
        <v>1113</v>
      </c>
      <c r="G375" t="s">
        <v>91</v>
      </c>
      <c r="H375" t="s">
        <v>26</v>
      </c>
      <c r="I375" t="s">
        <v>53</v>
      </c>
      <c r="J375" t="s">
        <v>54</v>
      </c>
      <c r="K375" t="s">
        <v>55</v>
      </c>
      <c r="L375" t="s">
        <v>318</v>
      </c>
      <c r="M375" t="s">
        <v>31</v>
      </c>
      <c r="N375" t="s">
        <v>46</v>
      </c>
      <c r="O375" t="s">
        <v>319</v>
      </c>
      <c r="P375">
        <v>170.136</v>
      </c>
      <c r="Q375">
        <v>3</v>
      </c>
      <c r="R375">
        <v>0.2</v>
      </c>
      <c r="S375">
        <v>-8.5068000000000001</v>
      </c>
      <c r="T375" t="s">
        <v>84</v>
      </c>
      <c r="U375" t="s">
        <v>78</v>
      </c>
    </row>
    <row r="376" spans="1:21" x14ac:dyDescent="0.25">
      <c r="A376" t="s">
        <v>1506</v>
      </c>
      <c r="B376" s="1">
        <v>41784</v>
      </c>
      <c r="C376" s="1">
        <v>41788</v>
      </c>
      <c r="D376" t="s">
        <v>40</v>
      </c>
      <c r="E376" t="s">
        <v>1507</v>
      </c>
      <c r="F376" t="s">
        <v>1508</v>
      </c>
      <c r="G376" t="s">
        <v>25</v>
      </c>
      <c r="H376" t="s">
        <v>26</v>
      </c>
      <c r="I376" t="s">
        <v>134</v>
      </c>
      <c r="J376" t="s">
        <v>135</v>
      </c>
      <c r="K376" t="s">
        <v>94</v>
      </c>
      <c r="L376" t="s">
        <v>1509</v>
      </c>
      <c r="M376" t="s">
        <v>31</v>
      </c>
      <c r="N376" t="s">
        <v>57</v>
      </c>
      <c r="O376" t="s">
        <v>1510</v>
      </c>
      <c r="P376">
        <v>29.32</v>
      </c>
      <c r="Q376">
        <v>2</v>
      </c>
      <c r="R376">
        <v>0.6</v>
      </c>
      <c r="S376">
        <v>-24.189</v>
      </c>
      <c r="T376" t="s">
        <v>84</v>
      </c>
      <c r="U376" t="s">
        <v>162</v>
      </c>
    </row>
    <row r="377" spans="1:21" x14ac:dyDescent="0.25">
      <c r="A377" t="s">
        <v>1511</v>
      </c>
      <c r="B377" s="1">
        <v>42416</v>
      </c>
      <c r="C377" s="1">
        <v>42420</v>
      </c>
      <c r="D377" t="s">
        <v>40</v>
      </c>
      <c r="E377" t="s">
        <v>1512</v>
      </c>
      <c r="F377" t="s">
        <v>1513</v>
      </c>
      <c r="G377" t="s">
        <v>91</v>
      </c>
      <c r="H377" t="s">
        <v>26</v>
      </c>
      <c r="I377" t="s">
        <v>134</v>
      </c>
      <c r="J377" t="s">
        <v>135</v>
      </c>
      <c r="K377" t="s">
        <v>94</v>
      </c>
      <c r="L377" t="s">
        <v>1514</v>
      </c>
      <c r="M377" t="s">
        <v>31</v>
      </c>
      <c r="N377" t="s">
        <v>37</v>
      </c>
      <c r="O377" t="s">
        <v>1515</v>
      </c>
      <c r="P377">
        <v>62.957999999999998</v>
      </c>
      <c r="Q377">
        <v>3</v>
      </c>
      <c r="R377">
        <v>0.3</v>
      </c>
      <c r="S377">
        <v>-2.6981999999999999</v>
      </c>
      <c r="T377" t="s">
        <v>84</v>
      </c>
      <c r="U377" t="s">
        <v>298</v>
      </c>
    </row>
    <row r="378" spans="1:21" x14ac:dyDescent="0.25">
      <c r="A378" t="s">
        <v>1516</v>
      </c>
      <c r="B378" s="1">
        <v>42726</v>
      </c>
      <c r="C378" s="1">
        <v>42732</v>
      </c>
      <c r="D378" t="s">
        <v>40</v>
      </c>
      <c r="E378" t="s">
        <v>820</v>
      </c>
      <c r="F378" t="s">
        <v>821</v>
      </c>
      <c r="G378" t="s">
        <v>25</v>
      </c>
      <c r="H378" t="s">
        <v>26</v>
      </c>
      <c r="I378" t="s">
        <v>1517</v>
      </c>
      <c r="J378" t="s">
        <v>1518</v>
      </c>
      <c r="K378" t="s">
        <v>55</v>
      </c>
      <c r="L378" t="s">
        <v>447</v>
      </c>
      <c r="M378" t="s">
        <v>31</v>
      </c>
      <c r="N378" t="s">
        <v>57</v>
      </c>
      <c r="O378" t="s">
        <v>448</v>
      </c>
      <c r="P378">
        <v>11.84</v>
      </c>
      <c r="Q378">
        <v>4</v>
      </c>
      <c r="R378">
        <v>0.2</v>
      </c>
      <c r="S378">
        <v>3.1080000000000001</v>
      </c>
      <c r="T378" t="s">
        <v>130</v>
      </c>
      <c r="U378" t="s">
        <v>97</v>
      </c>
    </row>
    <row r="379" spans="1:21" x14ac:dyDescent="0.25">
      <c r="A379" t="s">
        <v>1516</v>
      </c>
      <c r="B379" s="1">
        <v>42726</v>
      </c>
      <c r="C379" s="1">
        <v>42732</v>
      </c>
      <c r="D379" t="s">
        <v>40</v>
      </c>
      <c r="E379" t="s">
        <v>820</v>
      </c>
      <c r="F379" t="s">
        <v>821</v>
      </c>
      <c r="G379" t="s">
        <v>25</v>
      </c>
      <c r="H379" t="s">
        <v>26</v>
      </c>
      <c r="I379" t="s">
        <v>1517</v>
      </c>
      <c r="J379" t="s">
        <v>1518</v>
      </c>
      <c r="K379" t="s">
        <v>55</v>
      </c>
      <c r="L379" t="s">
        <v>1519</v>
      </c>
      <c r="M379" t="s">
        <v>31</v>
      </c>
      <c r="N379" t="s">
        <v>57</v>
      </c>
      <c r="O379" t="s">
        <v>1520</v>
      </c>
      <c r="P379">
        <v>22.783999999999999</v>
      </c>
      <c r="Q379">
        <v>1</v>
      </c>
      <c r="R379">
        <v>0.2</v>
      </c>
      <c r="S379">
        <v>4.8415999999999997</v>
      </c>
      <c r="T379" t="s">
        <v>130</v>
      </c>
      <c r="U379" t="s">
        <v>97</v>
      </c>
    </row>
    <row r="380" spans="1:21" x14ac:dyDescent="0.25">
      <c r="A380" t="s">
        <v>1521</v>
      </c>
      <c r="B380" s="1">
        <v>43029</v>
      </c>
      <c r="C380" s="1">
        <v>43029</v>
      </c>
      <c r="D380" t="s">
        <v>426</v>
      </c>
      <c r="E380" t="s">
        <v>955</v>
      </c>
      <c r="F380" t="s">
        <v>956</v>
      </c>
      <c r="G380" t="s">
        <v>101</v>
      </c>
      <c r="H380" t="s">
        <v>26</v>
      </c>
      <c r="I380" t="s">
        <v>1522</v>
      </c>
      <c r="J380" t="s">
        <v>1523</v>
      </c>
      <c r="K380" t="s">
        <v>94</v>
      </c>
      <c r="L380" t="s">
        <v>916</v>
      </c>
      <c r="M380" t="s">
        <v>31</v>
      </c>
      <c r="N380" t="s">
        <v>46</v>
      </c>
      <c r="O380" t="s">
        <v>917</v>
      </c>
      <c r="P380">
        <v>262.11</v>
      </c>
      <c r="Q380">
        <v>1</v>
      </c>
      <c r="R380">
        <v>0</v>
      </c>
      <c r="S380">
        <v>62.906399999999998</v>
      </c>
      <c r="T380" t="s">
        <v>431</v>
      </c>
      <c r="U380" t="s">
        <v>49</v>
      </c>
    </row>
    <row r="381" spans="1:21" x14ac:dyDescent="0.25">
      <c r="A381" t="s">
        <v>1524</v>
      </c>
      <c r="B381" s="1">
        <v>42313</v>
      </c>
      <c r="C381" s="1">
        <v>42317</v>
      </c>
      <c r="D381" t="s">
        <v>40</v>
      </c>
      <c r="E381" t="s">
        <v>1081</v>
      </c>
      <c r="F381" t="s">
        <v>1082</v>
      </c>
      <c r="G381" t="s">
        <v>91</v>
      </c>
      <c r="H381" t="s">
        <v>26</v>
      </c>
      <c r="I381" t="s">
        <v>1036</v>
      </c>
      <c r="J381" t="s">
        <v>1037</v>
      </c>
      <c r="K381" t="s">
        <v>29</v>
      </c>
      <c r="L381" t="s">
        <v>1091</v>
      </c>
      <c r="M381" t="s">
        <v>31</v>
      </c>
      <c r="N381" t="s">
        <v>37</v>
      </c>
      <c r="O381" t="s">
        <v>1092</v>
      </c>
      <c r="P381">
        <v>207</v>
      </c>
      <c r="Q381">
        <v>3</v>
      </c>
      <c r="R381">
        <v>0.2</v>
      </c>
      <c r="S381">
        <v>25.875</v>
      </c>
      <c r="T381" t="s">
        <v>84</v>
      </c>
      <c r="U381" t="s">
        <v>35</v>
      </c>
    </row>
    <row r="382" spans="1:21" x14ac:dyDescent="0.25">
      <c r="A382" t="s">
        <v>1525</v>
      </c>
      <c r="B382" s="1">
        <v>41852</v>
      </c>
      <c r="C382" s="1">
        <v>41856</v>
      </c>
      <c r="D382" t="s">
        <v>40</v>
      </c>
      <c r="E382" t="s">
        <v>1526</v>
      </c>
      <c r="F382" t="s">
        <v>1527</v>
      </c>
      <c r="G382" t="s">
        <v>91</v>
      </c>
      <c r="H382" t="s">
        <v>26</v>
      </c>
      <c r="I382" t="s">
        <v>1528</v>
      </c>
      <c r="J382" t="s">
        <v>1037</v>
      </c>
      <c r="K382" t="s">
        <v>29</v>
      </c>
      <c r="L382" t="s">
        <v>175</v>
      </c>
      <c r="M382" t="s">
        <v>31</v>
      </c>
      <c r="N382" t="s">
        <v>57</v>
      </c>
      <c r="O382" t="s">
        <v>176</v>
      </c>
      <c r="P382">
        <v>44.128</v>
      </c>
      <c r="Q382">
        <v>4</v>
      </c>
      <c r="R382">
        <v>0.2</v>
      </c>
      <c r="S382">
        <v>12.135199999999999</v>
      </c>
      <c r="T382" t="s">
        <v>84</v>
      </c>
      <c r="U382" t="s">
        <v>254</v>
      </c>
    </row>
    <row r="383" spans="1:21" x14ac:dyDescent="0.25">
      <c r="A383" t="s">
        <v>1529</v>
      </c>
      <c r="B383" s="1">
        <v>42569</v>
      </c>
      <c r="C383" s="1">
        <v>42574</v>
      </c>
      <c r="D383" t="s">
        <v>40</v>
      </c>
      <c r="E383" t="s">
        <v>1530</v>
      </c>
      <c r="F383" t="s">
        <v>1531</v>
      </c>
      <c r="G383" t="s">
        <v>91</v>
      </c>
      <c r="H383" t="s">
        <v>26</v>
      </c>
      <c r="I383" t="s">
        <v>1532</v>
      </c>
      <c r="J383" t="s">
        <v>28</v>
      </c>
      <c r="K383" t="s">
        <v>29</v>
      </c>
      <c r="L383" t="s">
        <v>1533</v>
      </c>
      <c r="M383" t="s">
        <v>31</v>
      </c>
      <c r="N383" t="s">
        <v>37</v>
      </c>
      <c r="O383" t="s">
        <v>1534</v>
      </c>
      <c r="P383">
        <v>140.81</v>
      </c>
      <c r="Q383">
        <v>1</v>
      </c>
      <c r="R383">
        <v>0</v>
      </c>
      <c r="S383">
        <v>39.4268</v>
      </c>
      <c r="T383" t="s">
        <v>59</v>
      </c>
      <c r="U383" t="s">
        <v>72</v>
      </c>
    </row>
    <row r="384" spans="1:21" x14ac:dyDescent="0.25">
      <c r="A384" t="s">
        <v>1535</v>
      </c>
      <c r="B384" s="1">
        <v>42044</v>
      </c>
      <c r="C384" s="1">
        <v>42046</v>
      </c>
      <c r="D384" t="s">
        <v>22</v>
      </c>
      <c r="E384" t="s">
        <v>1536</v>
      </c>
      <c r="F384" t="s">
        <v>1537</v>
      </c>
      <c r="G384" t="s">
        <v>91</v>
      </c>
      <c r="H384" t="s">
        <v>26</v>
      </c>
      <c r="I384" t="s">
        <v>246</v>
      </c>
      <c r="J384" t="s">
        <v>93</v>
      </c>
      <c r="K384" t="s">
        <v>94</v>
      </c>
      <c r="L384" t="s">
        <v>1538</v>
      </c>
      <c r="M384" t="s">
        <v>31</v>
      </c>
      <c r="N384" t="s">
        <v>57</v>
      </c>
      <c r="O384" t="s">
        <v>1539</v>
      </c>
      <c r="P384">
        <v>40.783999999999999</v>
      </c>
      <c r="Q384">
        <v>2</v>
      </c>
      <c r="R384">
        <v>0.6</v>
      </c>
      <c r="S384">
        <v>-30.588000000000001</v>
      </c>
      <c r="T384" t="s">
        <v>71</v>
      </c>
      <c r="U384" t="s">
        <v>298</v>
      </c>
    </row>
    <row r="385" spans="1:21" x14ac:dyDescent="0.25">
      <c r="A385" t="s">
        <v>1540</v>
      </c>
      <c r="B385" s="1">
        <v>42747</v>
      </c>
      <c r="C385" s="1">
        <v>42752</v>
      </c>
      <c r="D385" t="s">
        <v>22</v>
      </c>
      <c r="E385" t="s">
        <v>1541</v>
      </c>
      <c r="F385" t="s">
        <v>1542</v>
      </c>
      <c r="G385" t="s">
        <v>101</v>
      </c>
      <c r="H385" t="s">
        <v>26</v>
      </c>
      <c r="I385" t="s">
        <v>193</v>
      </c>
      <c r="J385" t="s">
        <v>981</v>
      </c>
      <c r="K385" t="s">
        <v>68</v>
      </c>
      <c r="L385" t="s">
        <v>1543</v>
      </c>
      <c r="M385" t="s">
        <v>31</v>
      </c>
      <c r="N385" t="s">
        <v>57</v>
      </c>
      <c r="O385" t="s">
        <v>1544</v>
      </c>
      <c r="P385">
        <v>37.68</v>
      </c>
      <c r="Q385">
        <v>2</v>
      </c>
      <c r="R385">
        <v>0</v>
      </c>
      <c r="S385">
        <v>15.8256</v>
      </c>
      <c r="T385" t="s">
        <v>59</v>
      </c>
      <c r="U385" t="s">
        <v>170</v>
      </c>
    </row>
    <row r="386" spans="1:21" x14ac:dyDescent="0.25">
      <c r="A386" t="s">
        <v>1545</v>
      </c>
      <c r="B386" s="1">
        <v>42988</v>
      </c>
      <c r="C386" s="1">
        <v>42988</v>
      </c>
      <c r="D386" t="s">
        <v>426</v>
      </c>
      <c r="E386" t="s">
        <v>1546</v>
      </c>
      <c r="F386" t="s">
        <v>1547</v>
      </c>
      <c r="G386" t="s">
        <v>91</v>
      </c>
      <c r="H386" t="s">
        <v>26</v>
      </c>
      <c r="I386" t="s">
        <v>53</v>
      </c>
      <c r="J386" t="s">
        <v>54</v>
      </c>
      <c r="K386" t="s">
        <v>55</v>
      </c>
      <c r="L386" t="s">
        <v>395</v>
      </c>
      <c r="M386" t="s">
        <v>31</v>
      </c>
      <c r="N386" t="s">
        <v>37</v>
      </c>
      <c r="O386" t="s">
        <v>396</v>
      </c>
      <c r="P386">
        <v>362.35199999999998</v>
      </c>
      <c r="Q386">
        <v>3</v>
      </c>
      <c r="R386">
        <v>0.2</v>
      </c>
      <c r="S386">
        <v>27.176400000000001</v>
      </c>
      <c r="T386" t="s">
        <v>431</v>
      </c>
      <c r="U386" t="s">
        <v>78</v>
      </c>
    </row>
    <row r="387" spans="1:21" x14ac:dyDescent="0.25">
      <c r="A387" t="s">
        <v>1548</v>
      </c>
      <c r="B387" s="1">
        <v>42820</v>
      </c>
      <c r="C387" s="1">
        <v>42821</v>
      </c>
      <c r="D387" t="s">
        <v>88</v>
      </c>
      <c r="E387" t="s">
        <v>834</v>
      </c>
      <c r="F387" t="s">
        <v>835</v>
      </c>
      <c r="G387" t="s">
        <v>25</v>
      </c>
      <c r="H387" t="s">
        <v>26</v>
      </c>
      <c r="I387" t="s">
        <v>174</v>
      </c>
      <c r="J387" t="s">
        <v>121</v>
      </c>
      <c r="K387" t="s">
        <v>68</v>
      </c>
      <c r="L387" t="s">
        <v>1549</v>
      </c>
      <c r="M387" t="s">
        <v>31</v>
      </c>
      <c r="N387" t="s">
        <v>32</v>
      </c>
      <c r="O387" t="s">
        <v>1550</v>
      </c>
      <c r="P387">
        <v>257.56799999999998</v>
      </c>
      <c r="Q387">
        <v>2</v>
      </c>
      <c r="R387">
        <v>0.2</v>
      </c>
      <c r="S387">
        <v>-28.976400000000002</v>
      </c>
      <c r="T387" t="s">
        <v>124</v>
      </c>
      <c r="U387" t="s">
        <v>196</v>
      </c>
    </row>
    <row r="388" spans="1:21" x14ac:dyDescent="0.25">
      <c r="A388" t="s">
        <v>1551</v>
      </c>
      <c r="B388" s="1">
        <v>42656</v>
      </c>
      <c r="C388" s="1">
        <v>42660</v>
      </c>
      <c r="D388" t="s">
        <v>40</v>
      </c>
      <c r="E388" t="s">
        <v>1552</v>
      </c>
      <c r="F388" t="s">
        <v>1553</v>
      </c>
      <c r="G388" t="s">
        <v>91</v>
      </c>
      <c r="H388" t="s">
        <v>26</v>
      </c>
      <c r="I388" t="s">
        <v>180</v>
      </c>
      <c r="J388" t="s">
        <v>181</v>
      </c>
      <c r="K388" t="s">
        <v>55</v>
      </c>
      <c r="L388" t="s">
        <v>411</v>
      </c>
      <c r="M388" t="s">
        <v>31</v>
      </c>
      <c r="N388" t="s">
        <v>46</v>
      </c>
      <c r="O388" t="s">
        <v>412</v>
      </c>
      <c r="P388">
        <v>727.45</v>
      </c>
      <c r="Q388">
        <v>5</v>
      </c>
      <c r="R388">
        <v>0.5</v>
      </c>
      <c r="S388">
        <v>-465.56799999999998</v>
      </c>
      <c r="T388" t="s">
        <v>84</v>
      </c>
      <c r="U388" t="s">
        <v>49</v>
      </c>
    </row>
    <row r="389" spans="1:21" x14ac:dyDescent="0.25">
      <c r="A389" t="s">
        <v>1551</v>
      </c>
      <c r="B389" s="1">
        <v>42656</v>
      </c>
      <c r="C389" s="1">
        <v>42660</v>
      </c>
      <c r="D389" t="s">
        <v>40</v>
      </c>
      <c r="E389" t="s">
        <v>1552</v>
      </c>
      <c r="F389" t="s">
        <v>1553</v>
      </c>
      <c r="G389" t="s">
        <v>91</v>
      </c>
      <c r="H389" t="s">
        <v>26</v>
      </c>
      <c r="I389" t="s">
        <v>180</v>
      </c>
      <c r="J389" t="s">
        <v>181</v>
      </c>
      <c r="K389" t="s">
        <v>55</v>
      </c>
      <c r="L389" t="s">
        <v>1554</v>
      </c>
      <c r="M389" t="s">
        <v>31</v>
      </c>
      <c r="N389" t="s">
        <v>57</v>
      </c>
      <c r="O389" t="s">
        <v>1555</v>
      </c>
      <c r="P389">
        <v>24.96</v>
      </c>
      <c r="Q389">
        <v>3</v>
      </c>
      <c r="R389">
        <v>0.2</v>
      </c>
      <c r="S389">
        <v>4.3680000000000003</v>
      </c>
      <c r="T389" t="s">
        <v>84</v>
      </c>
      <c r="U389" t="s">
        <v>49</v>
      </c>
    </row>
    <row r="390" spans="1:21" x14ac:dyDescent="0.25">
      <c r="A390" t="s">
        <v>1556</v>
      </c>
      <c r="B390" s="1">
        <v>42840</v>
      </c>
      <c r="C390" s="1">
        <v>42843</v>
      </c>
      <c r="D390" t="s">
        <v>88</v>
      </c>
      <c r="E390" t="s">
        <v>1557</v>
      </c>
      <c r="F390" t="s">
        <v>1558</v>
      </c>
      <c r="G390" t="s">
        <v>91</v>
      </c>
      <c r="H390" t="s">
        <v>26</v>
      </c>
      <c r="I390" t="s">
        <v>27</v>
      </c>
      <c r="J390" t="s">
        <v>1341</v>
      </c>
      <c r="K390" t="s">
        <v>55</v>
      </c>
      <c r="L390" t="s">
        <v>1013</v>
      </c>
      <c r="M390" t="s">
        <v>31</v>
      </c>
      <c r="N390" t="s">
        <v>57</v>
      </c>
      <c r="O390" t="s">
        <v>1014</v>
      </c>
      <c r="P390">
        <v>196.45</v>
      </c>
      <c r="Q390">
        <v>5</v>
      </c>
      <c r="R390">
        <v>0</v>
      </c>
      <c r="S390">
        <v>70.721999999999994</v>
      </c>
      <c r="T390" t="s">
        <v>34</v>
      </c>
      <c r="U390" t="s">
        <v>114</v>
      </c>
    </row>
    <row r="391" spans="1:21" x14ac:dyDescent="0.25">
      <c r="A391" t="s">
        <v>1559</v>
      </c>
      <c r="B391" s="1">
        <v>41841</v>
      </c>
      <c r="C391" s="1">
        <v>41845</v>
      </c>
      <c r="D391" t="s">
        <v>40</v>
      </c>
      <c r="E391" t="s">
        <v>1560</v>
      </c>
      <c r="F391" t="s">
        <v>1561</v>
      </c>
      <c r="G391" t="s">
        <v>91</v>
      </c>
      <c r="H391" t="s">
        <v>26</v>
      </c>
      <c r="I391" t="s">
        <v>329</v>
      </c>
      <c r="J391" t="s">
        <v>54</v>
      </c>
      <c r="K391" t="s">
        <v>55</v>
      </c>
      <c r="L391" t="s">
        <v>560</v>
      </c>
      <c r="M391" t="s">
        <v>31</v>
      </c>
      <c r="N391" t="s">
        <v>37</v>
      </c>
      <c r="O391" t="s">
        <v>561</v>
      </c>
      <c r="P391">
        <v>801.56799999999998</v>
      </c>
      <c r="Q391">
        <v>2</v>
      </c>
      <c r="R391">
        <v>0.2</v>
      </c>
      <c r="S391">
        <v>50.097999999999999</v>
      </c>
      <c r="T391" t="s">
        <v>84</v>
      </c>
      <c r="U391" t="s">
        <v>72</v>
      </c>
    </row>
    <row r="392" spans="1:21" x14ac:dyDescent="0.25">
      <c r="A392" t="s">
        <v>1559</v>
      </c>
      <c r="B392" s="1">
        <v>41841</v>
      </c>
      <c r="C392" s="1">
        <v>41845</v>
      </c>
      <c r="D392" t="s">
        <v>40</v>
      </c>
      <c r="E392" t="s">
        <v>1560</v>
      </c>
      <c r="F392" t="s">
        <v>1561</v>
      </c>
      <c r="G392" t="s">
        <v>91</v>
      </c>
      <c r="H392" t="s">
        <v>26</v>
      </c>
      <c r="I392" t="s">
        <v>329</v>
      </c>
      <c r="J392" t="s">
        <v>54</v>
      </c>
      <c r="K392" t="s">
        <v>55</v>
      </c>
      <c r="L392" t="s">
        <v>1562</v>
      </c>
      <c r="M392" t="s">
        <v>31</v>
      </c>
      <c r="N392" t="s">
        <v>46</v>
      </c>
      <c r="O392" t="s">
        <v>1563</v>
      </c>
      <c r="P392">
        <v>272.84800000000001</v>
      </c>
      <c r="Q392">
        <v>1</v>
      </c>
      <c r="R392">
        <v>0.2</v>
      </c>
      <c r="S392">
        <v>27.284800000000001</v>
      </c>
      <c r="T392" t="s">
        <v>84</v>
      </c>
      <c r="U392" t="s">
        <v>72</v>
      </c>
    </row>
    <row r="393" spans="1:21" x14ac:dyDescent="0.25">
      <c r="A393" t="s">
        <v>1564</v>
      </c>
      <c r="B393" s="1">
        <v>43060</v>
      </c>
      <c r="C393" s="1">
        <v>43064</v>
      </c>
      <c r="D393" t="s">
        <v>40</v>
      </c>
      <c r="E393" t="s">
        <v>1565</v>
      </c>
      <c r="F393" t="s">
        <v>1566</v>
      </c>
      <c r="G393" t="s">
        <v>25</v>
      </c>
      <c r="H393" t="s">
        <v>26</v>
      </c>
      <c r="I393" t="s">
        <v>1567</v>
      </c>
      <c r="J393" t="s">
        <v>193</v>
      </c>
      <c r="K393" t="s">
        <v>55</v>
      </c>
      <c r="L393" t="s">
        <v>1568</v>
      </c>
      <c r="M393" t="s">
        <v>31</v>
      </c>
      <c r="N393" t="s">
        <v>46</v>
      </c>
      <c r="O393" t="s">
        <v>1569</v>
      </c>
      <c r="P393">
        <v>70.98</v>
      </c>
      <c r="Q393">
        <v>1</v>
      </c>
      <c r="R393">
        <v>0</v>
      </c>
      <c r="S393">
        <v>20.584199999999999</v>
      </c>
      <c r="T393" t="s">
        <v>84</v>
      </c>
      <c r="U393" t="s">
        <v>35</v>
      </c>
    </row>
    <row r="394" spans="1:21" x14ac:dyDescent="0.25">
      <c r="A394" t="s">
        <v>1570</v>
      </c>
      <c r="B394" s="1">
        <v>42439</v>
      </c>
      <c r="C394" s="1">
        <v>42445</v>
      </c>
      <c r="D394" t="s">
        <v>40</v>
      </c>
      <c r="E394" t="s">
        <v>1346</v>
      </c>
      <c r="F394" t="s">
        <v>1347</v>
      </c>
      <c r="G394" t="s">
        <v>25</v>
      </c>
      <c r="H394" t="s">
        <v>26</v>
      </c>
      <c r="I394" t="s">
        <v>731</v>
      </c>
      <c r="J394" t="s">
        <v>121</v>
      </c>
      <c r="K394" t="s">
        <v>68</v>
      </c>
      <c r="L394" t="s">
        <v>737</v>
      </c>
      <c r="M394" t="s">
        <v>31</v>
      </c>
      <c r="N394" t="s">
        <v>32</v>
      </c>
      <c r="O394" t="s">
        <v>738</v>
      </c>
      <c r="P394">
        <v>176.78399999999999</v>
      </c>
      <c r="Q394">
        <v>1</v>
      </c>
      <c r="R394">
        <v>0.2</v>
      </c>
      <c r="S394">
        <v>-22.097999999999999</v>
      </c>
      <c r="T394" t="s">
        <v>130</v>
      </c>
      <c r="U394" t="s">
        <v>196</v>
      </c>
    </row>
    <row r="395" spans="1:21" x14ac:dyDescent="0.25">
      <c r="A395" t="s">
        <v>1571</v>
      </c>
      <c r="B395" s="1">
        <v>43098</v>
      </c>
      <c r="C395" s="1">
        <v>43102</v>
      </c>
      <c r="D395" t="s">
        <v>40</v>
      </c>
      <c r="E395" t="s">
        <v>1572</v>
      </c>
      <c r="F395" t="s">
        <v>1573</v>
      </c>
      <c r="G395" t="s">
        <v>25</v>
      </c>
      <c r="H395" t="s">
        <v>26</v>
      </c>
      <c r="I395" t="s">
        <v>53</v>
      </c>
      <c r="J395" t="s">
        <v>54</v>
      </c>
      <c r="K395" t="s">
        <v>55</v>
      </c>
      <c r="L395" t="s">
        <v>1029</v>
      </c>
      <c r="M395" t="s">
        <v>31</v>
      </c>
      <c r="N395" t="s">
        <v>37</v>
      </c>
      <c r="O395" t="s">
        <v>1030</v>
      </c>
      <c r="P395">
        <v>393.56799999999998</v>
      </c>
      <c r="Q395">
        <v>4</v>
      </c>
      <c r="R395">
        <v>0.2</v>
      </c>
      <c r="S395">
        <v>-44.276400000000002</v>
      </c>
      <c r="T395" t="s">
        <v>84</v>
      </c>
      <c r="U395" t="s">
        <v>97</v>
      </c>
    </row>
    <row r="396" spans="1:21" x14ac:dyDescent="0.25">
      <c r="A396" t="s">
        <v>1574</v>
      </c>
      <c r="B396" s="1">
        <v>42068</v>
      </c>
      <c r="C396" s="1">
        <v>42068</v>
      </c>
      <c r="D396" t="s">
        <v>426</v>
      </c>
      <c r="E396" t="s">
        <v>1575</v>
      </c>
      <c r="F396" t="s">
        <v>1576</v>
      </c>
      <c r="G396" t="s">
        <v>25</v>
      </c>
      <c r="H396" t="s">
        <v>26</v>
      </c>
      <c r="I396" t="s">
        <v>174</v>
      </c>
      <c r="J396" t="s">
        <v>121</v>
      </c>
      <c r="K396" t="s">
        <v>68</v>
      </c>
      <c r="L396" t="s">
        <v>136</v>
      </c>
      <c r="M396" t="s">
        <v>31</v>
      </c>
      <c r="N396" t="s">
        <v>37</v>
      </c>
      <c r="O396" t="s">
        <v>137</v>
      </c>
      <c r="P396">
        <v>383.60700000000003</v>
      </c>
      <c r="Q396">
        <v>7</v>
      </c>
      <c r="R396">
        <v>0.1</v>
      </c>
      <c r="S396">
        <v>63.9345</v>
      </c>
      <c r="T396" t="s">
        <v>431</v>
      </c>
      <c r="U396" t="s">
        <v>196</v>
      </c>
    </row>
    <row r="397" spans="1:21" x14ac:dyDescent="0.25">
      <c r="A397" t="s">
        <v>1577</v>
      </c>
      <c r="B397" s="1">
        <v>42482</v>
      </c>
      <c r="C397" s="1">
        <v>42486</v>
      </c>
      <c r="D397" t="s">
        <v>22</v>
      </c>
      <c r="E397" t="s">
        <v>594</v>
      </c>
      <c r="F397" t="s">
        <v>595</v>
      </c>
      <c r="G397" t="s">
        <v>25</v>
      </c>
      <c r="H397" t="s">
        <v>26</v>
      </c>
      <c r="I397" t="s">
        <v>329</v>
      </c>
      <c r="J397" t="s">
        <v>54</v>
      </c>
      <c r="K397" t="s">
        <v>55</v>
      </c>
      <c r="L397" t="s">
        <v>1578</v>
      </c>
      <c r="M397" t="s">
        <v>31</v>
      </c>
      <c r="N397" t="s">
        <v>57</v>
      </c>
      <c r="O397" t="s">
        <v>1579</v>
      </c>
      <c r="P397">
        <v>31.56</v>
      </c>
      <c r="Q397">
        <v>3</v>
      </c>
      <c r="R397">
        <v>0</v>
      </c>
      <c r="S397">
        <v>10.4148</v>
      </c>
      <c r="T397" t="s">
        <v>84</v>
      </c>
      <c r="U397" t="s">
        <v>114</v>
      </c>
    </row>
    <row r="398" spans="1:21" x14ac:dyDescent="0.25">
      <c r="A398" t="s">
        <v>1580</v>
      </c>
      <c r="B398" s="1">
        <v>41933</v>
      </c>
      <c r="C398" s="1">
        <v>41934</v>
      </c>
      <c r="D398" t="s">
        <v>88</v>
      </c>
      <c r="E398" t="s">
        <v>80</v>
      </c>
      <c r="F398" t="s">
        <v>81</v>
      </c>
      <c r="G398" t="s">
        <v>25</v>
      </c>
      <c r="H398" t="s">
        <v>26</v>
      </c>
      <c r="I398" t="s">
        <v>1581</v>
      </c>
      <c r="J398" t="s">
        <v>232</v>
      </c>
      <c r="K398" t="s">
        <v>68</v>
      </c>
      <c r="L398" t="s">
        <v>442</v>
      </c>
      <c r="M398" t="s">
        <v>31</v>
      </c>
      <c r="N398" t="s">
        <v>46</v>
      </c>
      <c r="O398" t="s">
        <v>443</v>
      </c>
      <c r="P398">
        <v>409.59</v>
      </c>
      <c r="Q398">
        <v>3</v>
      </c>
      <c r="R398">
        <v>0.4</v>
      </c>
      <c r="S398">
        <v>-122.877</v>
      </c>
      <c r="T398" t="s">
        <v>124</v>
      </c>
      <c r="U398" t="s">
        <v>49</v>
      </c>
    </row>
    <row r="399" spans="1:21" x14ac:dyDescent="0.25">
      <c r="A399" t="s">
        <v>1582</v>
      </c>
      <c r="B399" s="1">
        <v>41880</v>
      </c>
      <c r="C399" s="1">
        <v>41884</v>
      </c>
      <c r="D399" t="s">
        <v>22</v>
      </c>
      <c r="E399" t="s">
        <v>1583</v>
      </c>
      <c r="F399" t="s">
        <v>1584</v>
      </c>
      <c r="G399" t="s">
        <v>25</v>
      </c>
      <c r="H399" t="s">
        <v>26</v>
      </c>
      <c r="I399" t="s">
        <v>1007</v>
      </c>
      <c r="J399" t="s">
        <v>44</v>
      </c>
      <c r="K399" t="s">
        <v>29</v>
      </c>
      <c r="L399" t="s">
        <v>548</v>
      </c>
      <c r="M399" t="s">
        <v>31</v>
      </c>
      <c r="N399" t="s">
        <v>46</v>
      </c>
      <c r="O399" t="s">
        <v>549</v>
      </c>
      <c r="P399">
        <v>174.05850000000001</v>
      </c>
      <c r="Q399">
        <v>3</v>
      </c>
      <c r="R399">
        <v>0.45</v>
      </c>
      <c r="S399">
        <v>-110.7645</v>
      </c>
      <c r="T399" t="s">
        <v>84</v>
      </c>
      <c r="U399" t="s">
        <v>254</v>
      </c>
    </row>
    <row r="400" spans="1:21" x14ac:dyDescent="0.25">
      <c r="A400" t="s">
        <v>1585</v>
      </c>
      <c r="B400" s="1">
        <v>43029</v>
      </c>
      <c r="C400" s="1">
        <v>43030</v>
      </c>
      <c r="D400" t="s">
        <v>88</v>
      </c>
      <c r="E400" t="s">
        <v>1305</v>
      </c>
      <c r="F400" t="s">
        <v>1306</v>
      </c>
      <c r="G400" t="s">
        <v>91</v>
      </c>
      <c r="H400" t="s">
        <v>26</v>
      </c>
      <c r="I400" t="s">
        <v>879</v>
      </c>
      <c r="J400" t="s">
        <v>1518</v>
      </c>
      <c r="K400" t="s">
        <v>55</v>
      </c>
      <c r="L400" t="s">
        <v>1586</v>
      </c>
      <c r="M400" t="s">
        <v>31</v>
      </c>
      <c r="N400" t="s">
        <v>37</v>
      </c>
      <c r="O400" t="s">
        <v>1587</v>
      </c>
      <c r="P400">
        <v>478.48</v>
      </c>
      <c r="Q400">
        <v>2</v>
      </c>
      <c r="R400">
        <v>0.2</v>
      </c>
      <c r="S400">
        <v>47.847999999999999</v>
      </c>
      <c r="T400" t="s">
        <v>124</v>
      </c>
      <c r="U400" t="s">
        <v>49</v>
      </c>
    </row>
    <row r="401" spans="1:21" x14ac:dyDescent="0.25">
      <c r="A401" t="s">
        <v>1588</v>
      </c>
      <c r="B401" s="1">
        <v>42038</v>
      </c>
      <c r="C401" s="1">
        <v>42039</v>
      </c>
      <c r="D401" t="s">
        <v>88</v>
      </c>
      <c r="E401" t="s">
        <v>1589</v>
      </c>
      <c r="F401" t="s">
        <v>1590</v>
      </c>
      <c r="G401" t="s">
        <v>91</v>
      </c>
      <c r="H401" t="s">
        <v>26</v>
      </c>
      <c r="I401" t="s">
        <v>53</v>
      </c>
      <c r="J401" t="s">
        <v>54</v>
      </c>
      <c r="K401" t="s">
        <v>55</v>
      </c>
      <c r="L401" t="s">
        <v>1591</v>
      </c>
      <c r="M401" t="s">
        <v>31</v>
      </c>
      <c r="N401" t="s">
        <v>57</v>
      </c>
      <c r="O401" t="s">
        <v>1592</v>
      </c>
      <c r="P401">
        <v>136.91999999999999</v>
      </c>
      <c r="Q401">
        <v>4</v>
      </c>
      <c r="R401">
        <v>0</v>
      </c>
      <c r="S401">
        <v>41.076000000000001</v>
      </c>
      <c r="T401" t="s">
        <v>124</v>
      </c>
      <c r="U401" t="s">
        <v>298</v>
      </c>
    </row>
    <row r="402" spans="1:21" x14ac:dyDescent="0.25">
      <c r="A402" t="s">
        <v>1593</v>
      </c>
      <c r="B402" s="1">
        <v>43087</v>
      </c>
      <c r="C402" s="1">
        <v>43092</v>
      </c>
      <c r="D402" t="s">
        <v>40</v>
      </c>
      <c r="E402" t="s">
        <v>1594</v>
      </c>
      <c r="F402" t="s">
        <v>1595</v>
      </c>
      <c r="G402" t="s">
        <v>25</v>
      </c>
      <c r="H402" t="s">
        <v>26</v>
      </c>
      <c r="I402" t="s">
        <v>762</v>
      </c>
      <c r="J402" t="s">
        <v>121</v>
      </c>
      <c r="K402" t="s">
        <v>68</v>
      </c>
      <c r="L402" t="s">
        <v>1596</v>
      </c>
      <c r="M402" t="s">
        <v>31</v>
      </c>
      <c r="N402" t="s">
        <v>57</v>
      </c>
      <c r="O402" t="s">
        <v>1597</v>
      </c>
      <c r="P402">
        <v>18.96</v>
      </c>
      <c r="Q402">
        <v>2</v>
      </c>
      <c r="R402">
        <v>0</v>
      </c>
      <c r="S402">
        <v>8.532</v>
      </c>
      <c r="T402" t="s">
        <v>59</v>
      </c>
      <c r="U402" t="s">
        <v>97</v>
      </c>
    </row>
    <row r="403" spans="1:21" x14ac:dyDescent="0.25">
      <c r="A403" t="s">
        <v>1598</v>
      </c>
      <c r="B403" s="1">
        <v>42964</v>
      </c>
      <c r="C403" s="1">
        <v>42966</v>
      </c>
      <c r="D403" t="s">
        <v>88</v>
      </c>
      <c r="E403" t="s">
        <v>1599</v>
      </c>
      <c r="F403" t="s">
        <v>1600</v>
      </c>
      <c r="G403" t="s">
        <v>91</v>
      </c>
      <c r="H403" t="s">
        <v>26</v>
      </c>
      <c r="I403" t="s">
        <v>1366</v>
      </c>
      <c r="J403" t="s">
        <v>121</v>
      </c>
      <c r="K403" t="s">
        <v>68</v>
      </c>
      <c r="L403" t="s">
        <v>1601</v>
      </c>
      <c r="M403" t="s">
        <v>31</v>
      </c>
      <c r="N403" t="s">
        <v>37</v>
      </c>
      <c r="O403" t="s">
        <v>1602</v>
      </c>
      <c r="P403">
        <v>462.56400000000002</v>
      </c>
      <c r="Q403">
        <v>2</v>
      </c>
      <c r="R403">
        <v>0.1</v>
      </c>
      <c r="S403">
        <v>97.6524</v>
      </c>
      <c r="T403" t="s">
        <v>71</v>
      </c>
      <c r="U403" t="s">
        <v>254</v>
      </c>
    </row>
    <row r="404" spans="1:21" x14ac:dyDescent="0.25">
      <c r="A404" t="s">
        <v>1603</v>
      </c>
      <c r="B404" s="1">
        <v>42953</v>
      </c>
      <c r="C404" s="1">
        <v>42957</v>
      </c>
      <c r="D404" t="s">
        <v>22</v>
      </c>
      <c r="E404" t="s">
        <v>740</v>
      </c>
      <c r="F404" t="s">
        <v>741</v>
      </c>
      <c r="G404" t="s">
        <v>25</v>
      </c>
      <c r="H404" t="s">
        <v>26</v>
      </c>
      <c r="I404" t="s">
        <v>1406</v>
      </c>
      <c r="J404" t="s">
        <v>1407</v>
      </c>
      <c r="K404" t="s">
        <v>29</v>
      </c>
      <c r="L404" t="s">
        <v>1604</v>
      </c>
      <c r="M404" t="s">
        <v>31</v>
      </c>
      <c r="N404" t="s">
        <v>32</v>
      </c>
      <c r="O404" t="s">
        <v>1605</v>
      </c>
      <c r="P404">
        <v>145.74</v>
      </c>
      <c r="Q404">
        <v>3</v>
      </c>
      <c r="R404">
        <v>0</v>
      </c>
      <c r="S404">
        <v>23.3184</v>
      </c>
      <c r="T404" t="s">
        <v>84</v>
      </c>
      <c r="U404" t="s">
        <v>254</v>
      </c>
    </row>
    <row r="405" spans="1:21" x14ac:dyDescent="0.25">
      <c r="A405" t="s">
        <v>1603</v>
      </c>
      <c r="B405" s="1">
        <v>42953</v>
      </c>
      <c r="C405" s="1">
        <v>42957</v>
      </c>
      <c r="D405" t="s">
        <v>22</v>
      </c>
      <c r="E405" t="s">
        <v>740</v>
      </c>
      <c r="F405" t="s">
        <v>741</v>
      </c>
      <c r="G405" t="s">
        <v>25</v>
      </c>
      <c r="H405" t="s">
        <v>26</v>
      </c>
      <c r="I405" t="s">
        <v>1406</v>
      </c>
      <c r="J405" t="s">
        <v>1407</v>
      </c>
      <c r="K405" t="s">
        <v>29</v>
      </c>
      <c r="L405" t="s">
        <v>112</v>
      </c>
      <c r="M405" t="s">
        <v>31</v>
      </c>
      <c r="N405" t="s">
        <v>57</v>
      </c>
      <c r="O405" t="s">
        <v>113</v>
      </c>
      <c r="P405">
        <v>15.4</v>
      </c>
      <c r="Q405">
        <v>5</v>
      </c>
      <c r="R405">
        <v>0</v>
      </c>
      <c r="S405">
        <v>7.3920000000000003</v>
      </c>
      <c r="T405" t="s">
        <v>84</v>
      </c>
      <c r="U405" t="s">
        <v>254</v>
      </c>
    </row>
    <row r="406" spans="1:21" x14ac:dyDescent="0.25">
      <c r="A406" t="s">
        <v>1606</v>
      </c>
      <c r="B406" s="1">
        <v>42149</v>
      </c>
      <c r="C406" s="1">
        <v>42151</v>
      </c>
      <c r="D406" t="s">
        <v>22</v>
      </c>
      <c r="E406" t="s">
        <v>1607</v>
      </c>
      <c r="F406" t="s">
        <v>1608</v>
      </c>
      <c r="G406" t="s">
        <v>101</v>
      </c>
      <c r="H406" t="s">
        <v>26</v>
      </c>
      <c r="I406" t="s">
        <v>329</v>
      </c>
      <c r="J406" t="s">
        <v>54</v>
      </c>
      <c r="K406" t="s">
        <v>55</v>
      </c>
      <c r="L406" t="s">
        <v>1100</v>
      </c>
      <c r="M406" t="s">
        <v>31</v>
      </c>
      <c r="N406" t="s">
        <v>57</v>
      </c>
      <c r="O406" t="s">
        <v>1101</v>
      </c>
      <c r="P406">
        <v>14.73</v>
      </c>
      <c r="Q406">
        <v>3</v>
      </c>
      <c r="R406">
        <v>0</v>
      </c>
      <c r="S406">
        <v>4.8609</v>
      </c>
      <c r="T406" t="s">
        <v>71</v>
      </c>
      <c r="U406" t="s">
        <v>162</v>
      </c>
    </row>
    <row r="407" spans="1:21" x14ac:dyDescent="0.25">
      <c r="A407" t="s">
        <v>1609</v>
      </c>
      <c r="B407" s="1">
        <v>42559</v>
      </c>
      <c r="C407" s="1">
        <v>42563</v>
      </c>
      <c r="D407" t="s">
        <v>40</v>
      </c>
      <c r="E407" t="s">
        <v>1610</v>
      </c>
      <c r="F407" t="s">
        <v>1611</v>
      </c>
      <c r="G407" t="s">
        <v>25</v>
      </c>
      <c r="H407" t="s">
        <v>26</v>
      </c>
      <c r="I407" t="s">
        <v>1612</v>
      </c>
      <c r="J407" t="s">
        <v>181</v>
      </c>
      <c r="K407" t="s">
        <v>55</v>
      </c>
      <c r="L407" t="s">
        <v>247</v>
      </c>
      <c r="M407" t="s">
        <v>31</v>
      </c>
      <c r="N407" t="s">
        <v>37</v>
      </c>
      <c r="O407" t="s">
        <v>248</v>
      </c>
      <c r="P407">
        <v>662.88</v>
      </c>
      <c r="Q407">
        <v>3</v>
      </c>
      <c r="R407">
        <v>0.2</v>
      </c>
      <c r="S407">
        <v>74.573999999999998</v>
      </c>
      <c r="T407" t="s">
        <v>84</v>
      </c>
      <c r="U407" t="s">
        <v>72</v>
      </c>
    </row>
    <row r="408" spans="1:21" x14ac:dyDescent="0.25">
      <c r="A408" t="s">
        <v>1613</v>
      </c>
      <c r="B408" s="1">
        <v>42980</v>
      </c>
      <c r="C408" s="1">
        <v>42984</v>
      </c>
      <c r="D408" t="s">
        <v>40</v>
      </c>
      <c r="E408" t="s">
        <v>1614</v>
      </c>
      <c r="F408" t="s">
        <v>1615</v>
      </c>
      <c r="G408" t="s">
        <v>91</v>
      </c>
      <c r="H408" t="s">
        <v>26</v>
      </c>
      <c r="I408" t="s">
        <v>174</v>
      </c>
      <c r="J408" t="s">
        <v>121</v>
      </c>
      <c r="K408" t="s">
        <v>68</v>
      </c>
      <c r="L408" t="s">
        <v>1497</v>
      </c>
      <c r="M408" t="s">
        <v>31</v>
      </c>
      <c r="N408" t="s">
        <v>57</v>
      </c>
      <c r="O408" t="s">
        <v>1498</v>
      </c>
      <c r="P408">
        <v>11.54</v>
      </c>
      <c r="Q408">
        <v>2</v>
      </c>
      <c r="R408">
        <v>0</v>
      </c>
      <c r="S408">
        <v>3.4620000000000002</v>
      </c>
      <c r="T408" t="s">
        <v>84</v>
      </c>
      <c r="U408" t="s">
        <v>78</v>
      </c>
    </row>
    <row r="409" spans="1:21" x14ac:dyDescent="0.25">
      <c r="A409" t="s">
        <v>1613</v>
      </c>
      <c r="B409" s="1">
        <v>42980</v>
      </c>
      <c r="C409" s="1">
        <v>42984</v>
      </c>
      <c r="D409" t="s">
        <v>40</v>
      </c>
      <c r="E409" t="s">
        <v>1614</v>
      </c>
      <c r="F409" t="s">
        <v>1615</v>
      </c>
      <c r="G409" t="s">
        <v>91</v>
      </c>
      <c r="H409" t="s">
        <v>26</v>
      </c>
      <c r="I409" t="s">
        <v>174</v>
      </c>
      <c r="J409" t="s">
        <v>121</v>
      </c>
      <c r="K409" t="s">
        <v>68</v>
      </c>
      <c r="L409" t="s">
        <v>522</v>
      </c>
      <c r="M409" t="s">
        <v>31</v>
      </c>
      <c r="N409" t="s">
        <v>46</v>
      </c>
      <c r="O409" t="s">
        <v>523</v>
      </c>
      <c r="P409">
        <v>254.52600000000001</v>
      </c>
      <c r="Q409">
        <v>1</v>
      </c>
      <c r="R409">
        <v>0.4</v>
      </c>
      <c r="S409">
        <v>-93.3262</v>
      </c>
      <c r="T409" t="s">
        <v>84</v>
      </c>
      <c r="U409" t="s">
        <v>78</v>
      </c>
    </row>
    <row r="410" spans="1:21" x14ac:dyDescent="0.25">
      <c r="A410" t="s">
        <v>1613</v>
      </c>
      <c r="B410" s="1">
        <v>42980</v>
      </c>
      <c r="C410" s="1">
        <v>42984</v>
      </c>
      <c r="D410" t="s">
        <v>40</v>
      </c>
      <c r="E410" t="s">
        <v>1614</v>
      </c>
      <c r="F410" t="s">
        <v>1615</v>
      </c>
      <c r="G410" t="s">
        <v>91</v>
      </c>
      <c r="H410" t="s">
        <v>26</v>
      </c>
      <c r="I410" t="s">
        <v>174</v>
      </c>
      <c r="J410" t="s">
        <v>121</v>
      </c>
      <c r="K410" t="s">
        <v>68</v>
      </c>
      <c r="L410" t="s">
        <v>576</v>
      </c>
      <c r="M410" t="s">
        <v>31</v>
      </c>
      <c r="N410" t="s">
        <v>37</v>
      </c>
      <c r="O410" t="s">
        <v>577</v>
      </c>
      <c r="P410">
        <v>1282.4100000000001</v>
      </c>
      <c r="Q410">
        <v>5</v>
      </c>
      <c r="R410">
        <v>0.1</v>
      </c>
      <c r="S410">
        <v>213.73500000000001</v>
      </c>
      <c r="T410" t="s">
        <v>84</v>
      </c>
      <c r="U410" t="s">
        <v>78</v>
      </c>
    </row>
    <row r="411" spans="1:21" x14ac:dyDescent="0.25">
      <c r="A411" t="s">
        <v>1616</v>
      </c>
      <c r="B411" s="1">
        <v>41930</v>
      </c>
      <c r="C411" s="1">
        <v>41932</v>
      </c>
      <c r="D411" t="s">
        <v>22</v>
      </c>
      <c r="E411" t="s">
        <v>372</v>
      </c>
      <c r="F411" t="s">
        <v>373</v>
      </c>
      <c r="G411" t="s">
        <v>91</v>
      </c>
      <c r="H411" t="s">
        <v>26</v>
      </c>
      <c r="I411" t="s">
        <v>1617</v>
      </c>
      <c r="J411" t="s">
        <v>1277</v>
      </c>
      <c r="K411" t="s">
        <v>29</v>
      </c>
      <c r="L411" t="s">
        <v>1618</v>
      </c>
      <c r="M411" t="s">
        <v>31</v>
      </c>
      <c r="N411" t="s">
        <v>37</v>
      </c>
      <c r="O411" t="s">
        <v>1619</v>
      </c>
      <c r="P411">
        <v>545.88</v>
      </c>
      <c r="Q411">
        <v>6</v>
      </c>
      <c r="R411">
        <v>0</v>
      </c>
      <c r="S411">
        <v>70.964399999999998</v>
      </c>
      <c r="T411" t="s">
        <v>71</v>
      </c>
      <c r="U411" t="s">
        <v>49</v>
      </c>
    </row>
    <row r="412" spans="1:21" x14ac:dyDescent="0.25">
      <c r="A412" t="s">
        <v>1620</v>
      </c>
      <c r="B412" s="1">
        <v>42474</v>
      </c>
      <c r="C412" s="1">
        <v>42474</v>
      </c>
      <c r="D412" t="s">
        <v>426</v>
      </c>
      <c r="E412" t="s">
        <v>1216</v>
      </c>
      <c r="F412" t="s">
        <v>1217</v>
      </c>
      <c r="G412" t="s">
        <v>25</v>
      </c>
      <c r="H412" t="s">
        <v>26</v>
      </c>
      <c r="I412" t="s">
        <v>1303</v>
      </c>
      <c r="J412" t="s">
        <v>521</v>
      </c>
      <c r="K412" t="s">
        <v>55</v>
      </c>
      <c r="L412" t="s">
        <v>382</v>
      </c>
      <c r="M412" t="s">
        <v>31</v>
      </c>
      <c r="N412" t="s">
        <v>37</v>
      </c>
      <c r="O412" t="s">
        <v>383</v>
      </c>
      <c r="P412">
        <v>933.53599999999994</v>
      </c>
      <c r="Q412">
        <v>4</v>
      </c>
      <c r="R412">
        <v>0.2</v>
      </c>
      <c r="S412">
        <v>105.0228</v>
      </c>
      <c r="T412" t="s">
        <v>431</v>
      </c>
      <c r="U412" t="s">
        <v>114</v>
      </c>
    </row>
    <row r="413" spans="1:21" x14ac:dyDescent="0.25">
      <c r="A413" t="s">
        <v>1621</v>
      </c>
      <c r="B413" s="1">
        <v>41968</v>
      </c>
      <c r="C413" s="1">
        <v>41970</v>
      </c>
      <c r="D413" t="s">
        <v>22</v>
      </c>
      <c r="E413" t="s">
        <v>1622</v>
      </c>
      <c r="F413" t="s">
        <v>1623</v>
      </c>
      <c r="G413" t="s">
        <v>91</v>
      </c>
      <c r="H413" t="s">
        <v>26</v>
      </c>
      <c r="I413" t="s">
        <v>1624</v>
      </c>
      <c r="J413" t="s">
        <v>54</v>
      </c>
      <c r="K413" t="s">
        <v>55</v>
      </c>
      <c r="L413" t="s">
        <v>928</v>
      </c>
      <c r="M413" t="s">
        <v>31</v>
      </c>
      <c r="N413" t="s">
        <v>57</v>
      </c>
      <c r="O413" t="s">
        <v>317</v>
      </c>
      <c r="P413">
        <v>23.88</v>
      </c>
      <c r="Q413">
        <v>3</v>
      </c>
      <c r="R413">
        <v>0</v>
      </c>
      <c r="S413">
        <v>10.507199999999999</v>
      </c>
      <c r="T413" t="s">
        <v>71</v>
      </c>
      <c r="U413" t="s">
        <v>35</v>
      </c>
    </row>
    <row r="414" spans="1:21" x14ac:dyDescent="0.25">
      <c r="A414" t="s">
        <v>1625</v>
      </c>
      <c r="B414" s="1">
        <v>42317</v>
      </c>
      <c r="C414" s="1">
        <v>42321</v>
      </c>
      <c r="D414" t="s">
        <v>40</v>
      </c>
      <c r="E414" t="s">
        <v>1626</v>
      </c>
      <c r="F414" t="s">
        <v>1627</v>
      </c>
      <c r="G414" t="s">
        <v>25</v>
      </c>
      <c r="H414" t="s">
        <v>26</v>
      </c>
      <c r="I414" t="s">
        <v>879</v>
      </c>
      <c r="J414" t="s">
        <v>566</v>
      </c>
      <c r="K414" t="s">
        <v>94</v>
      </c>
      <c r="L414" t="s">
        <v>1628</v>
      </c>
      <c r="M414" t="s">
        <v>31</v>
      </c>
      <c r="N414" t="s">
        <v>46</v>
      </c>
      <c r="O414" t="s">
        <v>1629</v>
      </c>
      <c r="P414">
        <v>1024.3800000000001</v>
      </c>
      <c r="Q414">
        <v>7</v>
      </c>
      <c r="R414">
        <v>0</v>
      </c>
      <c r="S414">
        <v>215.1198</v>
      </c>
      <c r="T414" t="s">
        <v>84</v>
      </c>
      <c r="U414" t="s">
        <v>35</v>
      </c>
    </row>
    <row r="415" spans="1:21" x14ac:dyDescent="0.25">
      <c r="A415" t="s">
        <v>1630</v>
      </c>
      <c r="B415" s="1">
        <v>43071</v>
      </c>
      <c r="C415" s="1">
        <v>43073</v>
      </c>
      <c r="D415" t="s">
        <v>22</v>
      </c>
      <c r="E415" t="s">
        <v>1631</v>
      </c>
      <c r="F415" t="s">
        <v>1632</v>
      </c>
      <c r="G415" t="s">
        <v>25</v>
      </c>
      <c r="H415" t="s">
        <v>26</v>
      </c>
      <c r="I415" t="s">
        <v>102</v>
      </c>
      <c r="J415" t="s">
        <v>93</v>
      </c>
      <c r="K415" t="s">
        <v>94</v>
      </c>
      <c r="L415" t="s">
        <v>621</v>
      </c>
      <c r="M415" t="s">
        <v>31</v>
      </c>
      <c r="N415" t="s">
        <v>57</v>
      </c>
      <c r="O415" t="s">
        <v>622</v>
      </c>
      <c r="P415">
        <v>8.7520000000000007</v>
      </c>
      <c r="Q415">
        <v>4</v>
      </c>
      <c r="R415">
        <v>0.6</v>
      </c>
      <c r="S415">
        <v>-3.7195999999999998</v>
      </c>
      <c r="T415" t="s">
        <v>71</v>
      </c>
      <c r="U415" t="s">
        <v>97</v>
      </c>
    </row>
    <row r="416" spans="1:21" x14ac:dyDescent="0.25">
      <c r="A416" t="s">
        <v>1633</v>
      </c>
      <c r="B416" s="1">
        <v>43094</v>
      </c>
      <c r="C416" s="1">
        <v>43097</v>
      </c>
      <c r="D416" t="s">
        <v>22</v>
      </c>
      <c r="E416" t="s">
        <v>1469</v>
      </c>
      <c r="F416" t="s">
        <v>1470</v>
      </c>
      <c r="G416" t="s">
        <v>25</v>
      </c>
      <c r="H416" t="s">
        <v>26</v>
      </c>
      <c r="I416" t="s">
        <v>866</v>
      </c>
      <c r="J416" t="s">
        <v>28</v>
      </c>
      <c r="K416" t="s">
        <v>29</v>
      </c>
      <c r="L416" t="s">
        <v>136</v>
      </c>
      <c r="M416" t="s">
        <v>31</v>
      </c>
      <c r="N416" t="s">
        <v>37</v>
      </c>
      <c r="O416" t="s">
        <v>137</v>
      </c>
      <c r="P416">
        <v>304.45</v>
      </c>
      <c r="Q416">
        <v>5</v>
      </c>
      <c r="R416">
        <v>0</v>
      </c>
      <c r="S416">
        <v>76.112499999999997</v>
      </c>
      <c r="T416" t="s">
        <v>34</v>
      </c>
      <c r="U416" t="s">
        <v>97</v>
      </c>
    </row>
    <row r="417" spans="1:21" x14ac:dyDescent="0.25">
      <c r="A417" t="s">
        <v>1634</v>
      </c>
      <c r="B417" s="1">
        <v>42950</v>
      </c>
      <c r="C417" s="1">
        <v>42951</v>
      </c>
      <c r="D417" t="s">
        <v>88</v>
      </c>
      <c r="E417" t="s">
        <v>1635</v>
      </c>
      <c r="F417" t="s">
        <v>1636</v>
      </c>
      <c r="G417" t="s">
        <v>25</v>
      </c>
      <c r="H417" t="s">
        <v>26</v>
      </c>
      <c r="I417" t="s">
        <v>134</v>
      </c>
      <c r="J417" t="s">
        <v>135</v>
      </c>
      <c r="K417" t="s">
        <v>94</v>
      </c>
      <c r="L417" t="s">
        <v>1637</v>
      </c>
      <c r="M417" t="s">
        <v>31</v>
      </c>
      <c r="N417" t="s">
        <v>32</v>
      </c>
      <c r="O417" t="s">
        <v>1638</v>
      </c>
      <c r="P417">
        <v>183.37200000000001</v>
      </c>
      <c r="Q417">
        <v>2</v>
      </c>
      <c r="R417">
        <v>0.3</v>
      </c>
      <c r="S417">
        <v>-36.674399999999999</v>
      </c>
      <c r="T417" t="s">
        <v>124</v>
      </c>
      <c r="U417" t="s">
        <v>254</v>
      </c>
    </row>
    <row r="418" spans="1:21" x14ac:dyDescent="0.25">
      <c r="A418" t="s">
        <v>1639</v>
      </c>
      <c r="B418" s="1">
        <v>42631</v>
      </c>
      <c r="C418" s="1">
        <v>42636</v>
      </c>
      <c r="D418" t="s">
        <v>40</v>
      </c>
      <c r="E418" t="s">
        <v>1640</v>
      </c>
      <c r="F418" t="s">
        <v>1641</v>
      </c>
      <c r="G418" t="s">
        <v>25</v>
      </c>
      <c r="H418" t="s">
        <v>26</v>
      </c>
      <c r="I418" t="s">
        <v>953</v>
      </c>
      <c r="J418" t="s">
        <v>1277</v>
      </c>
      <c r="K418" t="s">
        <v>29</v>
      </c>
      <c r="L418" t="s">
        <v>1487</v>
      </c>
      <c r="M418" t="s">
        <v>31</v>
      </c>
      <c r="N418" t="s">
        <v>37</v>
      </c>
      <c r="O418" t="s">
        <v>1488</v>
      </c>
      <c r="P418">
        <v>350.98</v>
      </c>
      <c r="Q418">
        <v>1</v>
      </c>
      <c r="R418">
        <v>0</v>
      </c>
      <c r="S418">
        <v>84.235200000000006</v>
      </c>
      <c r="T418" t="s">
        <v>59</v>
      </c>
      <c r="U418" t="s">
        <v>78</v>
      </c>
    </row>
    <row r="419" spans="1:21" x14ac:dyDescent="0.25">
      <c r="A419" t="s">
        <v>1642</v>
      </c>
      <c r="B419" s="1">
        <v>42632</v>
      </c>
      <c r="C419" s="1">
        <v>42634</v>
      </c>
      <c r="D419" t="s">
        <v>88</v>
      </c>
      <c r="E419" t="s">
        <v>1643</v>
      </c>
      <c r="F419" t="s">
        <v>1644</v>
      </c>
      <c r="G419" t="s">
        <v>101</v>
      </c>
      <c r="H419" t="s">
        <v>26</v>
      </c>
      <c r="I419" t="s">
        <v>1645</v>
      </c>
      <c r="J419" t="s">
        <v>1646</v>
      </c>
      <c r="K419" t="s">
        <v>68</v>
      </c>
      <c r="L419" t="s">
        <v>817</v>
      </c>
      <c r="M419" t="s">
        <v>31</v>
      </c>
      <c r="N419" t="s">
        <v>37</v>
      </c>
      <c r="O419" t="s">
        <v>818</v>
      </c>
      <c r="P419">
        <v>872.32</v>
      </c>
      <c r="Q419">
        <v>4</v>
      </c>
      <c r="R419">
        <v>0</v>
      </c>
      <c r="S419">
        <v>244.24959999999999</v>
      </c>
      <c r="T419" t="s">
        <v>71</v>
      </c>
      <c r="U419" t="s">
        <v>78</v>
      </c>
    </row>
    <row r="420" spans="1:21" x14ac:dyDescent="0.25">
      <c r="A420" t="s">
        <v>1647</v>
      </c>
      <c r="B420" s="1">
        <v>42076</v>
      </c>
      <c r="C420" s="1">
        <v>42078</v>
      </c>
      <c r="D420" t="s">
        <v>88</v>
      </c>
      <c r="E420" t="s">
        <v>1404</v>
      </c>
      <c r="F420" t="s">
        <v>1405</v>
      </c>
      <c r="G420" t="s">
        <v>25</v>
      </c>
      <c r="H420" t="s">
        <v>26</v>
      </c>
      <c r="I420" t="s">
        <v>192</v>
      </c>
      <c r="J420" t="s">
        <v>193</v>
      </c>
      <c r="K420" t="s">
        <v>55</v>
      </c>
      <c r="L420" t="s">
        <v>811</v>
      </c>
      <c r="M420" t="s">
        <v>31</v>
      </c>
      <c r="N420" t="s">
        <v>32</v>
      </c>
      <c r="O420" t="s">
        <v>812</v>
      </c>
      <c r="P420">
        <v>141.96</v>
      </c>
      <c r="Q420">
        <v>2</v>
      </c>
      <c r="R420">
        <v>0</v>
      </c>
      <c r="S420">
        <v>39.748800000000003</v>
      </c>
      <c r="T420" t="s">
        <v>71</v>
      </c>
      <c r="U420" t="s">
        <v>196</v>
      </c>
    </row>
    <row r="421" spans="1:21" x14ac:dyDescent="0.25">
      <c r="A421" t="s">
        <v>1648</v>
      </c>
      <c r="B421" s="1">
        <v>43003</v>
      </c>
      <c r="C421" s="1">
        <v>43007</v>
      </c>
      <c r="D421" t="s">
        <v>40</v>
      </c>
      <c r="E421" t="s">
        <v>1649</v>
      </c>
      <c r="F421" t="s">
        <v>1650</v>
      </c>
      <c r="G421" t="s">
        <v>25</v>
      </c>
      <c r="H421" t="s">
        <v>26</v>
      </c>
      <c r="I421" t="s">
        <v>895</v>
      </c>
      <c r="J421" t="s">
        <v>167</v>
      </c>
      <c r="K421" t="s">
        <v>94</v>
      </c>
      <c r="L421" t="s">
        <v>115</v>
      </c>
      <c r="M421" t="s">
        <v>31</v>
      </c>
      <c r="N421" t="s">
        <v>37</v>
      </c>
      <c r="O421" t="s">
        <v>116</v>
      </c>
      <c r="P421">
        <v>269.97000000000003</v>
      </c>
      <c r="Q421">
        <v>3</v>
      </c>
      <c r="R421">
        <v>0</v>
      </c>
      <c r="S421">
        <v>51.2943</v>
      </c>
      <c r="T421" t="s">
        <v>84</v>
      </c>
      <c r="U421" t="s">
        <v>78</v>
      </c>
    </row>
    <row r="422" spans="1:21" x14ac:dyDescent="0.25">
      <c r="A422" t="s">
        <v>1651</v>
      </c>
      <c r="B422" s="1">
        <v>42173</v>
      </c>
      <c r="C422" s="1">
        <v>42178</v>
      </c>
      <c r="D422" t="s">
        <v>40</v>
      </c>
      <c r="E422" t="s">
        <v>1652</v>
      </c>
      <c r="F422" t="s">
        <v>1653</v>
      </c>
      <c r="G422" t="s">
        <v>101</v>
      </c>
      <c r="H422" t="s">
        <v>26</v>
      </c>
      <c r="I422" t="s">
        <v>1380</v>
      </c>
      <c r="J422" t="s">
        <v>521</v>
      </c>
      <c r="K422" t="s">
        <v>55</v>
      </c>
      <c r="L422" t="s">
        <v>1543</v>
      </c>
      <c r="M422" t="s">
        <v>31</v>
      </c>
      <c r="N422" t="s">
        <v>57</v>
      </c>
      <c r="O422" t="s">
        <v>1544</v>
      </c>
      <c r="P422">
        <v>75.36</v>
      </c>
      <c r="Q422">
        <v>5</v>
      </c>
      <c r="R422">
        <v>0.2</v>
      </c>
      <c r="S422">
        <v>20.724</v>
      </c>
      <c r="T422" t="s">
        <v>59</v>
      </c>
      <c r="U422" t="s">
        <v>60</v>
      </c>
    </row>
    <row r="423" spans="1:21" x14ac:dyDescent="0.25">
      <c r="A423" t="s">
        <v>1654</v>
      </c>
      <c r="B423" s="1">
        <v>42196</v>
      </c>
      <c r="C423" s="1">
        <v>42198</v>
      </c>
      <c r="D423" t="s">
        <v>88</v>
      </c>
      <c r="E423" t="s">
        <v>1655</v>
      </c>
      <c r="F423" t="s">
        <v>1656</v>
      </c>
      <c r="G423" t="s">
        <v>25</v>
      </c>
      <c r="H423" t="s">
        <v>26</v>
      </c>
      <c r="I423" t="s">
        <v>66</v>
      </c>
      <c r="J423" t="s">
        <v>67</v>
      </c>
      <c r="K423" t="s">
        <v>68</v>
      </c>
      <c r="L423" t="s">
        <v>85</v>
      </c>
      <c r="M423" t="s">
        <v>31</v>
      </c>
      <c r="N423" t="s">
        <v>57</v>
      </c>
      <c r="O423" t="s">
        <v>86</v>
      </c>
      <c r="P423">
        <v>289.8</v>
      </c>
      <c r="Q423">
        <v>7</v>
      </c>
      <c r="R423">
        <v>0.2</v>
      </c>
      <c r="S423">
        <v>36.225000000000001</v>
      </c>
      <c r="T423" t="s">
        <v>71</v>
      </c>
      <c r="U423" t="s">
        <v>72</v>
      </c>
    </row>
    <row r="424" spans="1:21" x14ac:dyDescent="0.25">
      <c r="A424" t="s">
        <v>1654</v>
      </c>
      <c r="B424" s="1">
        <v>42196</v>
      </c>
      <c r="C424" s="1">
        <v>42198</v>
      </c>
      <c r="D424" t="s">
        <v>88</v>
      </c>
      <c r="E424" t="s">
        <v>1655</v>
      </c>
      <c r="F424" t="s">
        <v>1656</v>
      </c>
      <c r="G424" t="s">
        <v>25</v>
      </c>
      <c r="H424" t="s">
        <v>26</v>
      </c>
      <c r="I424" t="s">
        <v>66</v>
      </c>
      <c r="J424" t="s">
        <v>67</v>
      </c>
      <c r="K424" t="s">
        <v>68</v>
      </c>
      <c r="L424" t="s">
        <v>1657</v>
      </c>
      <c r="M424" t="s">
        <v>31</v>
      </c>
      <c r="N424" t="s">
        <v>37</v>
      </c>
      <c r="O424" t="s">
        <v>1658</v>
      </c>
      <c r="P424">
        <v>341.488</v>
      </c>
      <c r="Q424">
        <v>8</v>
      </c>
      <c r="R424">
        <v>0.3</v>
      </c>
      <c r="S424">
        <v>-73.176000000000002</v>
      </c>
      <c r="T424" t="s">
        <v>71</v>
      </c>
      <c r="U424" t="s">
        <v>72</v>
      </c>
    </row>
    <row r="425" spans="1:21" x14ac:dyDescent="0.25">
      <c r="A425" t="s">
        <v>1654</v>
      </c>
      <c r="B425" s="1">
        <v>42196</v>
      </c>
      <c r="C425" s="1">
        <v>42198</v>
      </c>
      <c r="D425" t="s">
        <v>88</v>
      </c>
      <c r="E425" t="s">
        <v>1655</v>
      </c>
      <c r="F425" t="s">
        <v>1656</v>
      </c>
      <c r="G425" t="s">
        <v>25</v>
      </c>
      <c r="H425" t="s">
        <v>26</v>
      </c>
      <c r="I425" t="s">
        <v>66</v>
      </c>
      <c r="J425" t="s">
        <v>67</v>
      </c>
      <c r="K425" t="s">
        <v>68</v>
      </c>
      <c r="L425" t="s">
        <v>1659</v>
      </c>
      <c r="M425" t="s">
        <v>31</v>
      </c>
      <c r="N425" t="s">
        <v>57</v>
      </c>
      <c r="O425" t="s">
        <v>1660</v>
      </c>
      <c r="P425">
        <v>25.344000000000001</v>
      </c>
      <c r="Q425">
        <v>6</v>
      </c>
      <c r="R425">
        <v>0.2</v>
      </c>
      <c r="S425">
        <v>3.4847999999999999</v>
      </c>
      <c r="T425" t="s">
        <v>71</v>
      </c>
      <c r="U425" t="s">
        <v>72</v>
      </c>
    </row>
    <row r="426" spans="1:21" x14ac:dyDescent="0.25">
      <c r="A426" t="s">
        <v>1661</v>
      </c>
      <c r="B426" s="1">
        <v>42705</v>
      </c>
      <c r="C426" s="1">
        <v>42711</v>
      </c>
      <c r="D426" t="s">
        <v>40</v>
      </c>
      <c r="E426" t="s">
        <v>1662</v>
      </c>
      <c r="F426" t="s">
        <v>1663</v>
      </c>
      <c r="G426" t="s">
        <v>25</v>
      </c>
      <c r="H426" t="s">
        <v>26</v>
      </c>
      <c r="I426" t="s">
        <v>636</v>
      </c>
      <c r="J426" t="s">
        <v>111</v>
      </c>
      <c r="K426" t="s">
        <v>94</v>
      </c>
      <c r="L426" t="s">
        <v>1497</v>
      </c>
      <c r="M426" t="s">
        <v>31</v>
      </c>
      <c r="N426" t="s">
        <v>57</v>
      </c>
      <c r="O426" t="s">
        <v>1498</v>
      </c>
      <c r="P426">
        <v>17.309999999999999</v>
      </c>
      <c r="Q426">
        <v>3</v>
      </c>
      <c r="R426">
        <v>0</v>
      </c>
      <c r="S426">
        <v>5.1929999999999996</v>
      </c>
      <c r="T426" t="s">
        <v>130</v>
      </c>
      <c r="U426" t="s">
        <v>97</v>
      </c>
    </row>
    <row r="427" spans="1:21" x14ac:dyDescent="0.25">
      <c r="A427" t="s">
        <v>1664</v>
      </c>
      <c r="B427" s="1">
        <v>43091</v>
      </c>
      <c r="C427" s="1">
        <v>43094</v>
      </c>
      <c r="D427" t="s">
        <v>88</v>
      </c>
      <c r="E427" t="s">
        <v>1665</v>
      </c>
      <c r="F427" t="s">
        <v>1666</v>
      </c>
      <c r="G427" t="s">
        <v>25</v>
      </c>
      <c r="H427" t="s">
        <v>26</v>
      </c>
      <c r="I427" t="s">
        <v>289</v>
      </c>
      <c r="J427" t="s">
        <v>290</v>
      </c>
      <c r="K427" t="s">
        <v>94</v>
      </c>
      <c r="L427" t="s">
        <v>806</v>
      </c>
      <c r="M427" t="s">
        <v>31</v>
      </c>
      <c r="N427" t="s">
        <v>37</v>
      </c>
      <c r="O427" t="s">
        <v>807</v>
      </c>
      <c r="P427">
        <v>1586.69</v>
      </c>
      <c r="Q427">
        <v>7</v>
      </c>
      <c r="R427">
        <v>0</v>
      </c>
      <c r="S427">
        <v>412.5394</v>
      </c>
      <c r="T427" t="s">
        <v>34</v>
      </c>
      <c r="U427" t="s">
        <v>97</v>
      </c>
    </row>
    <row r="428" spans="1:21" x14ac:dyDescent="0.25">
      <c r="A428" t="s">
        <v>1664</v>
      </c>
      <c r="B428" s="1">
        <v>43091</v>
      </c>
      <c r="C428" s="1">
        <v>43094</v>
      </c>
      <c r="D428" t="s">
        <v>88</v>
      </c>
      <c r="E428" t="s">
        <v>1665</v>
      </c>
      <c r="F428" t="s">
        <v>1666</v>
      </c>
      <c r="G428" t="s">
        <v>25</v>
      </c>
      <c r="H428" t="s">
        <v>26</v>
      </c>
      <c r="I428" t="s">
        <v>289</v>
      </c>
      <c r="J428" t="s">
        <v>290</v>
      </c>
      <c r="K428" t="s">
        <v>94</v>
      </c>
      <c r="L428" t="s">
        <v>213</v>
      </c>
      <c r="M428" t="s">
        <v>31</v>
      </c>
      <c r="N428" t="s">
        <v>46</v>
      </c>
      <c r="O428" t="s">
        <v>214</v>
      </c>
      <c r="P428">
        <v>411.8</v>
      </c>
      <c r="Q428">
        <v>2</v>
      </c>
      <c r="R428">
        <v>0</v>
      </c>
      <c r="S428">
        <v>70.006</v>
      </c>
      <c r="T428" t="s">
        <v>34</v>
      </c>
      <c r="U428" t="s">
        <v>97</v>
      </c>
    </row>
    <row r="429" spans="1:21" x14ac:dyDescent="0.25">
      <c r="A429" t="s">
        <v>1667</v>
      </c>
      <c r="B429" s="1">
        <v>41943</v>
      </c>
      <c r="C429" s="1">
        <v>41947</v>
      </c>
      <c r="D429" t="s">
        <v>40</v>
      </c>
      <c r="E429" t="s">
        <v>1668</v>
      </c>
      <c r="F429" t="s">
        <v>1669</v>
      </c>
      <c r="G429" t="s">
        <v>91</v>
      </c>
      <c r="H429" t="s">
        <v>26</v>
      </c>
      <c r="I429" t="s">
        <v>53</v>
      </c>
      <c r="J429" t="s">
        <v>54</v>
      </c>
      <c r="K429" t="s">
        <v>55</v>
      </c>
      <c r="L429" t="s">
        <v>1657</v>
      </c>
      <c r="M429" t="s">
        <v>31</v>
      </c>
      <c r="N429" t="s">
        <v>37</v>
      </c>
      <c r="O429" t="s">
        <v>1658</v>
      </c>
      <c r="P429">
        <v>146.352</v>
      </c>
      <c r="Q429">
        <v>3</v>
      </c>
      <c r="R429">
        <v>0.2</v>
      </c>
      <c r="S429">
        <v>-9.1470000000000002</v>
      </c>
      <c r="T429" t="s">
        <v>84</v>
      </c>
      <c r="U429" t="s">
        <v>49</v>
      </c>
    </row>
    <row r="430" spans="1:21" x14ac:dyDescent="0.25">
      <c r="A430" t="s">
        <v>1670</v>
      </c>
      <c r="B430" s="1">
        <v>42107</v>
      </c>
      <c r="C430" s="1">
        <v>42113</v>
      </c>
      <c r="D430" t="s">
        <v>40</v>
      </c>
      <c r="E430" t="s">
        <v>844</v>
      </c>
      <c r="F430" t="s">
        <v>845</v>
      </c>
      <c r="G430" t="s">
        <v>25</v>
      </c>
      <c r="H430" t="s">
        <v>26</v>
      </c>
      <c r="I430" t="s">
        <v>1671</v>
      </c>
      <c r="J430" t="s">
        <v>54</v>
      </c>
      <c r="K430" t="s">
        <v>55</v>
      </c>
      <c r="L430" t="s">
        <v>1672</v>
      </c>
      <c r="M430" t="s">
        <v>31</v>
      </c>
      <c r="N430" t="s">
        <v>46</v>
      </c>
      <c r="O430" t="s">
        <v>1673</v>
      </c>
      <c r="P430">
        <v>710.83199999999999</v>
      </c>
      <c r="Q430">
        <v>3</v>
      </c>
      <c r="R430">
        <v>0.2</v>
      </c>
      <c r="S430">
        <v>-97.739400000000003</v>
      </c>
      <c r="T430" t="s">
        <v>130</v>
      </c>
      <c r="U430" t="s">
        <v>114</v>
      </c>
    </row>
    <row r="431" spans="1:21" x14ac:dyDescent="0.25">
      <c r="A431" t="s">
        <v>1674</v>
      </c>
      <c r="B431" s="1">
        <v>43059</v>
      </c>
      <c r="C431" s="1">
        <v>43064</v>
      </c>
      <c r="D431" t="s">
        <v>40</v>
      </c>
      <c r="E431" t="s">
        <v>1675</v>
      </c>
      <c r="F431" t="s">
        <v>1676</v>
      </c>
      <c r="G431" t="s">
        <v>25</v>
      </c>
      <c r="H431" t="s">
        <v>26</v>
      </c>
      <c r="I431" t="s">
        <v>1677</v>
      </c>
      <c r="J431" t="s">
        <v>54</v>
      </c>
      <c r="K431" t="s">
        <v>55</v>
      </c>
      <c r="L431" t="s">
        <v>459</v>
      </c>
      <c r="M431" t="s">
        <v>31</v>
      </c>
      <c r="N431" t="s">
        <v>37</v>
      </c>
      <c r="O431" t="s">
        <v>460</v>
      </c>
      <c r="P431">
        <v>283.92</v>
      </c>
      <c r="Q431">
        <v>5</v>
      </c>
      <c r="R431">
        <v>0.2</v>
      </c>
      <c r="S431">
        <v>-46.137</v>
      </c>
      <c r="T431" t="s">
        <v>59</v>
      </c>
      <c r="U431" t="s">
        <v>35</v>
      </c>
    </row>
    <row r="432" spans="1:21" x14ac:dyDescent="0.25">
      <c r="A432" t="s">
        <v>1678</v>
      </c>
      <c r="B432" s="1">
        <v>41974</v>
      </c>
      <c r="C432" s="1">
        <v>41978</v>
      </c>
      <c r="D432" t="s">
        <v>40</v>
      </c>
      <c r="E432" t="s">
        <v>1679</v>
      </c>
      <c r="F432" t="s">
        <v>1680</v>
      </c>
      <c r="G432" t="s">
        <v>25</v>
      </c>
      <c r="H432" t="s">
        <v>26</v>
      </c>
      <c r="I432" t="s">
        <v>329</v>
      </c>
      <c r="J432" t="s">
        <v>54</v>
      </c>
      <c r="K432" t="s">
        <v>55</v>
      </c>
      <c r="L432" t="s">
        <v>364</v>
      </c>
      <c r="M432" t="s">
        <v>31</v>
      </c>
      <c r="N432" t="s">
        <v>57</v>
      </c>
      <c r="O432" t="s">
        <v>365</v>
      </c>
      <c r="P432">
        <v>58.2</v>
      </c>
      <c r="Q432">
        <v>3</v>
      </c>
      <c r="R432">
        <v>0</v>
      </c>
      <c r="S432">
        <v>28.518000000000001</v>
      </c>
      <c r="T432" t="s">
        <v>84</v>
      </c>
      <c r="U432" t="s">
        <v>97</v>
      </c>
    </row>
    <row r="433" spans="1:21" x14ac:dyDescent="0.25">
      <c r="A433" t="s">
        <v>1681</v>
      </c>
      <c r="B433" s="1">
        <v>42362</v>
      </c>
      <c r="C433" s="1">
        <v>42367</v>
      </c>
      <c r="D433" t="s">
        <v>40</v>
      </c>
      <c r="E433" t="s">
        <v>1682</v>
      </c>
      <c r="F433" t="s">
        <v>1683</v>
      </c>
      <c r="G433" t="s">
        <v>25</v>
      </c>
      <c r="H433" t="s">
        <v>26</v>
      </c>
      <c r="I433" t="s">
        <v>520</v>
      </c>
      <c r="J433" t="s">
        <v>521</v>
      </c>
      <c r="K433" t="s">
        <v>55</v>
      </c>
      <c r="L433" t="s">
        <v>960</v>
      </c>
      <c r="M433" t="s">
        <v>31</v>
      </c>
      <c r="N433" t="s">
        <v>57</v>
      </c>
      <c r="O433" t="s">
        <v>961</v>
      </c>
      <c r="P433">
        <v>7.7119999999999997</v>
      </c>
      <c r="Q433">
        <v>2</v>
      </c>
      <c r="R433">
        <v>0.2</v>
      </c>
      <c r="S433">
        <v>1.7352000000000001</v>
      </c>
      <c r="T433" t="s">
        <v>59</v>
      </c>
      <c r="U433" t="s">
        <v>97</v>
      </c>
    </row>
    <row r="434" spans="1:21" x14ac:dyDescent="0.25">
      <c r="A434" t="s">
        <v>1684</v>
      </c>
      <c r="B434" s="1">
        <v>42931</v>
      </c>
      <c r="C434" s="1">
        <v>42935</v>
      </c>
      <c r="D434" t="s">
        <v>40</v>
      </c>
      <c r="E434" t="s">
        <v>1685</v>
      </c>
      <c r="F434" t="s">
        <v>1686</v>
      </c>
      <c r="G434" t="s">
        <v>25</v>
      </c>
      <c r="H434" t="s">
        <v>26</v>
      </c>
      <c r="I434" t="s">
        <v>200</v>
      </c>
      <c r="J434" t="s">
        <v>201</v>
      </c>
      <c r="K434" t="s">
        <v>68</v>
      </c>
      <c r="L434" t="s">
        <v>1466</v>
      </c>
      <c r="M434" t="s">
        <v>31</v>
      </c>
      <c r="N434" t="s">
        <v>46</v>
      </c>
      <c r="O434" t="s">
        <v>1467</v>
      </c>
      <c r="P434">
        <v>310.44299999999998</v>
      </c>
      <c r="Q434">
        <v>3</v>
      </c>
      <c r="R434">
        <v>0.3</v>
      </c>
      <c r="S434">
        <v>-48.783900000000003</v>
      </c>
      <c r="T434" t="s">
        <v>84</v>
      </c>
      <c r="U434" t="s">
        <v>72</v>
      </c>
    </row>
    <row r="435" spans="1:21" x14ac:dyDescent="0.25">
      <c r="A435" t="s">
        <v>1687</v>
      </c>
      <c r="B435" s="1">
        <v>41960</v>
      </c>
      <c r="C435" s="1">
        <v>41964</v>
      </c>
      <c r="D435" t="s">
        <v>40</v>
      </c>
      <c r="E435" t="s">
        <v>259</v>
      </c>
      <c r="F435" t="s">
        <v>260</v>
      </c>
      <c r="G435" t="s">
        <v>101</v>
      </c>
      <c r="H435" t="s">
        <v>26</v>
      </c>
      <c r="I435" t="s">
        <v>1688</v>
      </c>
      <c r="J435" t="s">
        <v>167</v>
      </c>
      <c r="K435" t="s">
        <v>94</v>
      </c>
      <c r="L435" t="s">
        <v>1280</v>
      </c>
      <c r="M435" t="s">
        <v>31</v>
      </c>
      <c r="N435" t="s">
        <v>37</v>
      </c>
      <c r="O435" t="s">
        <v>1281</v>
      </c>
      <c r="P435">
        <v>479.9</v>
      </c>
      <c r="Q435">
        <v>5</v>
      </c>
      <c r="R435">
        <v>0</v>
      </c>
      <c r="S435">
        <v>81.582999999999998</v>
      </c>
      <c r="T435" t="s">
        <v>84</v>
      </c>
      <c r="U435" t="s">
        <v>35</v>
      </c>
    </row>
    <row r="436" spans="1:21" x14ac:dyDescent="0.25">
      <c r="A436" t="s">
        <v>1689</v>
      </c>
      <c r="B436" s="1">
        <v>41838</v>
      </c>
      <c r="C436" s="1">
        <v>41838</v>
      </c>
      <c r="D436" t="s">
        <v>426</v>
      </c>
      <c r="E436" t="s">
        <v>1690</v>
      </c>
      <c r="F436" t="s">
        <v>1691</v>
      </c>
      <c r="G436" t="s">
        <v>101</v>
      </c>
      <c r="H436" t="s">
        <v>26</v>
      </c>
      <c r="I436" t="s">
        <v>1223</v>
      </c>
      <c r="J436" t="s">
        <v>521</v>
      </c>
      <c r="K436" t="s">
        <v>55</v>
      </c>
      <c r="L436" t="s">
        <v>496</v>
      </c>
      <c r="M436" t="s">
        <v>31</v>
      </c>
      <c r="N436" t="s">
        <v>37</v>
      </c>
      <c r="O436" t="s">
        <v>497</v>
      </c>
      <c r="P436">
        <v>259.13600000000002</v>
      </c>
      <c r="Q436">
        <v>4</v>
      </c>
      <c r="R436">
        <v>0.2</v>
      </c>
      <c r="S436">
        <v>-25.913599999999999</v>
      </c>
      <c r="T436" t="s">
        <v>431</v>
      </c>
      <c r="U436" t="s">
        <v>72</v>
      </c>
    </row>
    <row r="437" spans="1:21" x14ac:dyDescent="0.25">
      <c r="A437" t="s">
        <v>1692</v>
      </c>
      <c r="B437" s="1">
        <v>42308</v>
      </c>
      <c r="C437" s="1">
        <v>42308</v>
      </c>
      <c r="D437" t="s">
        <v>426</v>
      </c>
      <c r="E437" t="s">
        <v>1693</v>
      </c>
      <c r="F437" t="s">
        <v>1694</v>
      </c>
      <c r="G437" t="s">
        <v>25</v>
      </c>
      <c r="H437" t="s">
        <v>26</v>
      </c>
      <c r="I437" t="s">
        <v>1695</v>
      </c>
      <c r="J437" t="s">
        <v>54</v>
      </c>
      <c r="K437" t="s">
        <v>55</v>
      </c>
      <c r="L437" t="s">
        <v>105</v>
      </c>
      <c r="M437" t="s">
        <v>31</v>
      </c>
      <c r="N437" t="s">
        <v>37</v>
      </c>
      <c r="O437" t="s">
        <v>106</v>
      </c>
      <c r="P437">
        <v>323.13600000000002</v>
      </c>
      <c r="Q437">
        <v>4</v>
      </c>
      <c r="R437">
        <v>0.2</v>
      </c>
      <c r="S437">
        <v>20.196000000000002</v>
      </c>
      <c r="T437" t="s">
        <v>431</v>
      </c>
      <c r="U437" t="s">
        <v>49</v>
      </c>
    </row>
    <row r="438" spans="1:21" x14ac:dyDescent="0.25">
      <c r="A438" t="s">
        <v>1692</v>
      </c>
      <c r="B438" s="1">
        <v>42308</v>
      </c>
      <c r="C438" s="1">
        <v>42308</v>
      </c>
      <c r="D438" t="s">
        <v>426</v>
      </c>
      <c r="E438" t="s">
        <v>1693</v>
      </c>
      <c r="F438" t="s">
        <v>1694</v>
      </c>
      <c r="G438" t="s">
        <v>25</v>
      </c>
      <c r="H438" t="s">
        <v>26</v>
      </c>
      <c r="I438" t="s">
        <v>1695</v>
      </c>
      <c r="J438" t="s">
        <v>54</v>
      </c>
      <c r="K438" t="s">
        <v>55</v>
      </c>
      <c r="L438" t="s">
        <v>1696</v>
      </c>
      <c r="M438" t="s">
        <v>31</v>
      </c>
      <c r="N438" t="s">
        <v>32</v>
      </c>
      <c r="O438" t="s">
        <v>1697</v>
      </c>
      <c r="P438">
        <v>425.83300000000003</v>
      </c>
      <c r="Q438">
        <v>1</v>
      </c>
      <c r="R438">
        <v>0.15</v>
      </c>
      <c r="S438">
        <v>20.039200000000001</v>
      </c>
      <c r="T438" t="s">
        <v>431</v>
      </c>
      <c r="U438" t="s">
        <v>49</v>
      </c>
    </row>
    <row r="439" spans="1:21" x14ac:dyDescent="0.25">
      <c r="A439" t="s">
        <v>1698</v>
      </c>
      <c r="B439" s="1">
        <v>42289</v>
      </c>
      <c r="C439" s="1">
        <v>42294</v>
      </c>
      <c r="D439" t="s">
        <v>22</v>
      </c>
      <c r="E439" t="s">
        <v>1699</v>
      </c>
      <c r="F439" t="s">
        <v>1700</v>
      </c>
      <c r="G439" t="s">
        <v>25</v>
      </c>
      <c r="H439" t="s">
        <v>26</v>
      </c>
      <c r="I439" t="s">
        <v>895</v>
      </c>
      <c r="J439" t="s">
        <v>121</v>
      </c>
      <c r="K439" t="s">
        <v>68</v>
      </c>
      <c r="L439" t="s">
        <v>1462</v>
      </c>
      <c r="M439" t="s">
        <v>31</v>
      </c>
      <c r="N439" t="s">
        <v>46</v>
      </c>
      <c r="O439" t="s">
        <v>1463</v>
      </c>
      <c r="P439">
        <v>209.67</v>
      </c>
      <c r="Q439">
        <v>1</v>
      </c>
      <c r="R439">
        <v>0.4</v>
      </c>
      <c r="S439">
        <v>-13.978</v>
      </c>
      <c r="T439" t="s">
        <v>59</v>
      </c>
      <c r="U439" t="s">
        <v>49</v>
      </c>
    </row>
    <row r="440" spans="1:21" x14ac:dyDescent="0.25">
      <c r="A440" t="s">
        <v>1701</v>
      </c>
      <c r="B440" s="1">
        <v>43048</v>
      </c>
      <c r="C440" s="1">
        <v>43050</v>
      </c>
      <c r="D440" t="s">
        <v>88</v>
      </c>
      <c r="E440" t="s">
        <v>1702</v>
      </c>
      <c r="F440" t="s">
        <v>1703</v>
      </c>
      <c r="G440" t="s">
        <v>91</v>
      </c>
      <c r="H440" t="s">
        <v>26</v>
      </c>
      <c r="I440" t="s">
        <v>1704</v>
      </c>
      <c r="J440" t="s">
        <v>54</v>
      </c>
      <c r="K440" t="s">
        <v>55</v>
      </c>
      <c r="L440" t="s">
        <v>115</v>
      </c>
      <c r="M440" t="s">
        <v>31</v>
      </c>
      <c r="N440" t="s">
        <v>37</v>
      </c>
      <c r="O440" t="s">
        <v>116</v>
      </c>
      <c r="P440">
        <v>215.976</v>
      </c>
      <c r="Q440">
        <v>3</v>
      </c>
      <c r="R440">
        <v>0.2</v>
      </c>
      <c r="S440">
        <v>-2.6997</v>
      </c>
      <c r="T440" t="s">
        <v>71</v>
      </c>
      <c r="U440" t="s">
        <v>35</v>
      </c>
    </row>
    <row r="441" spans="1:21" x14ac:dyDescent="0.25">
      <c r="A441" t="s">
        <v>1705</v>
      </c>
      <c r="B441" s="1">
        <v>43000</v>
      </c>
      <c r="C441" s="1">
        <v>43002</v>
      </c>
      <c r="D441" t="s">
        <v>22</v>
      </c>
      <c r="E441" t="s">
        <v>1706</v>
      </c>
      <c r="F441" t="s">
        <v>1707</v>
      </c>
      <c r="G441" t="s">
        <v>101</v>
      </c>
      <c r="H441" t="s">
        <v>26</v>
      </c>
      <c r="I441" t="s">
        <v>1708</v>
      </c>
      <c r="J441" t="s">
        <v>290</v>
      </c>
      <c r="K441" t="s">
        <v>94</v>
      </c>
      <c r="L441" t="s">
        <v>457</v>
      </c>
      <c r="M441" t="s">
        <v>31</v>
      </c>
      <c r="N441" t="s">
        <v>32</v>
      </c>
      <c r="O441" t="s">
        <v>458</v>
      </c>
      <c r="P441">
        <v>241.96</v>
      </c>
      <c r="Q441">
        <v>2</v>
      </c>
      <c r="R441">
        <v>0</v>
      </c>
      <c r="S441">
        <v>41.133200000000002</v>
      </c>
      <c r="T441" t="s">
        <v>71</v>
      </c>
      <c r="U441" t="s">
        <v>78</v>
      </c>
    </row>
    <row r="442" spans="1:21" x14ac:dyDescent="0.25">
      <c r="A442" t="s">
        <v>1709</v>
      </c>
      <c r="B442" s="1">
        <v>42281</v>
      </c>
      <c r="C442" s="1">
        <v>42286</v>
      </c>
      <c r="D442" t="s">
        <v>40</v>
      </c>
      <c r="E442" t="s">
        <v>1238</v>
      </c>
      <c r="F442" t="s">
        <v>1239</v>
      </c>
      <c r="G442" t="s">
        <v>101</v>
      </c>
      <c r="H442" t="s">
        <v>26</v>
      </c>
      <c r="I442" t="s">
        <v>66</v>
      </c>
      <c r="J442" t="s">
        <v>67</v>
      </c>
      <c r="K442" t="s">
        <v>68</v>
      </c>
      <c r="L442" t="s">
        <v>1710</v>
      </c>
      <c r="M442" t="s">
        <v>31</v>
      </c>
      <c r="N442" t="s">
        <v>57</v>
      </c>
      <c r="O442" t="s">
        <v>1711</v>
      </c>
      <c r="P442">
        <v>64.944000000000003</v>
      </c>
      <c r="Q442">
        <v>3</v>
      </c>
      <c r="R442">
        <v>0.2</v>
      </c>
      <c r="S442">
        <v>6.4943999999999997</v>
      </c>
      <c r="T442" t="s">
        <v>59</v>
      </c>
      <c r="U442" t="s">
        <v>49</v>
      </c>
    </row>
    <row r="443" spans="1:21" x14ac:dyDescent="0.25">
      <c r="A443" t="s">
        <v>1712</v>
      </c>
      <c r="B443" s="1">
        <v>41779</v>
      </c>
      <c r="C443" s="1">
        <v>41781</v>
      </c>
      <c r="D443" t="s">
        <v>22</v>
      </c>
      <c r="E443" t="s">
        <v>1713</v>
      </c>
      <c r="F443" t="s">
        <v>1714</v>
      </c>
      <c r="G443" t="s">
        <v>91</v>
      </c>
      <c r="H443" t="s">
        <v>26</v>
      </c>
      <c r="I443" t="s">
        <v>742</v>
      </c>
      <c r="J443" t="s">
        <v>885</v>
      </c>
      <c r="K443" t="s">
        <v>68</v>
      </c>
      <c r="L443" t="s">
        <v>1122</v>
      </c>
      <c r="M443" t="s">
        <v>31</v>
      </c>
      <c r="N443" t="s">
        <v>57</v>
      </c>
      <c r="O443" t="s">
        <v>1123</v>
      </c>
      <c r="P443">
        <v>139.86000000000001</v>
      </c>
      <c r="Q443">
        <v>7</v>
      </c>
      <c r="R443">
        <v>0</v>
      </c>
      <c r="S443">
        <v>60.139800000000001</v>
      </c>
      <c r="T443" t="s">
        <v>71</v>
      </c>
      <c r="U443" t="s">
        <v>162</v>
      </c>
    </row>
    <row r="444" spans="1:21" x14ac:dyDescent="0.25">
      <c r="A444" t="s">
        <v>1715</v>
      </c>
      <c r="B444" s="1">
        <v>42369</v>
      </c>
      <c r="C444" s="1">
        <v>42374</v>
      </c>
      <c r="D444" t="s">
        <v>40</v>
      </c>
      <c r="E444" t="s">
        <v>1716</v>
      </c>
      <c r="F444" t="s">
        <v>1717</v>
      </c>
      <c r="G444" t="s">
        <v>25</v>
      </c>
      <c r="H444" t="s">
        <v>26</v>
      </c>
      <c r="I444" t="s">
        <v>1718</v>
      </c>
      <c r="J444" t="s">
        <v>93</v>
      </c>
      <c r="K444" t="s">
        <v>94</v>
      </c>
      <c r="L444" t="s">
        <v>1719</v>
      </c>
      <c r="M444" t="s">
        <v>31</v>
      </c>
      <c r="N444" t="s">
        <v>57</v>
      </c>
      <c r="O444" t="s">
        <v>1720</v>
      </c>
      <c r="P444">
        <v>14.76</v>
      </c>
      <c r="Q444">
        <v>5</v>
      </c>
      <c r="R444">
        <v>0.6</v>
      </c>
      <c r="S444">
        <v>-11.439</v>
      </c>
      <c r="T444" t="s">
        <v>59</v>
      </c>
      <c r="U444" t="s">
        <v>97</v>
      </c>
    </row>
    <row r="445" spans="1:21" x14ac:dyDescent="0.25">
      <c r="A445" t="s">
        <v>1721</v>
      </c>
      <c r="B445" s="1">
        <v>41796</v>
      </c>
      <c r="C445" s="1">
        <v>41801</v>
      </c>
      <c r="D445" t="s">
        <v>40</v>
      </c>
      <c r="E445" t="s">
        <v>1722</v>
      </c>
      <c r="F445" t="s">
        <v>1723</v>
      </c>
      <c r="G445" t="s">
        <v>91</v>
      </c>
      <c r="H445" t="s">
        <v>26</v>
      </c>
      <c r="I445" t="s">
        <v>731</v>
      </c>
      <c r="J445" t="s">
        <v>121</v>
      </c>
      <c r="K445" t="s">
        <v>68</v>
      </c>
      <c r="L445" t="s">
        <v>1724</v>
      </c>
      <c r="M445" t="s">
        <v>31</v>
      </c>
      <c r="N445" t="s">
        <v>46</v>
      </c>
      <c r="O445" t="s">
        <v>1725</v>
      </c>
      <c r="P445">
        <v>991.76400000000001</v>
      </c>
      <c r="Q445">
        <v>3</v>
      </c>
      <c r="R445">
        <v>0.4</v>
      </c>
      <c r="S445">
        <v>-347.11739999999998</v>
      </c>
      <c r="T445" t="s">
        <v>59</v>
      </c>
      <c r="U445" t="s">
        <v>60</v>
      </c>
    </row>
    <row r="446" spans="1:21" x14ac:dyDescent="0.25">
      <c r="A446" t="s">
        <v>1726</v>
      </c>
      <c r="B446" s="1">
        <v>42546</v>
      </c>
      <c r="C446" s="1">
        <v>42550</v>
      </c>
      <c r="D446" t="s">
        <v>40</v>
      </c>
      <c r="E446" t="s">
        <v>1727</v>
      </c>
      <c r="F446" t="s">
        <v>1728</v>
      </c>
      <c r="G446" t="s">
        <v>91</v>
      </c>
      <c r="H446" t="s">
        <v>26</v>
      </c>
      <c r="I446" t="s">
        <v>1729</v>
      </c>
      <c r="J446" t="s">
        <v>67</v>
      </c>
      <c r="K446" t="s">
        <v>68</v>
      </c>
      <c r="L446" t="s">
        <v>330</v>
      </c>
      <c r="M446" t="s">
        <v>31</v>
      </c>
      <c r="N446" t="s">
        <v>37</v>
      </c>
      <c r="O446" t="s">
        <v>331</v>
      </c>
      <c r="P446">
        <v>422.05799999999999</v>
      </c>
      <c r="Q446">
        <v>3</v>
      </c>
      <c r="R446">
        <v>0.3</v>
      </c>
      <c r="S446">
        <v>-18.088200000000001</v>
      </c>
      <c r="T446" t="s">
        <v>84</v>
      </c>
      <c r="U446" t="s">
        <v>60</v>
      </c>
    </row>
    <row r="447" spans="1:21" x14ac:dyDescent="0.25">
      <c r="A447" t="s">
        <v>1730</v>
      </c>
      <c r="B447" s="1">
        <v>41985</v>
      </c>
      <c r="C447" s="1">
        <v>41990</v>
      </c>
      <c r="D447" t="s">
        <v>40</v>
      </c>
      <c r="E447" t="s">
        <v>1731</v>
      </c>
      <c r="F447" t="s">
        <v>1732</v>
      </c>
      <c r="G447" t="s">
        <v>25</v>
      </c>
      <c r="H447" t="s">
        <v>26</v>
      </c>
      <c r="I447" t="s">
        <v>510</v>
      </c>
      <c r="J447" t="s">
        <v>54</v>
      </c>
      <c r="K447" t="s">
        <v>55</v>
      </c>
      <c r="L447" t="s">
        <v>991</v>
      </c>
      <c r="M447" t="s">
        <v>31</v>
      </c>
      <c r="N447" t="s">
        <v>57</v>
      </c>
      <c r="O447" t="s">
        <v>992</v>
      </c>
      <c r="P447">
        <v>43.31</v>
      </c>
      <c r="Q447">
        <v>1</v>
      </c>
      <c r="R447">
        <v>0</v>
      </c>
      <c r="S447">
        <v>4.3310000000000004</v>
      </c>
      <c r="T447" t="s">
        <v>59</v>
      </c>
      <c r="U447" t="s">
        <v>97</v>
      </c>
    </row>
    <row r="448" spans="1:21" x14ac:dyDescent="0.25">
      <c r="A448" t="s">
        <v>1733</v>
      </c>
      <c r="B448" s="1">
        <v>43058</v>
      </c>
      <c r="C448" s="1">
        <v>43065</v>
      </c>
      <c r="D448" t="s">
        <v>40</v>
      </c>
      <c r="E448" t="s">
        <v>1734</v>
      </c>
      <c r="F448" t="s">
        <v>1735</v>
      </c>
      <c r="G448" t="s">
        <v>25</v>
      </c>
      <c r="H448" t="s">
        <v>26</v>
      </c>
      <c r="I448" t="s">
        <v>1736</v>
      </c>
      <c r="J448" t="s">
        <v>93</v>
      </c>
      <c r="K448" t="s">
        <v>94</v>
      </c>
      <c r="L448" t="s">
        <v>1165</v>
      </c>
      <c r="M448" t="s">
        <v>31</v>
      </c>
      <c r="N448" t="s">
        <v>37</v>
      </c>
      <c r="O448" t="s">
        <v>1166</v>
      </c>
      <c r="P448">
        <v>233.05799999999999</v>
      </c>
      <c r="Q448">
        <v>3</v>
      </c>
      <c r="R448">
        <v>0.3</v>
      </c>
      <c r="S448">
        <v>-53.270400000000002</v>
      </c>
      <c r="T448" t="s">
        <v>48</v>
      </c>
      <c r="U448" t="s">
        <v>35</v>
      </c>
    </row>
    <row r="449" spans="1:21" x14ac:dyDescent="0.25">
      <c r="A449" t="s">
        <v>1737</v>
      </c>
      <c r="B449" s="1">
        <v>42490</v>
      </c>
      <c r="C449" s="1">
        <v>42495</v>
      </c>
      <c r="D449" t="s">
        <v>40</v>
      </c>
      <c r="E449" t="s">
        <v>1738</v>
      </c>
      <c r="F449" t="s">
        <v>1739</v>
      </c>
      <c r="G449" t="s">
        <v>101</v>
      </c>
      <c r="H449" t="s">
        <v>26</v>
      </c>
      <c r="I449" t="s">
        <v>1740</v>
      </c>
      <c r="J449" t="s">
        <v>93</v>
      </c>
      <c r="K449" t="s">
        <v>94</v>
      </c>
      <c r="L449" t="s">
        <v>1543</v>
      </c>
      <c r="M449" t="s">
        <v>31</v>
      </c>
      <c r="N449" t="s">
        <v>57</v>
      </c>
      <c r="O449" t="s">
        <v>1544</v>
      </c>
      <c r="P449">
        <v>22.608000000000001</v>
      </c>
      <c r="Q449">
        <v>3</v>
      </c>
      <c r="R449">
        <v>0.6</v>
      </c>
      <c r="S449">
        <v>-10.1736</v>
      </c>
      <c r="T449" t="s">
        <v>59</v>
      </c>
      <c r="U449" t="s">
        <v>114</v>
      </c>
    </row>
    <row r="450" spans="1:21" x14ac:dyDescent="0.25">
      <c r="A450" t="s">
        <v>1741</v>
      </c>
      <c r="B450" s="1">
        <v>42504</v>
      </c>
      <c r="C450" s="1">
        <v>42504</v>
      </c>
      <c r="D450" t="s">
        <v>426</v>
      </c>
      <c r="E450" t="s">
        <v>327</v>
      </c>
      <c r="F450" t="s">
        <v>328</v>
      </c>
      <c r="G450" t="s">
        <v>25</v>
      </c>
      <c r="H450" t="s">
        <v>26</v>
      </c>
      <c r="I450" t="s">
        <v>1742</v>
      </c>
      <c r="J450" t="s">
        <v>232</v>
      </c>
      <c r="K450" t="s">
        <v>68</v>
      </c>
      <c r="L450" t="s">
        <v>1401</v>
      </c>
      <c r="M450" t="s">
        <v>31</v>
      </c>
      <c r="N450" t="s">
        <v>57</v>
      </c>
      <c r="O450" t="s">
        <v>1402</v>
      </c>
      <c r="P450">
        <v>79.384</v>
      </c>
      <c r="Q450">
        <v>1</v>
      </c>
      <c r="R450">
        <v>0.2</v>
      </c>
      <c r="S450">
        <v>29.768999999999998</v>
      </c>
      <c r="T450" t="s">
        <v>431</v>
      </c>
      <c r="U450" t="s">
        <v>162</v>
      </c>
    </row>
    <row r="451" spans="1:21" x14ac:dyDescent="0.25">
      <c r="A451" t="s">
        <v>1743</v>
      </c>
      <c r="B451" s="1">
        <v>42656</v>
      </c>
      <c r="C451" s="1">
        <v>42662</v>
      </c>
      <c r="D451" t="s">
        <v>40</v>
      </c>
      <c r="E451" t="s">
        <v>336</v>
      </c>
      <c r="F451" t="s">
        <v>337</v>
      </c>
      <c r="G451" t="s">
        <v>25</v>
      </c>
      <c r="H451" t="s">
        <v>26</v>
      </c>
      <c r="I451" t="s">
        <v>1744</v>
      </c>
      <c r="J451" t="s">
        <v>93</v>
      </c>
      <c r="K451" t="s">
        <v>94</v>
      </c>
      <c r="L451" t="s">
        <v>726</v>
      </c>
      <c r="M451" t="s">
        <v>31</v>
      </c>
      <c r="N451" t="s">
        <v>57</v>
      </c>
      <c r="O451" t="s">
        <v>727</v>
      </c>
      <c r="P451">
        <v>139.91999999999999</v>
      </c>
      <c r="Q451">
        <v>5</v>
      </c>
      <c r="R451">
        <v>0.6</v>
      </c>
      <c r="S451">
        <v>-150.41399999999999</v>
      </c>
      <c r="T451" t="s">
        <v>130</v>
      </c>
      <c r="U451" t="s">
        <v>49</v>
      </c>
    </row>
    <row r="452" spans="1:21" x14ac:dyDescent="0.25">
      <c r="A452" t="s">
        <v>1745</v>
      </c>
      <c r="B452" s="1">
        <v>43058</v>
      </c>
      <c r="C452" s="1">
        <v>43064</v>
      </c>
      <c r="D452" t="s">
        <v>40</v>
      </c>
      <c r="E452" t="s">
        <v>1298</v>
      </c>
      <c r="F452" t="s">
        <v>1299</v>
      </c>
      <c r="G452" t="s">
        <v>91</v>
      </c>
      <c r="H452" t="s">
        <v>26</v>
      </c>
      <c r="I452" t="s">
        <v>1746</v>
      </c>
      <c r="J452" t="s">
        <v>93</v>
      </c>
      <c r="K452" t="s">
        <v>94</v>
      </c>
      <c r="L452" t="s">
        <v>817</v>
      </c>
      <c r="M452" t="s">
        <v>31</v>
      </c>
      <c r="N452" t="s">
        <v>37</v>
      </c>
      <c r="O452" t="s">
        <v>818</v>
      </c>
      <c r="P452">
        <v>305.31200000000001</v>
      </c>
      <c r="Q452">
        <v>2</v>
      </c>
      <c r="R452">
        <v>0.3</v>
      </c>
      <c r="S452">
        <v>-8.7232000000000003</v>
      </c>
      <c r="T452" t="s">
        <v>130</v>
      </c>
      <c r="U452" t="s">
        <v>35</v>
      </c>
    </row>
    <row r="453" spans="1:21" x14ac:dyDescent="0.25">
      <c r="A453" t="s">
        <v>1747</v>
      </c>
      <c r="B453" s="1">
        <v>42497</v>
      </c>
      <c r="C453" s="1">
        <v>42501</v>
      </c>
      <c r="D453" t="s">
        <v>40</v>
      </c>
      <c r="E453" t="s">
        <v>1346</v>
      </c>
      <c r="F453" t="s">
        <v>1347</v>
      </c>
      <c r="G453" t="s">
        <v>25</v>
      </c>
      <c r="H453" t="s">
        <v>26</v>
      </c>
      <c r="I453" t="s">
        <v>174</v>
      </c>
      <c r="J453" t="s">
        <v>121</v>
      </c>
      <c r="K453" t="s">
        <v>68</v>
      </c>
      <c r="L453" t="s">
        <v>1748</v>
      </c>
      <c r="M453" t="s">
        <v>31</v>
      </c>
      <c r="N453" t="s">
        <v>37</v>
      </c>
      <c r="O453" t="s">
        <v>1749</v>
      </c>
      <c r="P453">
        <v>442.76400000000001</v>
      </c>
      <c r="Q453">
        <v>4</v>
      </c>
      <c r="R453">
        <v>0.1</v>
      </c>
      <c r="S453">
        <v>59.035200000000003</v>
      </c>
      <c r="T453" t="s">
        <v>84</v>
      </c>
      <c r="U453" t="s">
        <v>162</v>
      </c>
    </row>
    <row r="454" spans="1:21" x14ac:dyDescent="0.25">
      <c r="A454" t="s">
        <v>1747</v>
      </c>
      <c r="B454" s="1">
        <v>42497</v>
      </c>
      <c r="C454" s="1">
        <v>42501</v>
      </c>
      <c r="D454" t="s">
        <v>40</v>
      </c>
      <c r="E454" t="s">
        <v>1346</v>
      </c>
      <c r="F454" t="s">
        <v>1347</v>
      </c>
      <c r="G454" t="s">
        <v>25</v>
      </c>
      <c r="H454" t="s">
        <v>26</v>
      </c>
      <c r="I454" t="s">
        <v>174</v>
      </c>
      <c r="J454" t="s">
        <v>121</v>
      </c>
      <c r="K454" t="s">
        <v>68</v>
      </c>
      <c r="L454" t="s">
        <v>928</v>
      </c>
      <c r="M454" t="s">
        <v>31</v>
      </c>
      <c r="N454" t="s">
        <v>57</v>
      </c>
      <c r="O454" t="s">
        <v>317</v>
      </c>
      <c r="P454">
        <v>63.68</v>
      </c>
      <c r="Q454">
        <v>8</v>
      </c>
      <c r="R454">
        <v>0</v>
      </c>
      <c r="S454">
        <v>28.019200000000001</v>
      </c>
      <c r="T454" t="s">
        <v>84</v>
      </c>
      <c r="U454" t="s">
        <v>162</v>
      </c>
    </row>
    <row r="455" spans="1:21" x14ac:dyDescent="0.25">
      <c r="A455" t="s">
        <v>1750</v>
      </c>
      <c r="B455" s="1">
        <v>42957</v>
      </c>
      <c r="C455" s="1">
        <v>42962</v>
      </c>
      <c r="D455" t="s">
        <v>40</v>
      </c>
      <c r="E455" t="s">
        <v>1751</v>
      </c>
      <c r="F455" t="s">
        <v>1752</v>
      </c>
      <c r="G455" t="s">
        <v>25</v>
      </c>
      <c r="H455" t="s">
        <v>26</v>
      </c>
      <c r="I455" t="s">
        <v>348</v>
      </c>
      <c r="J455" t="s">
        <v>111</v>
      </c>
      <c r="K455" t="s">
        <v>94</v>
      </c>
      <c r="L455" t="s">
        <v>145</v>
      </c>
      <c r="M455" t="s">
        <v>31</v>
      </c>
      <c r="N455" t="s">
        <v>57</v>
      </c>
      <c r="O455" t="s">
        <v>146</v>
      </c>
      <c r="P455">
        <v>121.3</v>
      </c>
      <c r="Q455">
        <v>2</v>
      </c>
      <c r="R455">
        <v>0</v>
      </c>
      <c r="S455">
        <v>25.472999999999999</v>
      </c>
      <c r="T455" t="s">
        <v>59</v>
      </c>
      <c r="U455" t="s">
        <v>254</v>
      </c>
    </row>
    <row r="456" spans="1:21" x14ac:dyDescent="0.25">
      <c r="A456" t="s">
        <v>1753</v>
      </c>
      <c r="B456" s="1">
        <v>41791</v>
      </c>
      <c r="C456" s="1">
        <v>41796</v>
      </c>
      <c r="D456" t="s">
        <v>40</v>
      </c>
      <c r="E456" t="s">
        <v>814</v>
      </c>
      <c r="F456" t="s">
        <v>815</v>
      </c>
      <c r="G456" t="s">
        <v>25</v>
      </c>
      <c r="H456" t="s">
        <v>26</v>
      </c>
      <c r="I456" t="s">
        <v>1754</v>
      </c>
      <c r="J456" t="s">
        <v>1059</v>
      </c>
      <c r="K456" t="s">
        <v>29</v>
      </c>
      <c r="L456" t="s">
        <v>447</v>
      </c>
      <c r="M456" t="s">
        <v>31</v>
      </c>
      <c r="N456" t="s">
        <v>57</v>
      </c>
      <c r="O456" t="s">
        <v>448</v>
      </c>
      <c r="P456">
        <v>22.2</v>
      </c>
      <c r="Q456">
        <v>6</v>
      </c>
      <c r="R456">
        <v>0</v>
      </c>
      <c r="S456">
        <v>9.1020000000000003</v>
      </c>
      <c r="T456" t="s">
        <v>59</v>
      </c>
      <c r="U456" t="s">
        <v>60</v>
      </c>
    </row>
    <row r="457" spans="1:21" x14ac:dyDescent="0.25">
      <c r="A457" t="s">
        <v>1755</v>
      </c>
      <c r="B457" s="1">
        <v>42253</v>
      </c>
      <c r="C457" s="1">
        <v>42259</v>
      </c>
      <c r="D457" t="s">
        <v>40</v>
      </c>
      <c r="E457" t="s">
        <v>1267</v>
      </c>
      <c r="F457" t="s">
        <v>1268</v>
      </c>
      <c r="G457" t="s">
        <v>101</v>
      </c>
      <c r="H457" t="s">
        <v>26</v>
      </c>
      <c r="I457" t="s">
        <v>192</v>
      </c>
      <c r="J457" t="s">
        <v>193</v>
      </c>
      <c r="K457" t="s">
        <v>55</v>
      </c>
      <c r="L457" t="s">
        <v>1756</v>
      </c>
      <c r="M457" t="s">
        <v>31</v>
      </c>
      <c r="N457" t="s">
        <v>57</v>
      </c>
      <c r="O457" t="s">
        <v>1757</v>
      </c>
      <c r="P457">
        <v>191.82</v>
      </c>
      <c r="Q457">
        <v>3</v>
      </c>
      <c r="R457">
        <v>0</v>
      </c>
      <c r="S457">
        <v>74.809799999999996</v>
      </c>
      <c r="T457" t="s">
        <v>130</v>
      </c>
      <c r="U457" t="s">
        <v>78</v>
      </c>
    </row>
    <row r="458" spans="1:21" x14ac:dyDescent="0.25">
      <c r="A458" t="s">
        <v>1758</v>
      </c>
      <c r="B458" s="1">
        <v>42184</v>
      </c>
      <c r="C458" s="1">
        <v>42190</v>
      </c>
      <c r="D458" t="s">
        <v>40</v>
      </c>
      <c r="E458" t="s">
        <v>198</v>
      </c>
      <c r="F458" t="s">
        <v>199</v>
      </c>
      <c r="G458" t="s">
        <v>25</v>
      </c>
      <c r="H458" t="s">
        <v>26</v>
      </c>
      <c r="I458" t="s">
        <v>816</v>
      </c>
      <c r="J458" t="s">
        <v>67</v>
      </c>
      <c r="K458" t="s">
        <v>68</v>
      </c>
      <c r="L458" t="s">
        <v>1291</v>
      </c>
      <c r="M458" t="s">
        <v>31</v>
      </c>
      <c r="N458" t="s">
        <v>57</v>
      </c>
      <c r="O458" t="s">
        <v>1759</v>
      </c>
      <c r="P458">
        <v>20.103999999999999</v>
      </c>
      <c r="Q458">
        <v>1</v>
      </c>
      <c r="R458">
        <v>0.2</v>
      </c>
      <c r="S458">
        <v>1.7591000000000001</v>
      </c>
      <c r="T458" t="s">
        <v>130</v>
      </c>
      <c r="U458" t="s">
        <v>60</v>
      </c>
    </row>
    <row r="459" spans="1:21" x14ac:dyDescent="0.25">
      <c r="A459" t="s">
        <v>1760</v>
      </c>
      <c r="B459" s="1">
        <v>43060</v>
      </c>
      <c r="C459" s="1">
        <v>43064</v>
      </c>
      <c r="D459" t="s">
        <v>40</v>
      </c>
      <c r="E459" t="s">
        <v>1761</v>
      </c>
      <c r="F459" t="s">
        <v>1762</v>
      </c>
      <c r="G459" t="s">
        <v>25</v>
      </c>
      <c r="H459" t="s">
        <v>26</v>
      </c>
      <c r="I459" t="s">
        <v>174</v>
      </c>
      <c r="J459" t="s">
        <v>121</v>
      </c>
      <c r="K459" t="s">
        <v>68</v>
      </c>
      <c r="L459" t="s">
        <v>1150</v>
      </c>
      <c r="M459" t="s">
        <v>31</v>
      </c>
      <c r="N459" t="s">
        <v>57</v>
      </c>
      <c r="O459" t="s">
        <v>1151</v>
      </c>
      <c r="P459">
        <v>27.42</v>
      </c>
      <c r="Q459">
        <v>1</v>
      </c>
      <c r="R459">
        <v>0</v>
      </c>
      <c r="S459">
        <v>11.2422</v>
      </c>
      <c r="T459" t="s">
        <v>84</v>
      </c>
      <c r="U459" t="s">
        <v>35</v>
      </c>
    </row>
    <row r="460" spans="1:21" x14ac:dyDescent="0.25">
      <c r="A460" t="s">
        <v>1763</v>
      </c>
      <c r="B460" s="1">
        <v>43009</v>
      </c>
      <c r="C460" s="1">
        <v>43010</v>
      </c>
      <c r="D460" t="s">
        <v>88</v>
      </c>
      <c r="E460" t="s">
        <v>1764</v>
      </c>
      <c r="F460" t="s">
        <v>1765</v>
      </c>
      <c r="G460" t="s">
        <v>25</v>
      </c>
      <c r="H460" t="s">
        <v>26</v>
      </c>
      <c r="I460" t="s">
        <v>1492</v>
      </c>
      <c r="J460" t="s">
        <v>54</v>
      </c>
      <c r="K460" t="s">
        <v>55</v>
      </c>
      <c r="L460" t="s">
        <v>1766</v>
      </c>
      <c r="M460" t="s">
        <v>31</v>
      </c>
      <c r="N460" t="s">
        <v>37</v>
      </c>
      <c r="O460" t="s">
        <v>1767</v>
      </c>
      <c r="P460">
        <v>108.608</v>
      </c>
      <c r="Q460">
        <v>4</v>
      </c>
      <c r="R460">
        <v>0.2</v>
      </c>
      <c r="S460">
        <v>9.5031999999999996</v>
      </c>
      <c r="T460" t="s">
        <v>124</v>
      </c>
      <c r="U460" t="s">
        <v>49</v>
      </c>
    </row>
    <row r="461" spans="1:21" x14ac:dyDescent="0.25">
      <c r="A461" t="s">
        <v>1768</v>
      </c>
      <c r="B461" s="1">
        <v>42344</v>
      </c>
      <c r="C461" s="1">
        <v>42344</v>
      </c>
      <c r="D461" t="s">
        <v>426</v>
      </c>
      <c r="E461" t="s">
        <v>1769</v>
      </c>
      <c r="F461" t="s">
        <v>1770</v>
      </c>
      <c r="G461" t="s">
        <v>25</v>
      </c>
      <c r="H461" t="s">
        <v>26</v>
      </c>
      <c r="I461" t="s">
        <v>1771</v>
      </c>
      <c r="J461" t="s">
        <v>232</v>
      </c>
      <c r="K461" t="s">
        <v>68</v>
      </c>
      <c r="L461" t="s">
        <v>296</v>
      </c>
      <c r="M461" t="s">
        <v>31</v>
      </c>
      <c r="N461" t="s">
        <v>37</v>
      </c>
      <c r="O461" t="s">
        <v>297</v>
      </c>
      <c r="P461">
        <v>70.686000000000007</v>
      </c>
      <c r="Q461">
        <v>1</v>
      </c>
      <c r="R461">
        <v>0.3</v>
      </c>
      <c r="S461">
        <v>-24.235199999999999</v>
      </c>
      <c r="T461" t="s">
        <v>431</v>
      </c>
      <c r="U461" t="s">
        <v>97</v>
      </c>
    </row>
    <row r="462" spans="1:21" x14ac:dyDescent="0.25">
      <c r="A462" t="s">
        <v>1772</v>
      </c>
      <c r="B462" s="1">
        <v>42448</v>
      </c>
      <c r="C462" s="1">
        <v>42450</v>
      </c>
      <c r="D462" t="s">
        <v>22</v>
      </c>
      <c r="E462" t="s">
        <v>1773</v>
      </c>
      <c r="F462" t="s">
        <v>1774</v>
      </c>
      <c r="G462" t="s">
        <v>25</v>
      </c>
      <c r="H462" t="s">
        <v>26</v>
      </c>
      <c r="I462" t="s">
        <v>1775</v>
      </c>
      <c r="J462" t="s">
        <v>181</v>
      </c>
      <c r="K462" t="s">
        <v>55</v>
      </c>
      <c r="L462" t="s">
        <v>1776</v>
      </c>
      <c r="M462" t="s">
        <v>31</v>
      </c>
      <c r="N462" t="s">
        <v>32</v>
      </c>
      <c r="O462" t="s">
        <v>1777</v>
      </c>
      <c r="P462">
        <v>72.293999999999997</v>
      </c>
      <c r="Q462">
        <v>1</v>
      </c>
      <c r="R462">
        <v>0.7</v>
      </c>
      <c r="S462">
        <v>-98.8018</v>
      </c>
      <c r="T462" t="s">
        <v>71</v>
      </c>
      <c r="U462" t="s">
        <v>196</v>
      </c>
    </row>
    <row r="463" spans="1:21" x14ac:dyDescent="0.25">
      <c r="A463" t="s">
        <v>1778</v>
      </c>
      <c r="B463" s="1">
        <v>42644</v>
      </c>
      <c r="C463" s="1">
        <v>42648</v>
      </c>
      <c r="D463" t="s">
        <v>40</v>
      </c>
      <c r="E463" t="s">
        <v>1127</v>
      </c>
      <c r="F463" t="s">
        <v>1128</v>
      </c>
      <c r="G463" t="s">
        <v>25</v>
      </c>
      <c r="H463" t="s">
        <v>26</v>
      </c>
      <c r="I463" t="s">
        <v>174</v>
      </c>
      <c r="J463" t="s">
        <v>121</v>
      </c>
      <c r="K463" t="s">
        <v>68</v>
      </c>
      <c r="L463" t="s">
        <v>1724</v>
      </c>
      <c r="M463" t="s">
        <v>31</v>
      </c>
      <c r="N463" t="s">
        <v>46</v>
      </c>
      <c r="O463" t="s">
        <v>1725</v>
      </c>
      <c r="P463">
        <v>330.58800000000002</v>
      </c>
      <c r="Q463">
        <v>1</v>
      </c>
      <c r="R463">
        <v>0.4</v>
      </c>
      <c r="S463">
        <v>-115.7058</v>
      </c>
      <c r="T463" t="s">
        <v>84</v>
      </c>
      <c r="U463" t="s">
        <v>49</v>
      </c>
    </row>
    <row r="464" spans="1:21" x14ac:dyDescent="0.25">
      <c r="A464" t="s">
        <v>1779</v>
      </c>
      <c r="B464" s="1">
        <v>42912</v>
      </c>
      <c r="C464" s="1">
        <v>42917</v>
      </c>
      <c r="D464" t="s">
        <v>40</v>
      </c>
      <c r="E464" t="s">
        <v>1780</v>
      </c>
      <c r="F464" t="s">
        <v>1781</v>
      </c>
      <c r="G464" t="s">
        <v>25</v>
      </c>
      <c r="H464" t="s">
        <v>26</v>
      </c>
      <c r="I464" t="s">
        <v>1155</v>
      </c>
      <c r="J464" t="s">
        <v>111</v>
      </c>
      <c r="K464" t="s">
        <v>94</v>
      </c>
      <c r="L464" t="s">
        <v>1011</v>
      </c>
      <c r="M464" t="s">
        <v>31</v>
      </c>
      <c r="N464" t="s">
        <v>57</v>
      </c>
      <c r="O464" t="s">
        <v>1012</v>
      </c>
      <c r="P464">
        <v>526.45000000000005</v>
      </c>
      <c r="Q464">
        <v>5</v>
      </c>
      <c r="R464">
        <v>0</v>
      </c>
      <c r="S464">
        <v>31.587</v>
      </c>
      <c r="T464" t="s">
        <v>59</v>
      </c>
      <c r="U464" t="s">
        <v>60</v>
      </c>
    </row>
    <row r="465" spans="1:21" x14ac:dyDescent="0.25">
      <c r="A465" t="s">
        <v>1782</v>
      </c>
      <c r="B465" s="1">
        <v>42845</v>
      </c>
      <c r="C465" s="1">
        <v>42851</v>
      </c>
      <c r="D465" t="s">
        <v>40</v>
      </c>
      <c r="E465" t="s">
        <v>1783</v>
      </c>
      <c r="F465" t="s">
        <v>1784</v>
      </c>
      <c r="G465" t="s">
        <v>101</v>
      </c>
      <c r="H465" t="s">
        <v>26</v>
      </c>
      <c r="I465" t="s">
        <v>134</v>
      </c>
      <c r="J465" t="s">
        <v>135</v>
      </c>
      <c r="K465" t="s">
        <v>94</v>
      </c>
      <c r="L465" t="s">
        <v>1785</v>
      </c>
      <c r="M465" t="s">
        <v>31</v>
      </c>
      <c r="N465" t="s">
        <v>57</v>
      </c>
      <c r="O465" t="s">
        <v>1786</v>
      </c>
      <c r="P465">
        <v>44.4</v>
      </c>
      <c r="Q465">
        <v>2</v>
      </c>
      <c r="R465">
        <v>0.6</v>
      </c>
      <c r="S465">
        <v>-52.17</v>
      </c>
      <c r="T465" t="s">
        <v>130</v>
      </c>
      <c r="U465" t="s">
        <v>114</v>
      </c>
    </row>
    <row r="466" spans="1:21" x14ac:dyDescent="0.25">
      <c r="A466" t="s">
        <v>1787</v>
      </c>
      <c r="B466" s="1">
        <v>42630</v>
      </c>
      <c r="C466" s="1">
        <v>42635</v>
      </c>
      <c r="D466" t="s">
        <v>40</v>
      </c>
      <c r="E466" t="s">
        <v>985</v>
      </c>
      <c r="F466" t="s">
        <v>986</v>
      </c>
      <c r="G466" t="s">
        <v>91</v>
      </c>
      <c r="H466" t="s">
        <v>26</v>
      </c>
      <c r="I466" t="s">
        <v>1788</v>
      </c>
      <c r="J466" t="s">
        <v>1789</v>
      </c>
      <c r="K466" t="s">
        <v>68</v>
      </c>
      <c r="L466" t="s">
        <v>1086</v>
      </c>
      <c r="M466" t="s">
        <v>31</v>
      </c>
      <c r="N466" t="s">
        <v>57</v>
      </c>
      <c r="O466" t="s">
        <v>1087</v>
      </c>
      <c r="P466">
        <v>109.48</v>
      </c>
      <c r="Q466">
        <v>2</v>
      </c>
      <c r="R466">
        <v>0</v>
      </c>
      <c r="S466">
        <v>33.938800000000001</v>
      </c>
      <c r="T466" t="s">
        <v>59</v>
      </c>
      <c r="U466" t="s">
        <v>78</v>
      </c>
    </row>
    <row r="467" spans="1:21" x14ac:dyDescent="0.25">
      <c r="A467" t="s">
        <v>1790</v>
      </c>
      <c r="B467" s="1">
        <v>42902</v>
      </c>
      <c r="C467" s="1">
        <v>42905</v>
      </c>
      <c r="D467" t="s">
        <v>88</v>
      </c>
      <c r="E467" t="s">
        <v>1429</v>
      </c>
      <c r="F467" t="s">
        <v>1430</v>
      </c>
      <c r="G467" t="s">
        <v>25</v>
      </c>
      <c r="H467" t="s">
        <v>26</v>
      </c>
      <c r="I467" t="s">
        <v>329</v>
      </c>
      <c r="J467" t="s">
        <v>54</v>
      </c>
      <c r="K467" t="s">
        <v>55</v>
      </c>
      <c r="L467" t="s">
        <v>480</v>
      </c>
      <c r="M467" t="s">
        <v>31</v>
      </c>
      <c r="N467" t="s">
        <v>37</v>
      </c>
      <c r="O467" t="s">
        <v>481</v>
      </c>
      <c r="P467">
        <v>1212.96</v>
      </c>
      <c r="Q467">
        <v>7</v>
      </c>
      <c r="R467">
        <v>0.2</v>
      </c>
      <c r="S467">
        <v>90.971999999999994</v>
      </c>
      <c r="T467" t="s">
        <v>34</v>
      </c>
      <c r="U467" t="s">
        <v>60</v>
      </c>
    </row>
    <row r="468" spans="1:21" x14ac:dyDescent="0.25">
      <c r="A468" t="s">
        <v>1791</v>
      </c>
      <c r="B468" s="1">
        <v>42772</v>
      </c>
      <c r="C468" s="1">
        <v>42775</v>
      </c>
      <c r="D468" t="s">
        <v>88</v>
      </c>
      <c r="E468" t="s">
        <v>1792</v>
      </c>
      <c r="F468" t="s">
        <v>1793</v>
      </c>
      <c r="G468" t="s">
        <v>25</v>
      </c>
      <c r="H468" t="s">
        <v>26</v>
      </c>
      <c r="I468" t="s">
        <v>690</v>
      </c>
      <c r="J468" t="s">
        <v>717</v>
      </c>
      <c r="K468" t="s">
        <v>29</v>
      </c>
      <c r="L468" t="s">
        <v>711</v>
      </c>
      <c r="M468" t="s">
        <v>31</v>
      </c>
      <c r="N468" t="s">
        <v>32</v>
      </c>
      <c r="O468" t="s">
        <v>712</v>
      </c>
      <c r="P468">
        <v>359.97</v>
      </c>
      <c r="Q468">
        <v>3</v>
      </c>
      <c r="R468">
        <v>0</v>
      </c>
      <c r="S468">
        <v>79.193399999999997</v>
      </c>
      <c r="T468" t="s">
        <v>34</v>
      </c>
      <c r="U468" t="s">
        <v>298</v>
      </c>
    </row>
    <row r="469" spans="1:21" x14ac:dyDescent="0.25">
      <c r="A469" t="s">
        <v>1794</v>
      </c>
      <c r="B469" s="1">
        <v>42069</v>
      </c>
      <c r="C469" s="1">
        <v>42074</v>
      </c>
      <c r="D469" t="s">
        <v>40</v>
      </c>
      <c r="E469" t="s">
        <v>1795</v>
      </c>
      <c r="F469" t="s">
        <v>1796</v>
      </c>
      <c r="G469" t="s">
        <v>25</v>
      </c>
      <c r="H469" t="s">
        <v>26</v>
      </c>
      <c r="I469" t="s">
        <v>329</v>
      </c>
      <c r="J469" t="s">
        <v>54</v>
      </c>
      <c r="K469" t="s">
        <v>55</v>
      </c>
      <c r="L469" t="s">
        <v>1797</v>
      </c>
      <c r="M469" t="s">
        <v>31</v>
      </c>
      <c r="N469" t="s">
        <v>57</v>
      </c>
      <c r="O469" t="s">
        <v>1798</v>
      </c>
      <c r="P469">
        <v>435.26</v>
      </c>
      <c r="Q469">
        <v>7</v>
      </c>
      <c r="R469">
        <v>0</v>
      </c>
      <c r="S469">
        <v>95.757199999999997</v>
      </c>
      <c r="T469" t="s">
        <v>59</v>
      </c>
      <c r="U469" t="s">
        <v>196</v>
      </c>
    </row>
    <row r="470" spans="1:21" x14ac:dyDescent="0.25">
      <c r="A470" t="s">
        <v>1799</v>
      </c>
      <c r="B470" s="1">
        <v>41915</v>
      </c>
      <c r="C470" s="1">
        <v>41920</v>
      </c>
      <c r="D470" t="s">
        <v>22</v>
      </c>
      <c r="E470" t="s">
        <v>433</v>
      </c>
      <c r="F470" t="s">
        <v>434</v>
      </c>
      <c r="G470" t="s">
        <v>91</v>
      </c>
      <c r="H470" t="s">
        <v>26</v>
      </c>
      <c r="I470" t="s">
        <v>53</v>
      </c>
      <c r="J470" t="s">
        <v>54</v>
      </c>
      <c r="K470" t="s">
        <v>55</v>
      </c>
      <c r="L470" t="s">
        <v>1800</v>
      </c>
      <c r="M470" t="s">
        <v>31</v>
      </c>
      <c r="N470" t="s">
        <v>46</v>
      </c>
      <c r="O470" t="s">
        <v>1801</v>
      </c>
      <c r="P470">
        <v>143.43199999999999</v>
      </c>
      <c r="Q470">
        <v>1</v>
      </c>
      <c r="R470">
        <v>0.2</v>
      </c>
      <c r="S470">
        <v>3.5857999999999999</v>
      </c>
      <c r="T470" t="s">
        <v>59</v>
      </c>
      <c r="U470" t="s">
        <v>49</v>
      </c>
    </row>
    <row r="471" spans="1:21" x14ac:dyDescent="0.25">
      <c r="A471" t="s">
        <v>1799</v>
      </c>
      <c r="B471" s="1">
        <v>41915</v>
      </c>
      <c r="C471" s="1">
        <v>41920</v>
      </c>
      <c r="D471" t="s">
        <v>22</v>
      </c>
      <c r="E471" t="s">
        <v>433</v>
      </c>
      <c r="F471" t="s">
        <v>434</v>
      </c>
      <c r="G471" t="s">
        <v>91</v>
      </c>
      <c r="H471" t="s">
        <v>26</v>
      </c>
      <c r="I471" t="s">
        <v>53</v>
      </c>
      <c r="J471" t="s">
        <v>54</v>
      </c>
      <c r="K471" t="s">
        <v>55</v>
      </c>
      <c r="L471" t="s">
        <v>69</v>
      </c>
      <c r="M471" t="s">
        <v>31</v>
      </c>
      <c r="N471" t="s">
        <v>37</v>
      </c>
      <c r="O471" t="s">
        <v>70</v>
      </c>
      <c r="P471">
        <v>122.352</v>
      </c>
      <c r="Q471">
        <v>3</v>
      </c>
      <c r="R471">
        <v>0.2</v>
      </c>
      <c r="S471">
        <v>13.7646</v>
      </c>
      <c r="T471" t="s">
        <v>59</v>
      </c>
      <c r="U471" t="s">
        <v>49</v>
      </c>
    </row>
    <row r="472" spans="1:21" x14ac:dyDescent="0.25">
      <c r="A472" t="s">
        <v>1802</v>
      </c>
      <c r="B472" s="1">
        <v>41817</v>
      </c>
      <c r="C472" s="1">
        <v>41821</v>
      </c>
      <c r="D472" t="s">
        <v>40</v>
      </c>
      <c r="E472" t="s">
        <v>1803</v>
      </c>
      <c r="F472" t="s">
        <v>1804</v>
      </c>
      <c r="G472" t="s">
        <v>25</v>
      </c>
      <c r="H472" t="s">
        <v>26</v>
      </c>
      <c r="I472" t="s">
        <v>1805</v>
      </c>
      <c r="J472" t="s">
        <v>479</v>
      </c>
      <c r="K472" t="s">
        <v>29</v>
      </c>
      <c r="L472" t="s">
        <v>1260</v>
      </c>
      <c r="M472" t="s">
        <v>31</v>
      </c>
      <c r="N472" t="s">
        <v>46</v>
      </c>
      <c r="O472" t="s">
        <v>1064</v>
      </c>
      <c r="P472">
        <v>85.98</v>
      </c>
      <c r="Q472">
        <v>1</v>
      </c>
      <c r="R472">
        <v>0</v>
      </c>
      <c r="S472">
        <v>22.354800000000001</v>
      </c>
      <c r="T472" t="s">
        <v>84</v>
      </c>
      <c r="U472" t="s">
        <v>60</v>
      </c>
    </row>
    <row r="473" spans="1:21" x14ac:dyDescent="0.25">
      <c r="A473" t="s">
        <v>1806</v>
      </c>
      <c r="B473" s="1">
        <v>43038</v>
      </c>
      <c r="C473" s="1">
        <v>43041</v>
      </c>
      <c r="D473" t="s">
        <v>88</v>
      </c>
      <c r="E473" t="s">
        <v>1807</v>
      </c>
      <c r="F473" t="s">
        <v>1808</v>
      </c>
      <c r="G473" t="s">
        <v>25</v>
      </c>
      <c r="H473" t="s">
        <v>26</v>
      </c>
      <c r="I473" t="s">
        <v>192</v>
      </c>
      <c r="J473" t="s">
        <v>193</v>
      </c>
      <c r="K473" t="s">
        <v>55</v>
      </c>
      <c r="L473" t="s">
        <v>1657</v>
      </c>
      <c r="M473" t="s">
        <v>31</v>
      </c>
      <c r="N473" t="s">
        <v>37</v>
      </c>
      <c r="O473" t="s">
        <v>1658</v>
      </c>
      <c r="P473">
        <v>97.567999999999998</v>
      </c>
      <c r="Q473">
        <v>2</v>
      </c>
      <c r="R473">
        <v>0.2</v>
      </c>
      <c r="S473">
        <v>-6.0979999999999999</v>
      </c>
      <c r="T473" t="s">
        <v>34</v>
      </c>
      <c r="U473" t="s">
        <v>49</v>
      </c>
    </row>
    <row r="474" spans="1:21" x14ac:dyDescent="0.25">
      <c r="A474" t="s">
        <v>1806</v>
      </c>
      <c r="B474" s="1">
        <v>43038</v>
      </c>
      <c r="C474" s="1">
        <v>43041</v>
      </c>
      <c r="D474" t="s">
        <v>88</v>
      </c>
      <c r="E474" t="s">
        <v>1807</v>
      </c>
      <c r="F474" t="s">
        <v>1808</v>
      </c>
      <c r="G474" t="s">
        <v>25</v>
      </c>
      <c r="H474" t="s">
        <v>26</v>
      </c>
      <c r="I474" t="s">
        <v>192</v>
      </c>
      <c r="J474" t="s">
        <v>193</v>
      </c>
      <c r="K474" t="s">
        <v>55</v>
      </c>
      <c r="L474" t="s">
        <v>1280</v>
      </c>
      <c r="M474" t="s">
        <v>31</v>
      </c>
      <c r="N474" t="s">
        <v>37</v>
      </c>
      <c r="O474" t="s">
        <v>1281</v>
      </c>
      <c r="P474">
        <v>614.27200000000005</v>
      </c>
      <c r="Q474">
        <v>8</v>
      </c>
      <c r="R474">
        <v>0.2</v>
      </c>
      <c r="S474">
        <v>-23.0352</v>
      </c>
      <c r="T474" t="s">
        <v>34</v>
      </c>
      <c r="U474" t="s">
        <v>49</v>
      </c>
    </row>
    <row r="475" spans="1:21" x14ac:dyDescent="0.25">
      <c r="A475" t="s">
        <v>1806</v>
      </c>
      <c r="B475" s="1">
        <v>43038</v>
      </c>
      <c r="C475" s="1">
        <v>43041</v>
      </c>
      <c r="D475" t="s">
        <v>88</v>
      </c>
      <c r="E475" t="s">
        <v>1807</v>
      </c>
      <c r="F475" t="s">
        <v>1808</v>
      </c>
      <c r="G475" t="s">
        <v>25</v>
      </c>
      <c r="H475" t="s">
        <v>26</v>
      </c>
      <c r="I475" t="s">
        <v>192</v>
      </c>
      <c r="J475" t="s">
        <v>193</v>
      </c>
      <c r="K475" t="s">
        <v>55</v>
      </c>
      <c r="L475" t="s">
        <v>1137</v>
      </c>
      <c r="M475" t="s">
        <v>31</v>
      </c>
      <c r="N475" t="s">
        <v>32</v>
      </c>
      <c r="O475" t="s">
        <v>1138</v>
      </c>
      <c r="P475">
        <v>199.98</v>
      </c>
      <c r="Q475">
        <v>2</v>
      </c>
      <c r="R475">
        <v>0</v>
      </c>
      <c r="S475">
        <v>37.996200000000002</v>
      </c>
      <c r="T475" t="s">
        <v>34</v>
      </c>
      <c r="U475" t="s">
        <v>49</v>
      </c>
    </row>
    <row r="476" spans="1:21" x14ac:dyDescent="0.25">
      <c r="A476" t="s">
        <v>1809</v>
      </c>
      <c r="B476" s="1">
        <v>42743</v>
      </c>
      <c r="C476" s="1">
        <v>42746</v>
      </c>
      <c r="D476" t="s">
        <v>88</v>
      </c>
      <c r="E476" t="s">
        <v>1810</v>
      </c>
      <c r="F476" t="s">
        <v>1811</v>
      </c>
      <c r="G476" t="s">
        <v>91</v>
      </c>
      <c r="H476" t="s">
        <v>26</v>
      </c>
      <c r="I476" t="s">
        <v>192</v>
      </c>
      <c r="J476" t="s">
        <v>193</v>
      </c>
      <c r="K476" t="s">
        <v>55</v>
      </c>
      <c r="L476" t="s">
        <v>1812</v>
      </c>
      <c r="M476" t="s">
        <v>31</v>
      </c>
      <c r="N476" t="s">
        <v>46</v>
      </c>
      <c r="O476" t="s">
        <v>1813</v>
      </c>
      <c r="P476">
        <v>892.98</v>
      </c>
      <c r="Q476">
        <v>2</v>
      </c>
      <c r="R476">
        <v>0</v>
      </c>
      <c r="S476">
        <v>80.368200000000002</v>
      </c>
      <c r="T476" t="s">
        <v>34</v>
      </c>
      <c r="U476" t="s">
        <v>170</v>
      </c>
    </row>
    <row r="477" spans="1:21" x14ac:dyDescent="0.25">
      <c r="A477" t="s">
        <v>1814</v>
      </c>
      <c r="B477" s="1">
        <v>42114</v>
      </c>
      <c r="C477" s="1">
        <v>42119</v>
      </c>
      <c r="D477" t="s">
        <v>40</v>
      </c>
      <c r="E477" t="s">
        <v>1727</v>
      </c>
      <c r="F477" t="s">
        <v>1728</v>
      </c>
      <c r="G477" t="s">
        <v>91</v>
      </c>
      <c r="H477" t="s">
        <v>26</v>
      </c>
      <c r="I477" t="s">
        <v>348</v>
      </c>
      <c r="J477" t="s">
        <v>668</v>
      </c>
      <c r="K477" t="s">
        <v>29</v>
      </c>
      <c r="L477" t="s">
        <v>1401</v>
      </c>
      <c r="M477" t="s">
        <v>31</v>
      </c>
      <c r="N477" t="s">
        <v>57</v>
      </c>
      <c r="O477" t="s">
        <v>1402</v>
      </c>
      <c r="P477">
        <v>595.38</v>
      </c>
      <c r="Q477">
        <v>6</v>
      </c>
      <c r="R477">
        <v>0</v>
      </c>
      <c r="S477">
        <v>297.69</v>
      </c>
      <c r="T477" t="s">
        <v>59</v>
      </c>
      <c r="U477" t="s">
        <v>114</v>
      </c>
    </row>
    <row r="478" spans="1:21" x14ac:dyDescent="0.25">
      <c r="A478" t="s">
        <v>1815</v>
      </c>
      <c r="B478" s="1">
        <v>43092</v>
      </c>
      <c r="C478" s="1">
        <v>43096</v>
      </c>
      <c r="D478" t="s">
        <v>40</v>
      </c>
      <c r="E478" t="s">
        <v>1460</v>
      </c>
      <c r="F478" t="s">
        <v>1461</v>
      </c>
      <c r="G478" t="s">
        <v>91</v>
      </c>
      <c r="H478" t="s">
        <v>26</v>
      </c>
      <c r="I478" t="s">
        <v>1290</v>
      </c>
      <c r="J478" t="s">
        <v>430</v>
      </c>
      <c r="K478" t="s">
        <v>68</v>
      </c>
      <c r="L478" t="s">
        <v>145</v>
      </c>
      <c r="M478" t="s">
        <v>31</v>
      </c>
      <c r="N478" t="s">
        <v>57</v>
      </c>
      <c r="O478" t="s">
        <v>146</v>
      </c>
      <c r="P478">
        <v>181.95</v>
      </c>
      <c r="Q478">
        <v>3</v>
      </c>
      <c r="R478">
        <v>0</v>
      </c>
      <c r="S478">
        <v>38.209499999999998</v>
      </c>
      <c r="T478" t="s">
        <v>84</v>
      </c>
      <c r="U478" t="s">
        <v>97</v>
      </c>
    </row>
    <row r="479" spans="1:21" x14ac:dyDescent="0.25">
      <c r="A479" t="s">
        <v>1816</v>
      </c>
      <c r="B479" s="1">
        <v>42309</v>
      </c>
      <c r="C479" s="1">
        <v>42313</v>
      </c>
      <c r="D479" t="s">
        <v>40</v>
      </c>
      <c r="E479" t="s">
        <v>294</v>
      </c>
      <c r="F479" t="s">
        <v>295</v>
      </c>
      <c r="G479" t="s">
        <v>25</v>
      </c>
      <c r="H479" t="s">
        <v>26</v>
      </c>
      <c r="I479" t="s">
        <v>174</v>
      </c>
      <c r="J479" t="s">
        <v>121</v>
      </c>
      <c r="K479" t="s">
        <v>68</v>
      </c>
      <c r="L479" t="s">
        <v>880</v>
      </c>
      <c r="M479" t="s">
        <v>31</v>
      </c>
      <c r="N479" t="s">
        <v>57</v>
      </c>
      <c r="O479" t="s">
        <v>881</v>
      </c>
      <c r="P479">
        <v>259.7</v>
      </c>
      <c r="Q479">
        <v>5</v>
      </c>
      <c r="R479">
        <v>0</v>
      </c>
      <c r="S479">
        <v>106.477</v>
      </c>
      <c r="T479" t="s">
        <v>84</v>
      </c>
      <c r="U479" t="s">
        <v>35</v>
      </c>
    </row>
    <row r="480" spans="1:21" x14ac:dyDescent="0.25">
      <c r="A480" t="s">
        <v>1817</v>
      </c>
      <c r="B480" s="1">
        <v>42995</v>
      </c>
      <c r="C480" s="1">
        <v>43000</v>
      </c>
      <c r="D480" t="s">
        <v>22</v>
      </c>
      <c r="E480" t="s">
        <v>660</v>
      </c>
      <c r="F480" t="s">
        <v>661</v>
      </c>
      <c r="G480" t="s">
        <v>101</v>
      </c>
      <c r="H480" t="s">
        <v>26</v>
      </c>
      <c r="I480" t="s">
        <v>1818</v>
      </c>
      <c r="J480" t="s">
        <v>668</v>
      </c>
      <c r="K480" t="s">
        <v>29</v>
      </c>
      <c r="L480" t="s">
        <v>421</v>
      </c>
      <c r="M480" t="s">
        <v>31</v>
      </c>
      <c r="N480" t="s">
        <v>37</v>
      </c>
      <c r="O480" t="s">
        <v>422</v>
      </c>
      <c r="P480">
        <v>723.92</v>
      </c>
      <c r="Q480">
        <v>4</v>
      </c>
      <c r="R480">
        <v>0</v>
      </c>
      <c r="S480">
        <v>188.2192</v>
      </c>
      <c r="T480" t="s">
        <v>59</v>
      </c>
      <c r="U480" t="s">
        <v>78</v>
      </c>
    </row>
    <row r="481" spans="1:21" x14ac:dyDescent="0.25">
      <c r="A481" t="s">
        <v>1819</v>
      </c>
      <c r="B481" s="1">
        <v>42727</v>
      </c>
      <c r="C481" s="1">
        <v>42728</v>
      </c>
      <c r="D481" t="s">
        <v>88</v>
      </c>
      <c r="E481" t="s">
        <v>377</v>
      </c>
      <c r="F481" t="s">
        <v>378</v>
      </c>
      <c r="G481" t="s">
        <v>91</v>
      </c>
      <c r="H481" t="s">
        <v>26</v>
      </c>
      <c r="I481" t="s">
        <v>134</v>
      </c>
      <c r="J481" t="s">
        <v>135</v>
      </c>
      <c r="K481" t="s">
        <v>94</v>
      </c>
      <c r="L481" t="s">
        <v>899</v>
      </c>
      <c r="M481" t="s">
        <v>31</v>
      </c>
      <c r="N481" t="s">
        <v>32</v>
      </c>
      <c r="O481" t="s">
        <v>900</v>
      </c>
      <c r="P481">
        <v>141.37200000000001</v>
      </c>
      <c r="Q481">
        <v>2</v>
      </c>
      <c r="R481">
        <v>0.3</v>
      </c>
      <c r="S481">
        <v>-14.1372</v>
      </c>
      <c r="T481" t="s">
        <v>124</v>
      </c>
      <c r="U481" t="s">
        <v>97</v>
      </c>
    </row>
    <row r="482" spans="1:21" x14ac:dyDescent="0.25">
      <c r="A482" t="s">
        <v>1820</v>
      </c>
      <c r="B482" s="1">
        <v>42897</v>
      </c>
      <c r="C482" s="1">
        <v>42898</v>
      </c>
      <c r="D482" t="s">
        <v>88</v>
      </c>
      <c r="E482" t="s">
        <v>1821</v>
      </c>
      <c r="F482" t="s">
        <v>1822</v>
      </c>
      <c r="G482" t="s">
        <v>101</v>
      </c>
      <c r="H482" t="s">
        <v>26</v>
      </c>
      <c r="I482" t="s">
        <v>1380</v>
      </c>
      <c r="J482" t="s">
        <v>521</v>
      </c>
      <c r="K482" t="s">
        <v>55</v>
      </c>
      <c r="L482" t="s">
        <v>852</v>
      </c>
      <c r="M482" t="s">
        <v>31</v>
      </c>
      <c r="N482" t="s">
        <v>37</v>
      </c>
      <c r="O482" t="s">
        <v>853</v>
      </c>
      <c r="P482">
        <v>280.79199999999997</v>
      </c>
      <c r="Q482">
        <v>1</v>
      </c>
      <c r="R482">
        <v>0.2</v>
      </c>
      <c r="S482">
        <v>35.098999999999997</v>
      </c>
      <c r="T482" t="s">
        <v>124</v>
      </c>
      <c r="U482" t="s">
        <v>60</v>
      </c>
    </row>
    <row r="483" spans="1:21" x14ac:dyDescent="0.25">
      <c r="A483" t="s">
        <v>1823</v>
      </c>
      <c r="B483" s="1">
        <v>42936</v>
      </c>
      <c r="C483" s="1">
        <v>42941</v>
      </c>
      <c r="D483" t="s">
        <v>40</v>
      </c>
      <c r="E483" t="s">
        <v>1824</v>
      </c>
      <c r="F483" t="s">
        <v>1825</v>
      </c>
      <c r="G483" t="s">
        <v>91</v>
      </c>
      <c r="H483" t="s">
        <v>26</v>
      </c>
      <c r="I483" t="s">
        <v>1826</v>
      </c>
      <c r="J483" t="s">
        <v>1827</v>
      </c>
      <c r="K483" t="s">
        <v>94</v>
      </c>
      <c r="L483" t="s">
        <v>1657</v>
      </c>
      <c r="M483" t="s">
        <v>31</v>
      </c>
      <c r="N483" t="s">
        <v>37</v>
      </c>
      <c r="O483" t="s">
        <v>1658</v>
      </c>
      <c r="P483">
        <v>182.94</v>
      </c>
      <c r="Q483">
        <v>3</v>
      </c>
      <c r="R483">
        <v>0</v>
      </c>
      <c r="S483">
        <v>27.440999999999999</v>
      </c>
      <c r="T483" t="s">
        <v>59</v>
      </c>
      <c r="U483" t="s">
        <v>72</v>
      </c>
    </row>
    <row r="484" spans="1:21" x14ac:dyDescent="0.25">
      <c r="A484" t="s">
        <v>1828</v>
      </c>
      <c r="B484" s="1">
        <v>42262</v>
      </c>
      <c r="C484" s="1">
        <v>42266</v>
      </c>
      <c r="D484" t="s">
        <v>22</v>
      </c>
      <c r="E484" t="s">
        <v>1829</v>
      </c>
      <c r="F484" t="s">
        <v>1830</v>
      </c>
      <c r="G484" t="s">
        <v>91</v>
      </c>
      <c r="H484" t="s">
        <v>26</v>
      </c>
      <c r="I484" t="s">
        <v>174</v>
      </c>
      <c r="J484" t="s">
        <v>121</v>
      </c>
      <c r="K484" t="s">
        <v>68</v>
      </c>
      <c r="L484" t="s">
        <v>349</v>
      </c>
      <c r="M484" t="s">
        <v>31</v>
      </c>
      <c r="N484" t="s">
        <v>32</v>
      </c>
      <c r="O484" t="s">
        <v>350</v>
      </c>
      <c r="P484">
        <v>46.384</v>
      </c>
      <c r="Q484">
        <v>1</v>
      </c>
      <c r="R484">
        <v>0.2</v>
      </c>
      <c r="S484">
        <v>1.1596</v>
      </c>
      <c r="T484" t="s">
        <v>84</v>
      </c>
      <c r="U484" t="s">
        <v>78</v>
      </c>
    </row>
    <row r="485" spans="1:21" x14ac:dyDescent="0.25">
      <c r="A485" t="s">
        <v>1831</v>
      </c>
      <c r="B485" s="1">
        <v>42363</v>
      </c>
      <c r="C485" s="1">
        <v>42367</v>
      </c>
      <c r="D485" t="s">
        <v>40</v>
      </c>
      <c r="E485" t="s">
        <v>676</v>
      </c>
      <c r="F485" t="s">
        <v>677</v>
      </c>
      <c r="G485" t="s">
        <v>91</v>
      </c>
      <c r="H485" t="s">
        <v>26</v>
      </c>
      <c r="I485" t="s">
        <v>66</v>
      </c>
      <c r="J485" t="s">
        <v>67</v>
      </c>
      <c r="K485" t="s">
        <v>68</v>
      </c>
      <c r="L485" t="s">
        <v>1832</v>
      </c>
      <c r="M485" t="s">
        <v>31</v>
      </c>
      <c r="N485" t="s">
        <v>57</v>
      </c>
      <c r="O485" t="s">
        <v>1833</v>
      </c>
      <c r="P485">
        <v>547.13599999999997</v>
      </c>
      <c r="Q485">
        <v>4</v>
      </c>
      <c r="R485">
        <v>0.2</v>
      </c>
      <c r="S485">
        <v>-68.391999999999996</v>
      </c>
      <c r="T485" t="s">
        <v>84</v>
      </c>
      <c r="U485" t="s">
        <v>97</v>
      </c>
    </row>
    <row r="486" spans="1:21" x14ac:dyDescent="0.25">
      <c r="A486" t="s">
        <v>1834</v>
      </c>
      <c r="B486" s="1">
        <v>42004</v>
      </c>
      <c r="C486" s="1">
        <v>42007</v>
      </c>
      <c r="D486" t="s">
        <v>88</v>
      </c>
      <c r="E486" t="s">
        <v>1253</v>
      </c>
      <c r="F486" t="s">
        <v>1254</v>
      </c>
      <c r="G486" t="s">
        <v>101</v>
      </c>
      <c r="H486" t="s">
        <v>26</v>
      </c>
      <c r="I486" t="s">
        <v>238</v>
      </c>
      <c r="J486" t="s">
        <v>435</v>
      </c>
      <c r="K486" t="s">
        <v>68</v>
      </c>
      <c r="L486" t="s">
        <v>1835</v>
      </c>
      <c r="M486" t="s">
        <v>31</v>
      </c>
      <c r="N486" t="s">
        <v>57</v>
      </c>
      <c r="O486" t="s">
        <v>1836</v>
      </c>
      <c r="P486">
        <v>63.2</v>
      </c>
      <c r="Q486">
        <v>5</v>
      </c>
      <c r="R486">
        <v>0</v>
      </c>
      <c r="S486">
        <v>23.384</v>
      </c>
      <c r="T486" t="s">
        <v>34</v>
      </c>
      <c r="U486" t="s">
        <v>97</v>
      </c>
    </row>
    <row r="487" spans="1:21" x14ac:dyDescent="0.25">
      <c r="A487" t="s">
        <v>1837</v>
      </c>
      <c r="B487" s="1">
        <v>42442</v>
      </c>
      <c r="C487" s="1">
        <v>42447</v>
      </c>
      <c r="D487" t="s">
        <v>40</v>
      </c>
      <c r="E487" t="s">
        <v>814</v>
      </c>
      <c r="F487" t="s">
        <v>815</v>
      </c>
      <c r="G487" t="s">
        <v>25</v>
      </c>
      <c r="H487" t="s">
        <v>26</v>
      </c>
      <c r="I487" t="s">
        <v>246</v>
      </c>
      <c r="J487" t="s">
        <v>93</v>
      </c>
      <c r="K487" t="s">
        <v>94</v>
      </c>
      <c r="L487" t="s">
        <v>1135</v>
      </c>
      <c r="M487" t="s">
        <v>31</v>
      </c>
      <c r="N487" t="s">
        <v>46</v>
      </c>
      <c r="O487" t="s">
        <v>1136</v>
      </c>
      <c r="P487">
        <v>557.58500000000004</v>
      </c>
      <c r="Q487">
        <v>5</v>
      </c>
      <c r="R487">
        <v>0.3</v>
      </c>
      <c r="S487">
        <v>0</v>
      </c>
      <c r="T487" t="s">
        <v>59</v>
      </c>
      <c r="U487" t="s">
        <v>196</v>
      </c>
    </row>
    <row r="488" spans="1:21" x14ac:dyDescent="0.25">
      <c r="A488" t="s">
        <v>1838</v>
      </c>
      <c r="B488" s="1">
        <v>42247</v>
      </c>
      <c r="C488" s="1">
        <v>42249</v>
      </c>
      <c r="D488" t="s">
        <v>88</v>
      </c>
      <c r="E488" t="s">
        <v>1839</v>
      </c>
      <c r="F488" t="s">
        <v>1840</v>
      </c>
      <c r="G488" t="s">
        <v>91</v>
      </c>
      <c r="H488" t="s">
        <v>26</v>
      </c>
      <c r="I488" t="s">
        <v>329</v>
      </c>
      <c r="J488" t="s">
        <v>54</v>
      </c>
      <c r="K488" t="s">
        <v>55</v>
      </c>
      <c r="L488" t="s">
        <v>103</v>
      </c>
      <c r="M488" t="s">
        <v>31</v>
      </c>
      <c r="N488" t="s">
        <v>32</v>
      </c>
      <c r="O488" t="s">
        <v>104</v>
      </c>
      <c r="P488">
        <v>1552.8309999999999</v>
      </c>
      <c r="Q488">
        <v>7</v>
      </c>
      <c r="R488">
        <v>0.15</v>
      </c>
      <c r="S488">
        <v>200.9546</v>
      </c>
      <c r="T488" t="s">
        <v>71</v>
      </c>
      <c r="U488" t="s">
        <v>254</v>
      </c>
    </row>
    <row r="489" spans="1:21" x14ac:dyDescent="0.25">
      <c r="A489" t="s">
        <v>1841</v>
      </c>
      <c r="B489" s="1">
        <v>41715</v>
      </c>
      <c r="C489" s="1">
        <v>41719</v>
      </c>
      <c r="D489" t="s">
        <v>40</v>
      </c>
      <c r="E489" t="s">
        <v>1842</v>
      </c>
      <c r="F489" t="s">
        <v>1843</v>
      </c>
      <c r="G489" t="s">
        <v>91</v>
      </c>
      <c r="H489" t="s">
        <v>26</v>
      </c>
      <c r="I489" t="s">
        <v>174</v>
      </c>
      <c r="J489" t="s">
        <v>121</v>
      </c>
      <c r="K489" t="s">
        <v>68</v>
      </c>
      <c r="L489" t="s">
        <v>307</v>
      </c>
      <c r="M489" t="s">
        <v>31</v>
      </c>
      <c r="N489" t="s">
        <v>46</v>
      </c>
      <c r="O489" t="s">
        <v>308</v>
      </c>
      <c r="P489">
        <v>1579.7460000000001</v>
      </c>
      <c r="Q489">
        <v>7</v>
      </c>
      <c r="R489">
        <v>0.4</v>
      </c>
      <c r="S489">
        <v>-447.59469999999999</v>
      </c>
      <c r="T489" t="s">
        <v>84</v>
      </c>
      <c r="U489" t="s">
        <v>196</v>
      </c>
    </row>
    <row r="490" spans="1:21" x14ac:dyDescent="0.25">
      <c r="A490" t="s">
        <v>1841</v>
      </c>
      <c r="B490" s="1">
        <v>41715</v>
      </c>
      <c r="C490" s="1">
        <v>41719</v>
      </c>
      <c r="D490" t="s">
        <v>40</v>
      </c>
      <c r="E490" t="s">
        <v>1842</v>
      </c>
      <c r="F490" t="s">
        <v>1843</v>
      </c>
      <c r="G490" t="s">
        <v>91</v>
      </c>
      <c r="H490" t="s">
        <v>26</v>
      </c>
      <c r="I490" t="s">
        <v>174</v>
      </c>
      <c r="J490" t="s">
        <v>121</v>
      </c>
      <c r="K490" t="s">
        <v>68</v>
      </c>
      <c r="L490" t="s">
        <v>1812</v>
      </c>
      <c r="M490" t="s">
        <v>31</v>
      </c>
      <c r="N490" t="s">
        <v>46</v>
      </c>
      <c r="O490" t="s">
        <v>1813</v>
      </c>
      <c r="P490">
        <v>1071.576</v>
      </c>
      <c r="Q490">
        <v>4</v>
      </c>
      <c r="R490">
        <v>0.4</v>
      </c>
      <c r="S490">
        <v>-553.64760000000001</v>
      </c>
      <c r="T490" t="s">
        <v>84</v>
      </c>
      <c r="U490" t="s">
        <v>196</v>
      </c>
    </row>
    <row r="491" spans="1:21" x14ac:dyDescent="0.25">
      <c r="A491" t="s">
        <v>1841</v>
      </c>
      <c r="B491" s="1">
        <v>41715</v>
      </c>
      <c r="C491" s="1">
        <v>41719</v>
      </c>
      <c r="D491" t="s">
        <v>40</v>
      </c>
      <c r="E491" t="s">
        <v>1842</v>
      </c>
      <c r="F491" t="s">
        <v>1843</v>
      </c>
      <c r="G491" t="s">
        <v>91</v>
      </c>
      <c r="H491" t="s">
        <v>26</v>
      </c>
      <c r="I491" t="s">
        <v>174</v>
      </c>
      <c r="J491" t="s">
        <v>121</v>
      </c>
      <c r="K491" t="s">
        <v>68</v>
      </c>
      <c r="L491" t="s">
        <v>1562</v>
      </c>
      <c r="M491" t="s">
        <v>31</v>
      </c>
      <c r="N491" t="s">
        <v>46</v>
      </c>
      <c r="O491" t="s">
        <v>1563</v>
      </c>
      <c r="P491">
        <v>613.90800000000002</v>
      </c>
      <c r="Q491">
        <v>3</v>
      </c>
      <c r="R491">
        <v>0.4</v>
      </c>
      <c r="S491">
        <v>-122.7816</v>
      </c>
      <c r="T491" t="s">
        <v>84</v>
      </c>
      <c r="U491" t="s">
        <v>196</v>
      </c>
    </row>
    <row r="492" spans="1:21" x14ac:dyDescent="0.25">
      <c r="A492" t="s">
        <v>1844</v>
      </c>
      <c r="B492" s="1">
        <v>42442</v>
      </c>
      <c r="C492" s="1">
        <v>42447</v>
      </c>
      <c r="D492" t="s">
        <v>40</v>
      </c>
      <c r="E492" t="s">
        <v>1845</v>
      </c>
      <c r="F492" t="s">
        <v>1846</v>
      </c>
      <c r="G492" t="s">
        <v>101</v>
      </c>
      <c r="H492" t="s">
        <v>26</v>
      </c>
      <c r="I492" t="s">
        <v>716</v>
      </c>
      <c r="J492" t="s">
        <v>717</v>
      </c>
      <c r="K492" t="s">
        <v>29</v>
      </c>
      <c r="L492" t="s">
        <v>552</v>
      </c>
      <c r="M492" t="s">
        <v>31</v>
      </c>
      <c r="N492" t="s">
        <v>57</v>
      </c>
      <c r="O492" t="s">
        <v>553</v>
      </c>
      <c r="P492">
        <v>127.88</v>
      </c>
      <c r="Q492">
        <v>2</v>
      </c>
      <c r="R492">
        <v>0</v>
      </c>
      <c r="S492">
        <v>40.921599999999998</v>
      </c>
      <c r="T492" t="s">
        <v>59</v>
      </c>
      <c r="U492" t="s">
        <v>196</v>
      </c>
    </row>
    <row r="493" spans="1:21" x14ac:dyDescent="0.25">
      <c r="A493" t="s">
        <v>1847</v>
      </c>
      <c r="B493" s="1">
        <v>41967</v>
      </c>
      <c r="C493" s="1">
        <v>41969</v>
      </c>
      <c r="D493" t="s">
        <v>22</v>
      </c>
      <c r="E493" t="s">
        <v>1848</v>
      </c>
      <c r="F493" t="s">
        <v>1849</v>
      </c>
      <c r="G493" t="s">
        <v>25</v>
      </c>
      <c r="H493" t="s">
        <v>26</v>
      </c>
      <c r="I493" t="s">
        <v>1850</v>
      </c>
      <c r="J493" t="s">
        <v>54</v>
      </c>
      <c r="K493" t="s">
        <v>55</v>
      </c>
      <c r="L493" t="s">
        <v>1851</v>
      </c>
      <c r="M493" t="s">
        <v>31</v>
      </c>
      <c r="N493" t="s">
        <v>37</v>
      </c>
      <c r="O493" t="s">
        <v>1852</v>
      </c>
      <c r="P493">
        <v>120.712</v>
      </c>
      <c r="Q493">
        <v>1</v>
      </c>
      <c r="R493">
        <v>0.2</v>
      </c>
      <c r="S493">
        <v>-18.1068</v>
      </c>
      <c r="T493" t="s">
        <v>71</v>
      </c>
      <c r="U493" t="s">
        <v>35</v>
      </c>
    </row>
    <row r="494" spans="1:21" x14ac:dyDescent="0.25">
      <c r="A494" t="s">
        <v>1853</v>
      </c>
      <c r="B494" s="1">
        <v>42636</v>
      </c>
      <c r="C494" s="1">
        <v>42640</v>
      </c>
      <c r="D494" t="s">
        <v>40</v>
      </c>
      <c r="E494" t="s">
        <v>352</v>
      </c>
      <c r="F494" t="s">
        <v>353</v>
      </c>
      <c r="G494" t="s">
        <v>91</v>
      </c>
      <c r="H494" t="s">
        <v>26</v>
      </c>
      <c r="I494" t="s">
        <v>1581</v>
      </c>
      <c r="J494" t="s">
        <v>232</v>
      </c>
      <c r="K494" t="s">
        <v>68</v>
      </c>
      <c r="L494" t="s">
        <v>1854</v>
      </c>
      <c r="M494" t="s">
        <v>31</v>
      </c>
      <c r="N494" t="s">
        <v>57</v>
      </c>
      <c r="O494" t="s">
        <v>1855</v>
      </c>
      <c r="P494">
        <v>532.70399999999995</v>
      </c>
      <c r="Q494">
        <v>6</v>
      </c>
      <c r="R494">
        <v>0.2</v>
      </c>
      <c r="S494">
        <v>-26.635200000000001</v>
      </c>
      <c r="T494" t="s">
        <v>84</v>
      </c>
      <c r="U494" t="s">
        <v>78</v>
      </c>
    </row>
    <row r="495" spans="1:21" x14ac:dyDescent="0.25">
      <c r="A495" t="s">
        <v>1856</v>
      </c>
      <c r="B495" s="1">
        <v>42558</v>
      </c>
      <c r="C495" s="1">
        <v>42562</v>
      </c>
      <c r="D495" t="s">
        <v>22</v>
      </c>
      <c r="E495" t="s">
        <v>1857</v>
      </c>
      <c r="F495" t="s">
        <v>1858</v>
      </c>
      <c r="G495" t="s">
        <v>91</v>
      </c>
      <c r="H495" t="s">
        <v>26</v>
      </c>
      <c r="I495" t="s">
        <v>180</v>
      </c>
      <c r="J495" t="s">
        <v>135</v>
      </c>
      <c r="K495" t="s">
        <v>94</v>
      </c>
      <c r="L495" t="s">
        <v>1543</v>
      </c>
      <c r="M495" t="s">
        <v>31</v>
      </c>
      <c r="N495" t="s">
        <v>57</v>
      </c>
      <c r="O495" t="s">
        <v>1544</v>
      </c>
      <c r="P495">
        <v>60.287999999999997</v>
      </c>
      <c r="Q495">
        <v>8</v>
      </c>
      <c r="R495">
        <v>0.6</v>
      </c>
      <c r="S495">
        <v>-27.1296</v>
      </c>
      <c r="T495" t="s">
        <v>84</v>
      </c>
      <c r="U495" t="s">
        <v>72</v>
      </c>
    </row>
    <row r="496" spans="1:21" x14ac:dyDescent="0.25">
      <c r="A496" t="s">
        <v>1856</v>
      </c>
      <c r="B496" s="1">
        <v>42558</v>
      </c>
      <c r="C496" s="1">
        <v>42562</v>
      </c>
      <c r="D496" t="s">
        <v>22</v>
      </c>
      <c r="E496" t="s">
        <v>1857</v>
      </c>
      <c r="F496" t="s">
        <v>1858</v>
      </c>
      <c r="G496" t="s">
        <v>91</v>
      </c>
      <c r="H496" t="s">
        <v>26</v>
      </c>
      <c r="I496" t="s">
        <v>180</v>
      </c>
      <c r="J496" t="s">
        <v>135</v>
      </c>
      <c r="K496" t="s">
        <v>94</v>
      </c>
      <c r="L496" t="s">
        <v>421</v>
      </c>
      <c r="M496" t="s">
        <v>31</v>
      </c>
      <c r="N496" t="s">
        <v>37</v>
      </c>
      <c r="O496" t="s">
        <v>422</v>
      </c>
      <c r="P496">
        <v>253.37200000000001</v>
      </c>
      <c r="Q496">
        <v>2</v>
      </c>
      <c r="R496">
        <v>0.3</v>
      </c>
      <c r="S496">
        <v>-14.478400000000001</v>
      </c>
      <c r="T496" t="s">
        <v>84</v>
      </c>
      <c r="U496" t="s">
        <v>72</v>
      </c>
    </row>
    <row r="497" spans="1:21" x14ac:dyDescent="0.25">
      <c r="A497" t="s">
        <v>1859</v>
      </c>
      <c r="B497" s="1">
        <v>42496</v>
      </c>
      <c r="C497" s="1">
        <v>42500</v>
      </c>
      <c r="D497" t="s">
        <v>40</v>
      </c>
      <c r="E497" t="s">
        <v>1860</v>
      </c>
      <c r="F497" t="s">
        <v>1861</v>
      </c>
      <c r="G497" t="s">
        <v>101</v>
      </c>
      <c r="H497" t="s">
        <v>26</v>
      </c>
      <c r="I497" t="s">
        <v>870</v>
      </c>
      <c r="J497" t="s">
        <v>232</v>
      </c>
      <c r="K497" t="s">
        <v>68</v>
      </c>
      <c r="L497" t="s">
        <v>85</v>
      </c>
      <c r="M497" t="s">
        <v>31</v>
      </c>
      <c r="N497" t="s">
        <v>57</v>
      </c>
      <c r="O497" t="s">
        <v>1862</v>
      </c>
      <c r="P497">
        <v>54.712000000000003</v>
      </c>
      <c r="Q497">
        <v>7</v>
      </c>
      <c r="R497">
        <v>0.2</v>
      </c>
      <c r="S497">
        <v>11.626300000000001</v>
      </c>
      <c r="T497" t="s">
        <v>84</v>
      </c>
      <c r="U497" t="s">
        <v>162</v>
      </c>
    </row>
    <row r="498" spans="1:21" x14ac:dyDescent="0.25">
      <c r="A498" t="s">
        <v>1863</v>
      </c>
      <c r="B498" s="1">
        <v>42344</v>
      </c>
      <c r="C498" s="1">
        <v>42348</v>
      </c>
      <c r="D498" t="s">
        <v>40</v>
      </c>
      <c r="E498" t="s">
        <v>1864</v>
      </c>
      <c r="F498" t="s">
        <v>1865</v>
      </c>
      <c r="G498" t="s">
        <v>25</v>
      </c>
      <c r="H498" t="s">
        <v>26</v>
      </c>
      <c r="I498" t="s">
        <v>174</v>
      </c>
      <c r="J498" t="s">
        <v>121</v>
      </c>
      <c r="K498" t="s">
        <v>68</v>
      </c>
      <c r="L498" t="s">
        <v>1519</v>
      </c>
      <c r="M498" t="s">
        <v>31</v>
      </c>
      <c r="N498" t="s">
        <v>57</v>
      </c>
      <c r="O498" t="s">
        <v>1520</v>
      </c>
      <c r="P498">
        <v>113.92</v>
      </c>
      <c r="Q498">
        <v>4</v>
      </c>
      <c r="R498">
        <v>0</v>
      </c>
      <c r="S498">
        <v>42.150399999999998</v>
      </c>
      <c r="T498" t="s">
        <v>84</v>
      </c>
      <c r="U498" t="s">
        <v>97</v>
      </c>
    </row>
    <row r="499" spans="1:21" x14ac:dyDescent="0.25">
      <c r="A499" t="s">
        <v>1866</v>
      </c>
      <c r="B499" s="1">
        <v>42640</v>
      </c>
      <c r="C499" s="1">
        <v>42646</v>
      </c>
      <c r="D499" t="s">
        <v>40</v>
      </c>
      <c r="E499" t="s">
        <v>1867</v>
      </c>
      <c r="F499" t="s">
        <v>1868</v>
      </c>
      <c r="G499" t="s">
        <v>91</v>
      </c>
      <c r="H499" t="s">
        <v>26</v>
      </c>
      <c r="I499" t="s">
        <v>1869</v>
      </c>
      <c r="J499" t="s">
        <v>93</v>
      </c>
      <c r="K499" t="s">
        <v>94</v>
      </c>
      <c r="L499" t="s">
        <v>1870</v>
      </c>
      <c r="M499" t="s">
        <v>31</v>
      </c>
      <c r="N499" t="s">
        <v>32</v>
      </c>
      <c r="O499" t="s">
        <v>1871</v>
      </c>
      <c r="P499">
        <v>956.66480000000001</v>
      </c>
      <c r="Q499">
        <v>7</v>
      </c>
      <c r="R499">
        <v>0.32</v>
      </c>
      <c r="S499">
        <v>-225.0976</v>
      </c>
      <c r="T499" t="s">
        <v>130</v>
      </c>
      <c r="U499" t="s">
        <v>78</v>
      </c>
    </row>
    <row r="500" spans="1:21" x14ac:dyDescent="0.25">
      <c r="A500" t="s">
        <v>1872</v>
      </c>
      <c r="B500" s="1">
        <v>42817</v>
      </c>
      <c r="C500" s="1">
        <v>42819</v>
      </c>
      <c r="D500" t="s">
        <v>88</v>
      </c>
      <c r="E500" t="s">
        <v>1873</v>
      </c>
      <c r="F500" t="s">
        <v>1874</v>
      </c>
      <c r="G500" t="s">
        <v>101</v>
      </c>
      <c r="H500" t="s">
        <v>26</v>
      </c>
      <c r="I500" t="s">
        <v>329</v>
      </c>
      <c r="J500" t="s">
        <v>54</v>
      </c>
      <c r="K500" t="s">
        <v>55</v>
      </c>
      <c r="L500" t="s">
        <v>1422</v>
      </c>
      <c r="M500" t="s">
        <v>31</v>
      </c>
      <c r="N500" t="s">
        <v>57</v>
      </c>
      <c r="O500" t="s">
        <v>1423</v>
      </c>
      <c r="P500">
        <v>211.84</v>
      </c>
      <c r="Q500">
        <v>8</v>
      </c>
      <c r="R500">
        <v>0</v>
      </c>
      <c r="S500">
        <v>76.2624</v>
      </c>
      <c r="T500" t="s">
        <v>71</v>
      </c>
      <c r="U500" t="s">
        <v>196</v>
      </c>
    </row>
    <row r="501" spans="1:21" x14ac:dyDescent="0.25">
      <c r="A501" t="s">
        <v>1875</v>
      </c>
      <c r="B501" s="1">
        <v>41955</v>
      </c>
      <c r="C501" s="1">
        <v>41959</v>
      </c>
      <c r="D501" t="s">
        <v>40</v>
      </c>
      <c r="E501" t="s">
        <v>1876</v>
      </c>
      <c r="F501" t="s">
        <v>1877</v>
      </c>
      <c r="G501" t="s">
        <v>25</v>
      </c>
      <c r="H501" t="s">
        <v>26</v>
      </c>
      <c r="I501" t="s">
        <v>53</v>
      </c>
      <c r="J501" t="s">
        <v>54</v>
      </c>
      <c r="K501" t="s">
        <v>55</v>
      </c>
      <c r="L501" t="s">
        <v>916</v>
      </c>
      <c r="M501" t="s">
        <v>31</v>
      </c>
      <c r="N501" t="s">
        <v>46</v>
      </c>
      <c r="O501" t="s">
        <v>917</v>
      </c>
      <c r="P501">
        <v>629.06399999999996</v>
      </c>
      <c r="Q501">
        <v>3</v>
      </c>
      <c r="R501">
        <v>0.2</v>
      </c>
      <c r="S501">
        <v>31.453199999999999</v>
      </c>
      <c r="T501" t="s">
        <v>84</v>
      </c>
      <c r="U501" t="s">
        <v>35</v>
      </c>
    </row>
    <row r="502" spans="1:21" x14ac:dyDescent="0.25">
      <c r="A502" t="s">
        <v>1878</v>
      </c>
      <c r="B502" s="1">
        <v>42733</v>
      </c>
      <c r="C502" s="1">
        <v>42737</v>
      </c>
      <c r="D502" t="s">
        <v>40</v>
      </c>
      <c r="E502" t="s">
        <v>499</v>
      </c>
      <c r="F502" t="s">
        <v>500</v>
      </c>
      <c r="G502" t="s">
        <v>25</v>
      </c>
      <c r="H502" t="s">
        <v>26</v>
      </c>
      <c r="I502" t="s">
        <v>906</v>
      </c>
      <c r="J502" t="s">
        <v>239</v>
      </c>
      <c r="K502" t="s">
        <v>94</v>
      </c>
      <c r="L502" t="s">
        <v>1851</v>
      </c>
      <c r="M502" t="s">
        <v>31</v>
      </c>
      <c r="N502" t="s">
        <v>37</v>
      </c>
      <c r="O502" t="s">
        <v>1852</v>
      </c>
      <c r="P502">
        <v>754.45</v>
      </c>
      <c r="Q502">
        <v>5</v>
      </c>
      <c r="R502">
        <v>0</v>
      </c>
      <c r="S502">
        <v>60.356000000000002</v>
      </c>
      <c r="T502" t="s">
        <v>84</v>
      </c>
      <c r="U502" t="s">
        <v>97</v>
      </c>
    </row>
    <row r="503" spans="1:21" x14ac:dyDescent="0.25">
      <c r="A503" t="s">
        <v>1879</v>
      </c>
      <c r="B503" s="1">
        <v>42191</v>
      </c>
      <c r="C503" s="1">
        <v>42196</v>
      </c>
      <c r="D503" t="s">
        <v>40</v>
      </c>
      <c r="E503" t="s">
        <v>1241</v>
      </c>
      <c r="F503" t="s">
        <v>1242</v>
      </c>
      <c r="G503" t="s">
        <v>101</v>
      </c>
      <c r="H503" t="s">
        <v>26</v>
      </c>
      <c r="I503" t="s">
        <v>1880</v>
      </c>
      <c r="J503" t="s">
        <v>435</v>
      </c>
      <c r="K503" t="s">
        <v>68</v>
      </c>
      <c r="L503" t="s">
        <v>530</v>
      </c>
      <c r="M503" t="s">
        <v>31</v>
      </c>
      <c r="N503" t="s">
        <v>32</v>
      </c>
      <c r="O503" t="s">
        <v>531</v>
      </c>
      <c r="P503">
        <v>301.95999999999998</v>
      </c>
      <c r="Q503">
        <v>2</v>
      </c>
      <c r="R503">
        <v>0</v>
      </c>
      <c r="S503">
        <v>60.392000000000003</v>
      </c>
      <c r="T503" t="s">
        <v>59</v>
      </c>
      <c r="U503" t="s">
        <v>72</v>
      </c>
    </row>
    <row r="504" spans="1:21" x14ac:dyDescent="0.25">
      <c r="A504" t="s">
        <v>1881</v>
      </c>
      <c r="B504" s="1">
        <v>43094</v>
      </c>
      <c r="C504" s="1">
        <v>43099</v>
      </c>
      <c r="D504" t="s">
        <v>40</v>
      </c>
      <c r="E504" t="s">
        <v>1882</v>
      </c>
      <c r="F504" t="s">
        <v>1883</v>
      </c>
      <c r="G504" t="s">
        <v>25</v>
      </c>
      <c r="H504" t="s">
        <v>26</v>
      </c>
      <c r="I504" t="s">
        <v>1581</v>
      </c>
      <c r="J504" t="s">
        <v>232</v>
      </c>
      <c r="K504" t="s">
        <v>68</v>
      </c>
      <c r="L504" t="s">
        <v>1884</v>
      </c>
      <c r="M504" t="s">
        <v>31</v>
      </c>
      <c r="N504" t="s">
        <v>46</v>
      </c>
      <c r="O504" t="s">
        <v>1885</v>
      </c>
      <c r="P504">
        <v>273.06</v>
      </c>
      <c r="Q504">
        <v>2</v>
      </c>
      <c r="R504">
        <v>0.4</v>
      </c>
      <c r="S504">
        <v>-104.673</v>
      </c>
      <c r="T504" t="s">
        <v>59</v>
      </c>
      <c r="U504" t="s">
        <v>97</v>
      </c>
    </row>
    <row r="505" spans="1:21" x14ac:dyDescent="0.25">
      <c r="A505" t="s">
        <v>1886</v>
      </c>
      <c r="B505" s="1">
        <v>42532</v>
      </c>
      <c r="C505" s="1">
        <v>42538</v>
      </c>
      <c r="D505" t="s">
        <v>40</v>
      </c>
      <c r="E505" t="s">
        <v>1887</v>
      </c>
      <c r="F505" t="s">
        <v>1888</v>
      </c>
      <c r="G505" t="s">
        <v>91</v>
      </c>
      <c r="H505" t="s">
        <v>26</v>
      </c>
      <c r="I505" t="s">
        <v>690</v>
      </c>
      <c r="J505" t="s">
        <v>93</v>
      </c>
      <c r="K505" t="s">
        <v>94</v>
      </c>
      <c r="L505" t="s">
        <v>1409</v>
      </c>
      <c r="M505" t="s">
        <v>31</v>
      </c>
      <c r="N505" t="s">
        <v>57</v>
      </c>
      <c r="O505" t="s">
        <v>1410</v>
      </c>
      <c r="P505">
        <v>12.544</v>
      </c>
      <c r="Q505">
        <v>7</v>
      </c>
      <c r="R505">
        <v>0.6</v>
      </c>
      <c r="S505">
        <v>-9.0944000000000003</v>
      </c>
      <c r="T505" t="s">
        <v>130</v>
      </c>
      <c r="U505" t="s">
        <v>60</v>
      </c>
    </row>
    <row r="506" spans="1:21" x14ac:dyDescent="0.25">
      <c r="A506" t="s">
        <v>1889</v>
      </c>
      <c r="B506" s="1">
        <v>43097</v>
      </c>
      <c r="C506" s="1">
        <v>43102</v>
      </c>
      <c r="D506" t="s">
        <v>40</v>
      </c>
      <c r="E506" t="s">
        <v>1867</v>
      </c>
      <c r="F506" t="s">
        <v>1868</v>
      </c>
      <c r="G506" t="s">
        <v>91</v>
      </c>
      <c r="H506" t="s">
        <v>26</v>
      </c>
      <c r="I506" t="s">
        <v>192</v>
      </c>
      <c r="J506" t="s">
        <v>193</v>
      </c>
      <c r="K506" t="s">
        <v>55</v>
      </c>
      <c r="L506" t="s">
        <v>447</v>
      </c>
      <c r="M506" t="s">
        <v>31</v>
      </c>
      <c r="N506" t="s">
        <v>57</v>
      </c>
      <c r="O506" t="s">
        <v>448</v>
      </c>
      <c r="P506">
        <v>7.4</v>
      </c>
      <c r="Q506">
        <v>2</v>
      </c>
      <c r="R506">
        <v>0</v>
      </c>
      <c r="S506">
        <v>3.0339999999999998</v>
      </c>
      <c r="T506" t="s">
        <v>59</v>
      </c>
      <c r="U506" t="s">
        <v>97</v>
      </c>
    </row>
    <row r="507" spans="1:21" x14ac:dyDescent="0.25">
      <c r="A507" t="s">
        <v>1890</v>
      </c>
      <c r="B507" s="1">
        <v>41723</v>
      </c>
      <c r="C507" s="1">
        <v>41730</v>
      </c>
      <c r="D507" t="s">
        <v>40</v>
      </c>
      <c r="E507" t="s">
        <v>1891</v>
      </c>
      <c r="F507" t="s">
        <v>1892</v>
      </c>
      <c r="G507" t="s">
        <v>25</v>
      </c>
      <c r="H507" t="s">
        <v>26</v>
      </c>
      <c r="I507" t="s">
        <v>174</v>
      </c>
      <c r="J507" t="s">
        <v>121</v>
      </c>
      <c r="K507" t="s">
        <v>68</v>
      </c>
      <c r="L507" t="s">
        <v>1893</v>
      </c>
      <c r="M507" t="s">
        <v>31</v>
      </c>
      <c r="N507" t="s">
        <v>37</v>
      </c>
      <c r="O507" t="s">
        <v>1894</v>
      </c>
      <c r="P507">
        <v>366.786</v>
      </c>
      <c r="Q507">
        <v>7</v>
      </c>
      <c r="R507">
        <v>0.1</v>
      </c>
      <c r="S507">
        <v>65.206400000000002</v>
      </c>
      <c r="T507" t="s">
        <v>48</v>
      </c>
      <c r="U507" t="s">
        <v>196</v>
      </c>
    </row>
    <row r="508" spans="1:21" x14ac:dyDescent="0.25">
      <c r="A508" t="s">
        <v>1895</v>
      </c>
      <c r="B508" s="1">
        <v>42919</v>
      </c>
      <c r="C508" s="1">
        <v>42926</v>
      </c>
      <c r="D508" t="s">
        <v>40</v>
      </c>
      <c r="E508" t="s">
        <v>1232</v>
      </c>
      <c r="F508" t="s">
        <v>1233</v>
      </c>
      <c r="G508" t="s">
        <v>25</v>
      </c>
      <c r="H508" t="s">
        <v>26</v>
      </c>
      <c r="I508" t="s">
        <v>1896</v>
      </c>
      <c r="J508" t="s">
        <v>1897</v>
      </c>
      <c r="K508" t="s">
        <v>55</v>
      </c>
      <c r="L508" t="s">
        <v>145</v>
      </c>
      <c r="M508" t="s">
        <v>31</v>
      </c>
      <c r="N508" t="s">
        <v>57</v>
      </c>
      <c r="O508" t="s">
        <v>146</v>
      </c>
      <c r="P508">
        <v>545.85</v>
      </c>
      <c r="Q508">
        <v>9</v>
      </c>
      <c r="R508">
        <v>0</v>
      </c>
      <c r="S508">
        <v>114.6285</v>
      </c>
      <c r="T508" t="s">
        <v>48</v>
      </c>
      <c r="U508" t="s">
        <v>72</v>
      </c>
    </row>
    <row r="509" spans="1:21" x14ac:dyDescent="0.25">
      <c r="A509" t="s">
        <v>1898</v>
      </c>
      <c r="B509" s="1">
        <v>41961</v>
      </c>
      <c r="C509" s="1">
        <v>41963</v>
      </c>
      <c r="D509" t="s">
        <v>22</v>
      </c>
      <c r="E509" t="s">
        <v>1899</v>
      </c>
      <c r="F509" t="s">
        <v>1900</v>
      </c>
      <c r="G509" t="s">
        <v>25</v>
      </c>
      <c r="H509" t="s">
        <v>26</v>
      </c>
      <c r="I509" t="s">
        <v>866</v>
      </c>
      <c r="J509" t="s">
        <v>181</v>
      </c>
      <c r="K509" t="s">
        <v>55</v>
      </c>
      <c r="L509" t="s">
        <v>1901</v>
      </c>
      <c r="M509" t="s">
        <v>31</v>
      </c>
      <c r="N509" t="s">
        <v>46</v>
      </c>
      <c r="O509" t="s">
        <v>1902</v>
      </c>
      <c r="P509">
        <v>145.97999999999999</v>
      </c>
      <c r="Q509">
        <v>2</v>
      </c>
      <c r="R509">
        <v>0.5</v>
      </c>
      <c r="S509">
        <v>-99.266400000000004</v>
      </c>
      <c r="T509" t="s">
        <v>71</v>
      </c>
      <c r="U509" t="s">
        <v>35</v>
      </c>
    </row>
    <row r="510" spans="1:21" x14ac:dyDescent="0.25">
      <c r="A510" t="s">
        <v>1903</v>
      </c>
      <c r="B510" s="1">
        <v>42933</v>
      </c>
      <c r="C510" s="1">
        <v>42938</v>
      </c>
      <c r="D510" t="s">
        <v>40</v>
      </c>
      <c r="E510" t="s">
        <v>1904</v>
      </c>
      <c r="F510" t="s">
        <v>1905</v>
      </c>
      <c r="G510" t="s">
        <v>25</v>
      </c>
      <c r="H510" t="s">
        <v>26</v>
      </c>
      <c r="I510" t="s">
        <v>304</v>
      </c>
      <c r="J510" t="s">
        <v>44</v>
      </c>
      <c r="K510" t="s">
        <v>29</v>
      </c>
      <c r="L510" t="s">
        <v>803</v>
      </c>
      <c r="M510" t="s">
        <v>31</v>
      </c>
      <c r="N510" t="s">
        <v>57</v>
      </c>
      <c r="O510" t="s">
        <v>804</v>
      </c>
      <c r="P510">
        <v>7.9039999999999999</v>
      </c>
      <c r="Q510">
        <v>2</v>
      </c>
      <c r="R510">
        <v>0.2</v>
      </c>
      <c r="S510">
        <v>2.1736</v>
      </c>
      <c r="T510" t="s">
        <v>59</v>
      </c>
      <c r="U510" t="s">
        <v>72</v>
      </c>
    </row>
    <row r="511" spans="1:21" x14ac:dyDescent="0.25">
      <c r="A511" t="s">
        <v>1906</v>
      </c>
      <c r="B511" s="1">
        <v>42512</v>
      </c>
      <c r="C511" s="1">
        <v>42517</v>
      </c>
      <c r="D511" t="s">
        <v>40</v>
      </c>
      <c r="E511" t="s">
        <v>1734</v>
      </c>
      <c r="F511" t="s">
        <v>1735</v>
      </c>
      <c r="G511" t="s">
        <v>25</v>
      </c>
      <c r="H511" t="s">
        <v>26</v>
      </c>
      <c r="I511" t="s">
        <v>1907</v>
      </c>
      <c r="J511" t="s">
        <v>363</v>
      </c>
      <c r="K511" t="s">
        <v>68</v>
      </c>
      <c r="L511" t="s">
        <v>291</v>
      </c>
      <c r="M511" t="s">
        <v>31</v>
      </c>
      <c r="N511" t="s">
        <v>46</v>
      </c>
      <c r="O511" t="s">
        <v>292</v>
      </c>
      <c r="P511">
        <v>174.286</v>
      </c>
      <c r="Q511">
        <v>2</v>
      </c>
      <c r="R511">
        <v>0.3</v>
      </c>
      <c r="S511">
        <v>-19.918399999999998</v>
      </c>
      <c r="T511" t="s">
        <v>59</v>
      </c>
      <c r="U511" t="s">
        <v>162</v>
      </c>
    </row>
    <row r="512" spans="1:21" x14ac:dyDescent="0.25">
      <c r="A512" t="s">
        <v>1908</v>
      </c>
      <c r="B512" s="1">
        <v>42674</v>
      </c>
      <c r="C512" s="1">
        <v>42680</v>
      </c>
      <c r="D512" t="s">
        <v>40</v>
      </c>
      <c r="E512" t="s">
        <v>600</v>
      </c>
      <c r="F512" t="s">
        <v>601</v>
      </c>
      <c r="G512" t="s">
        <v>25</v>
      </c>
      <c r="H512" t="s">
        <v>26</v>
      </c>
      <c r="I512" t="s">
        <v>66</v>
      </c>
      <c r="J512" t="s">
        <v>67</v>
      </c>
      <c r="K512" t="s">
        <v>68</v>
      </c>
      <c r="L512" t="s">
        <v>1533</v>
      </c>
      <c r="M512" t="s">
        <v>31</v>
      </c>
      <c r="N512" t="s">
        <v>37</v>
      </c>
      <c r="O512" t="s">
        <v>1534</v>
      </c>
      <c r="P512">
        <v>492.83499999999998</v>
      </c>
      <c r="Q512">
        <v>5</v>
      </c>
      <c r="R512">
        <v>0.3</v>
      </c>
      <c r="S512">
        <v>-14.081</v>
      </c>
      <c r="T512" t="s">
        <v>130</v>
      </c>
      <c r="U512" t="s">
        <v>49</v>
      </c>
    </row>
    <row r="513" spans="1:21" x14ac:dyDescent="0.25">
      <c r="A513" t="s">
        <v>1909</v>
      </c>
      <c r="B513" s="1">
        <v>42391</v>
      </c>
      <c r="C513" s="1">
        <v>42397</v>
      </c>
      <c r="D513" t="s">
        <v>40</v>
      </c>
      <c r="E513" t="s">
        <v>1910</v>
      </c>
      <c r="F513" t="s">
        <v>1911</v>
      </c>
      <c r="G513" t="s">
        <v>25</v>
      </c>
      <c r="H513" t="s">
        <v>26</v>
      </c>
      <c r="I513" t="s">
        <v>1912</v>
      </c>
      <c r="J513" t="s">
        <v>1037</v>
      </c>
      <c r="K513" t="s">
        <v>29</v>
      </c>
      <c r="L513" t="s">
        <v>1913</v>
      </c>
      <c r="M513" t="s">
        <v>31</v>
      </c>
      <c r="N513" t="s">
        <v>57</v>
      </c>
      <c r="O513" t="s">
        <v>1914</v>
      </c>
      <c r="P513">
        <v>14.272</v>
      </c>
      <c r="Q513">
        <v>8</v>
      </c>
      <c r="R513">
        <v>0.2</v>
      </c>
      <c r="S513">
        <v>4.2816000000000001</v>
      </c>
      <c r="T513" t="s">
        <v>130</v>
      </c>
      <c r="U513" t="s">
        <v>170</v>
      </c>
    </row>
    <row r="514" spans="1:21" x14ac:dyDescent="0.25">
      <c r="A514" t="s">
        <v>1909</v>
      </c>
      <c r="B514" s="1">
        <v>42391</v>
      </c>
      <c r="C514" s="1">
        <v>42397</v>
      </c>
      <c r="D514" t="s">
        <v>40</v>
      </c>
      <c r="E514" t="s">
        <v>1910</v>
      </c>
      <c r="F514" t="s">
        <v>1911</v>
      </c>
      <c r="G514" t="s">
        <v>25</v>
      </c>
      <c r="H514" t="s">
        <v>26</v>
      </c>
      <c r="I514" t="s">
        <v>1912</v>
      </c>
      <c r="J514" t="s">
        <v>1037</v>
      </c>
      <c r="K514" t="s">
        <v>29</v>
      </c>
      <c r="L514" t="s">
        <v>1696</v>
      </c>
      <c r="M514" t="s">
        <v>31</v>
      </c>
      <c r="N514" t="s">
        <v>32</v>
      </c>
      <c r="O514" t="s">
        <v>1915</v>
      </c>
      <c r="P514">
        <v>451.13600000000002</v>
      </c>
      <c r="Q514">
        <v>4</v>
      </c>
      <c r="R514">
        <v>0.2</v>
      </c>
      <c r="S514">
        <v>-67.670400000000001</v>
      </c>
      <c r="T514" t="s">
        <v>130</v>
      </c>
      <c r="U514" t="s">
        <v>170</v>
      </c>
    </row>
    <row r="515" spans="1:21" x14ac:dyDescent="0.25">
      <c r="A515" t="s">
        <v>1916</v>
      </c>
      <c r="B515" s="1">
        <v>42677</v>
      </c>
      <c r="C515" s="1">
        <v>42680</v>
      </c>
      <c r="D515" t="s">
        <v>88</v>
      </c>
      <c r="E515" t="s">
        <v>1917</v>
      </c>
      <c r="F515" t="s">
        <v>1918</v>
      </c>
      <c r="G515" t="s">
        <v>25</v>
      </c>
      <c r="H515" t="s">
        <v>26</v>
      </c>
      <c r="I515" t="s">
        <v>53</v>
      </c>
      <c r="J515" t="s">
        <v>54</v>
      </c>
      <c r="K515" t="s">
        <v>55</v>
      </c>
      <c r="L515" t="s">
        <v>1919</v>
      </c>
      <c r="M515" t="s">
        <v>31</v>
      </c>
      <c r="N515" t="s">
        <v>37</v>
      </c>
      <c r="O515" t="s">
        <v>1920</v>
      </c>
      <c r="P515">
        <v>217.584</v>
      </c>
      <c r="Q515">
        <v>2</v>
      </c>
      <c r="R515">
        <v>0.2</v>
      </c>
      <c r="S515">
        <v>-29.9178</v>
      </c>
      <c r="T515" t="s">
        <v>34</v>
      </c>
      <c r="U515" t="s">
        <v>35</v>
      </c>
    </row>
    <row r="516" spans="1:21" x14ac:dyDescent="0.25">
      <c r="A516" t="s">
        <v>1921</v>
      </c>
      <c r="B516" s="1">
        <v>42982</v>
      </c>
      <c r="C516" s="1">
        <v>42986</v>
      </c>
      <c r="D516" t="s">
        <v>22</v>
      </c>
      <c r="E516" t="s">
        <v>1922</v>
      </c>
      <c r="F516" t="s">
        <v>1923</v>
      </c>
      <c r="G516" t="s">
        <v>91</v>
      </c>
      <c r="H516" t="s">
        <v>26</v>
      </c>
      <c r="I516" t="s">
        <v>53</v>
      </c>
      <c r="J516" t="s">
        <v>54</v>
      </c>
      <c r="K516" t="s">
        <v>55</v>
      </c>
      <c r="L516" t="s">
        <v>752</v>
      </c>
      <c r="M516" t="s">
        <v>31</v>
      </c>
      <c r="N516" t="s">
        <v>46</v>
      </c>
      <c r="O516" t="s">
        <v>753</v>
      </c>
      <c r="P516">
        <v>1322.3520000000001</v>
      </c>
      <c r="Q516">
        <v>3</v>
      </c>
      <c r="R516">
        <v>0.2</v>
      </c>
      <c r="S516">
        <v>-99.176400000000001</v>
      </c>
      <c r="T516" t="s">
        <v>84</v>
      </c>
      <c r="U516" t="s">
        <v>78</v>
      </c>
    </row>
    <row r="517" spans="1:21" x14ac:dyDescent="0.25">
      <c r="A517" t="s">
        <v>1924</v>
      </c>
      <c r="B517" s="1">
        <v>42975</v>
      </c>
      <c r="C517" s="1">
        <v>42981</v>
      </c>
      <c r="D517" t="s">
        <v>40</v>
      </c>
      <c r="E517" t="s">
        <v>1925</v>
      </c>
      <c r="F517" t="s">
        <v>1926</v>
      </c>
      <c r="G517" t="s">
        <v>101</v>
      </c>
      <c r="H517" t="s">
        <v>26</v>
      </c>
      <c r="I517" t="s">
        <v>192</v>
      </c>
      <c r="J517" t="s">
        <v>193</v>
      </c>
      <c r="K517" t="s">
        <v>55</v>
      </c>
      <c r="L517" t="s">
        <v>442</v>
      </c>
      <c r="M517" t="s">
        <v>31</v>
      </c>
      <c r="N517" t="s">
        <v>46</v>
      </c>
      <c r="O517" t="s">
        <v>443</v>
      </c>
      <c r="P517">
        <v>1137.75</v>
      </c>
      <c r="Q517">
        <v>5</v>
      </c>
      <c r="R517">
        <v>0</v>
      </c>
      <c r="S517">
        <v>250.30500000000001</v>
      </c>
      <c r="T517" t="s">
        <v>130</v>
      </c>
      <c r="U517" t="s">
        <v>254</v>
      </c>
    </row>
    <row r="518" spans="1:21" x14ac:dyDescent="0.25">
      <c r="A518" t="s">
        <v>1927</v>
      </c>
      <c r="B518" s="1">
        <v>42623</v>
      </c>
      <c r="C518" s="1">
        <v>42627</v>
      </c>
      <c r="D518" t="s">
        <v>22</v>
      </c>
      <c r="E518" t="s">
        <v>1928</v>
      </c>
      <c r="F518" t="s">
        <v>1929</v>
      </c>
      <c r="G518" t="s">
        <v>25</v>
      </c>
      <c r="H518" t="s">
        <v>26</v>
      </c>
      <c r="I518" t="s">
        <v>102</v>
      </c>
      <c r="J518" t="s">
        <v>93</v>
      </c>
      <c r="K518" t="s">
        <v>94</v>
      </c>
      <c r="L518" t="s">
        <v>1063</v>
      </c>
      <c r="M518" t="s">
        <v>31</v>
      </c>
      <c r="N518" t="s">
        <v>46</v>
      </c>
      <c r="O518" t="s">
        <v>1064</v>
      </c>
      <c r="P518">
        <v>300.93</v>
      </c>
      <c r="Q518">
        <v>5</v>
      </c>
      <c r="R518">
        <v>0.3</v>
      </c>
      <c r="S518">
        <v>-34.392000000000003</v>
      </c>
      <c r="T518" t="s">
        <v>84</v>
      </c>
      <c r="U518" t="s">
        <v>78</v>
      </c>
    </row>
    <row r="519" spans="1:21" x14ac:dyDescent="0.25">
      <c r="A519" t="s">
        <v>1930</v>
      </c>
      <c r="B519" s="1">
        <v>41806</v>
      </c>
      <c r="C519" s="1">
        <v>41812</v>
      </c>
      <c r="D519" t="s">
        <v>40</v>
      </c>
      <c r="E519" t="s">
        <v>1931</v>
      </c>
      <c r="F519" t="s">
        <v>1932</v>
      </c>
      <c r="G519" t="s">
        <v>25</v>
      </c>
      <c r="H519" t="s">
        <v>26</v>
      </c>
      <c r="I519" t="s">
        <v>1933</v>
      </c>
      <c r="J519" t="s">
        <v>111</v>
      </c>
      <c r="K519" t="s">
        <v>94</v>
      </c>
      <c r="L519" t="s">
        <v>511</v>
      </c>
      <c r="M519" t="s">
        <v>31</v>
      </c>
      <c r="N519" t="s">
        <v>37</v>
      </c>
      <c r="O519" t="s">
        <v>512</v>
      </c>
      <c r="P519">
        <v>647.84</v>
      </c>
      <c r="Q519">
        <v>8</v>
      </c>
      <c r="R519">
        <v>0</v>
      </c>
      <c r="S519">
        <v>32.392000000000003</v>
      </c>
      <c r="T519" t="s">
        <v>130</v>
      </c>
      <c r="U519" t="s">
        <v>60</v>
      </c>
    </row>
    <row r="520" spans="1:21" x14ac:dyDescent="0.25">
      <c r="A520" t="s">
        <v>1934</v>
      </c>
      <c r="B520" s="1">
        <v>41845</v>
      </c>
      <c r="C520" s="1">
        <v>41847</v>
      </c>
      <c r="D520" t="s">
        <v>22</v>
      </c>
      <c r="E520" t="s">
        <v>312</v>
      </c>
      <c r="F520" t="s">
        <v>313</v>
      </c>
      <c r="G520" t="s">
        <v>25</v>
      </c>
      <c r="H520" t="s">
        <v>26</v>
      </c>
      <c r="I520" t="s">
        <v>329</v>
      </c>
      <c r="J520" t="s">
        <v>54</v>
      </c>
      <c r="K520" t="s">
        <v>55</v>
      </c>
      <c r="L520" t="s">
        <v>316</v>
      </c>
      <c r="M520" t="s">
        <v>31</v>
      </c>
      <c r="N520" t="s">
        <v>57</v>
      </c>
      <c r="O520" t="s">
        <v>317</v>
      </c>
      <c r="P520">
        <v>77.92</v>
      </c>
      <c r="Q520">
        <v>8</v>
      </c>
      <c r="R520">
        <v>0</v>
      </c>
      <c r="S520">
        <v>34.284799999999997</v>
      </c>
      <c r="T520" t="s">
        <v>71</v>
      </c>
      <c r="U520" t="s">
        <v>72</v>
      </c>
    </row>
    <row r="521" spans="1:21" x14ac:dyDescent="0.25">
      <c r="A521" t="s">
        <v>1935</v>
      </c>
      <c r="B521" s="1">
        <v>42685</v>
      </c>
      <c r="C521" s="1">
        <v>42691</v>
      </c>
      <c r="D521" t="s">
        <v>40</v>
      </c>
      <c r="E521" t="s">
        <v>1936</v>
      </c>
      <c r="F521" t="s">
        <v>1937</v>
      </c>
      <c r="G521" t="s">
        <v>91</v>
      </c>
      <c r="H521" t="s">
        <v>26</v>
      </c>
      <c r="I521" t="s">
        <v>134</v>
      </c>
      <c r="J521" t="s">
        <v>135</v>
      </c>
      <c r="K521" t="s">
        <v>94</v>
      </c>
      <c r="L521" t="s">
        <v>1103</v>
      </c>
      <c r="M521" t="s">
        <v>31</v>
      </c>
      <c r="N521" t="s">
        <v>37</v>
      </c>
      <c r="O521" t="s">
        <v>1104</v>
      </c>
      <c r="P521">
        <v>47.991999999999997</v>
      </c>
      <c r="Q521">
        <v>2</v>
      </c>
      <c r="R521">
        <v>0.3</v>
      </c>
      <c r="S521">
        <v>-2.0568</v>
      </c>
      <c r="T521" t="s">
        <v>130</v>
      </c>
      <c r="U521" t="s">
        <v>35</v>
      </c>
    </row>
    <row r="522" spans="1:21" x14ac:dyDescent="0.25">
      <c r="A522" t="s">
        <v>1938</v>
      </c>
      <c r="B522" s="1">
        <v>42857</v>
      </c>
      <c r="C522" s="1">
        <v>42862</v>
      </c>
      <c r="D522" t="s">
        <v>40</v>
      </c>
      <c r="E522" t="s">
        <v>1939</v>
      </c>
      <c r="F522" t="s">
        <v>1940</v>
      </c>
      <c r="G522" t="s">
        <v>91</v>
      </c>
      <c r="H522" t="s">
        <v>26</v>
      </c>
      <c r="I522" t="s">
        <v>1941</v>
      </c>
      <c r="J522" t="s">
        <v>363</v>
      </c>
      <c r="K522" t="s">
        <v>68</v>
      </c>
      <c r="L522" t="s">
        <v>991</v>
      </c>
      <c r="M522" t="s">
        <v>31</v>
      </c>
      <c r="N522" t="s">
        <v>57</v>
      </c>
      <c r="O522" t="s">
        <v>992</v>
      </c>
      <c r="P522">
        <v>129.93</v>
      </c>
      <c r="Q522">
        <v>3</v>
      </c>
      <c r="R522">
        <v>0</v>
      </c>
      <c r="S522">
        <v>12.993</v>
      </c>
      <c r="T522" t="s">
        <v>59</v>
      </c>
      <c r="U522" t="s">
        <v>162</v>
      </c>
    </row>
    <row r="523" spans="1:21" x14ac:dyDescent="0.25">
      <c r="A523" t="s">
        <v>1942</v>
      </c>
      <c r="B523" s="1">
        <v>42031</v>
      </c>
      <c r="C523" s="1">
        <v>42033</v>
      </c>
      <c r="D523" t="s">
        <v>22</v>
      </c>
      <c r="E523" t="s">
        <v>740</v>
      </c>
      <c r="F523" t="s">
        <v>741</v>
      </c>
      <c r="G523" t="s">
        <v>25</v>
      </c>
      <c r="H523" t="s">
        <v>26</v>
      </c>
      <c r="I523" t="s">
        <v>694</v>
      </c>
      <c r="J523" t="s">
        <v>232</v>
      </c>
      <c r="K523" t="s">
        <v>68</v>
      </c>
      <c r="L523" t="s">
        <v>143</v>
      </c>
      <c r="M523" t="s">
        <v>31</v>
      </c>
      <c r="N523" t="s">
        <v>37</v>
      </c>
      <c r="O523" t="s">
        <v>144</v>
      </c>
      <c r="P523">
        <v>181.98599999999999</v>
      </c>
      <c r="Q523">
        <v>2</v>
      </c>
      <c r="R523">
        <v>0.3</v>
      </c>
      <c r="S523">
        <v>-54.595799999999997</v>
      </c>
      <c r="T523" t="s">
        <v>71</v>
      </c>
      <c r="U523" t="s">
        <v>170</v>
      </c>
    </row>
    <row r="524" spans="1:21" x14ac:dyDescent="0.25">
      <c r="A524" t="s">
        <v>1943</v>
      </c>
      <c r="B524" s="1">
        <v>42201</v>
      </c>
      <c r="C524" s="1">
        <v>42201</v>
      </c>
      <c r="D524" t="s">
        <v>426</v>
      </c>
      <c r="E524" t="s">
        <v>1944</v>
      </c>
      <c r="F524" t="s">
        <v>1945</v>
      </c>
      <c r="G524" t="s">
        <v>91</v>
      </c>
      <c r="H524" t="s">
        <v>26</v>
      </c>
      <c r="I524" t="s">
        <v>329</v>
      </c>
      <c r="J524" t="s">
        <v>54</v>
      </c>
      <c r="K524" t="s">
        <v>55</v>
      </c>
      <c r="L524" t="s">
        <v>406</v>
      </c>
      <c r="M524" t="s">
        <v>31</v>
      </c>
      <c r="N524" t="s">
        <v>37</v>
      </c>
      <c r="O524" t="s">
        <v>407</v>
      </c>
      <c r="P524">
        <v>1348.704</v>
      </c>
      <c r="Q524">
        <v>6</v>
      </c>
      <c r="R524">
        <v>0.2</v>
      </c>
      <c r="S524">
        <v>-219.1644</v>
      </c>
      <c r="T524" t="s">
        <v>431</v>
      </c>
      <c r="U524" t="s">
        <v>72</v>
      </c>
    </row>
    <row r="525" spans="1:21" x14ac:dyDescent="0.25">
      <c r="A525" t="s">
        <v>1943</v>
      </c>
      <c r="B525" s="1">
        <v>42201</v>
      </c>
      <c r="C525" s="1">
        <v>42201</v>
      </c>
      <c r="D525" t="s">
        <v>426</v>
      </c>
      <c r="E525" t="s">
        <v>1944</v>
      </c>
      <c r="F525" t="s">
        <v>1945</v>
      </c>
      <c r="G525" t="s">
        <v>91</v>
      </c>
      <c r="H525" t="s">
        <v>26</v>
      </c>
      <c r="I525" t="s">
        <v>329</v>
      </c>
      <c r="J525" t="s">
        <v>54</v>
      </c>
      <c r="K525" t="s">
        <v>55</v>
      </c>
      <c r="L525" t="s">
        <v>382</v>
      </c>
      <c r="M525" t="s">
        <v>31</v>
      </c>
      <c r="N525" t="s">
        <v>37</v>
      </c>
      <c r="O525" t="s">
        <v>383</v>
      </c>
      <c r="P525">
        <v>700.15200000000004</v>
      </c>
      <c r="Q525">
        <v>3</v>
      </c>
      <c r="R525">
        <v>0.2</v>
      </c>
      <c r="S525">
        <v>78.767099999999999</v>
      </c>
      <c r="T525" t="s">
        <v>431</v>
      </c>
      <c r="U525" t="s">
        <v>72</v>
      </c>
    </row>
    <row r="526" spans="1:21" x14ac:dyDescent="0.25">
      <c r="A526" t="s">
        <v>1946</v>
      </c>
      <c r="B526" s="1">
        <v>42490</v>
      </c>
      <c r="C526" s="1">
        <v>42494</v>
      </c>
      <c r="D526" t="s">
        <v>40</v>
      </c>
      <c r="E526" t="s">
        <v>1947</v>
      </c>
      <c r="F526" t="s">
        <v>1948</v>
      </c>
      <c r="G526" t="s">
        <v>91</v>
      </c>
      <c r="H526" t="s">
        <v>26</v>
      </c>
      <c r="I526" t="s">
        <v>1949</v>
      </c>
      <c r="J526" t="s">
        <v>521</v>
      </c>
      <c r="K526" t="s">
        <v>55</v>
      </c>
      <c r="L526" t="s">
        <v>698</v>
      </c>
      <c r="M526" t="s">
        <v>31</v>
      </c>
      <c r="N526" t="s">
        <v>57</v>
      </c>
      <c r="O526" t="s">
        <v>699</v>
      </c>
      <c r="P526">
        <v>111.88800000000001</v>
      </c>
      <c r="Q526">
        <v>7</v>
      </c>
      <c r="R526">
        <v>0.2</v>
      </c>
      <c r="S526">
        <v>22.377600000000001</v>
      </c>
      <c r="T526" t="s">
        <v>84</v>
      </c>
      <c r="U526" t="s">
        <v>114</v>
      </c>
    </row>
    <row r="527" spans="1:21" x14ac:dyDescent="0.25">
      <c r="A527" t="s">
        <v>1950</v>
      </c>
      <c r="B527" s="1">
        <v>42621</v>
      </c>
      <c r="C527" s="1">
        <v>42627</v>
      </c>
      <c r="D527" t="s">
        <v>40</v>
      </c>
      <c r="E527" t="s">
        <v>1951</v>
      </c>
      <c r="F527" t="s">
        <v>1952</v>
      </c>
      <c r="G527" t="s">
        <v>101</v>
      </c>
      <c r="H527" t="s">
        <v>26</v>
      </c>
      <c r="I527" t="s">
        <v>1953</v>
      </c>
      <c r="J527" t="s">
        <v>435</v>
      </c>
      <c r="K527" t="s">
        <v>68</v>
      </c>
      <c r="L527" t="s">
        <v>1954</v>
      </c>
      <c r="M527" t="s">
        <v>31</v>
      </c>
      <c r="N527" t="s">
        <v>32</v>
      </c>
      <c r="O527" t="s">
        <v>1955</v>
      </c>
      <c r="P527">
        <v>173.94</v>
      </c>
      <c r="Q527">
        <v>3</v>
      </c>
      <c r="R527">
        <v>0</v>
      </c>
      <c r="S527">
        <v>13.9152</v>
      </c>
      <c r="T527" t="s">
        <v>130</v>
      </c>
      <c r="U527" t="s">
        <v>78</v>
      </c>
    </row>
    <row r="528" spans="1:21" x14ac:dyDescent="0.25">
      <c r="A528" t="s">
        <v>1956</v>
      </c>
      <c r="B528" s="1">
        <v>42841</v>
      </c>
      <c r="C528" s="1">
        <v>42845</v>
      </c>
      <c r="D528" t="s">
        <v>40</v>
      </c>
      <c r="E528" t="s">
        <v>139</v>
      </c>
      <c r="F528" t="s">
        <v>140</v>
      </c>
      <c r="G528" t="s">
        <v>25</v>
      </c>
      <c r="H528" t="s">
        <v>26</v>
      </c>
      <c r="I528" t="s">
        <v>1492</v>
      </c>
      <c r="J528" t="s">
        <v>54</v>
      </c>
      <c r="K528" t="s">
        <v>55</v>
      </c>
      <c r="L528" t="s">
        <v>543</v>
      </c>
      <c r="M528" t="s">
        <v>31</v>
      </c>
      <c r="N528" t="s">
        <v>32</v>
      </c>
      <c r="O528" t="s">
        <v>544</v>
      </c>
      <c r="P528">
        <v>102.833</v>
      </c>
      <c r="Q528">
        <v>1</v>
      </c>
      <c r="R528">
        <v>0.15</v>
      </c>
      <c r="S528">
        <v>-6.0490000000000004</v>
      </c>
      <c r="T528" t="s">
        <v>84</v>
      </c>
      <c r="U528" t="s">
        <v>114</v>
      </c>
    </row>
    <row r="529" spans="1:21" x14ac:dyDescent="0.25">
      <c r="A529" t="s">
        <v>1957</v>
      </c>
      <c r="B529" s="1">
        <v>43058</v>
      </c>
      <c r="C529" s="1">
        <v>43062</v>
      </c>
      <c r="D529" t="s">
        <v>40</v>
      </c>
      <c r="E529" t="s">
        <v>1263</v>
      </c>
      <c r="F529" t="s">
        <v>1264</v>
      </c>
      <c r="G529" t="s">
        <v>25</v>
      </c>
      <c r="H529" t="s">
        <v>26</v>
      </c>
      <c r="I529" t="s">
        <v>27</v>
      </c>
      <c r="J529" t="s">
        <v>28</v>
      </c>
      <c r="K529" t="s">
        <v>29</v>
      </c>
      <c r="L529" t="s">
        <v>1958</v>
      </c>
      <c r="M529" t="s">
        <v>31</v>
      </c>
      <c r="N529" t="s">
        <v>57</v>
      </c>
      <c r="O529" t="s">
        <v>1959</v>
      </c>
      <c r="P529">
        <v>821.88</v>
      </c>
      <c r="Q529">
        <v>6</v>
      </c>
      <c r="R529">
        <v>0</v>
      </c>
      <c r="S529">
        <v>213.68879999999999</v>
      </c>
      <c r="T529" t="s">
        <v>84</v>
      </c>
      <c r="U529" t="s">
        <v>35</v>
      </c>
    </row>
    <row r="530" spans="1:21" x14ac:dyDescent="0.25">
      <c r="A530" t="s">
        <v>1960</v>
      </c>
      <c r="B530" s="1">
        <v>42651</v>
      </c>
      <c r="C530" s="1">
        <v>42657</v>
      </c>
      <c r="D530" t="s">
        <v>40</v>
      </c>
      <c r="E530" t="s">
        <v>1961</v>
      </c>
      <c r="F530" t="s">
        <v>1962</v>
      </c>
      <c r="G530" t="s">
        <v>91</v>
      </c>
      <c r="H530" t="s">
        <v>26</v>
      </c>
      <c r="I530" t="s">
        <v>102</v>
      </c>
      <c r="J530" t="s">
        <v>93</v>
      </c>
      <c r="K530" t="s">
        <v>94</v>
      </c>
      <c r="L530" t="s">
        <v>1963</v>
      </c>
      <c r="M530" t="s">
        <v>31</v>
      </c>
      <c r="N530" t="s">
        <v>57</v>
      </c>
      <c r="O530" t="s">
        <v>1964</v>
      </c>
      <c r="P530">
        <v>51.712000000000003</v>
      </c>
      <c r="Q530">
        <v>8</v>
      </c>
      <c r="R530">
        <v>0.6</v>
      </c>
      <c r="S530">
        <v>-32.32</v>
      </c>
      <c r="T530" t="s">
        <v>130</v>
      </c>
      <c r="U530" t="s">
        <v>49</v>
      </c>
    </row>
    <row r="531" spans="1:21" x14ac:dyDescent="0.25">
      <c r="A531" t="s">
        <v>1965</v>
      </c>
      <c r="B531" s="1">
        <v>42155</v>
      </c>
      <c r="C531" s="1">
        <v>42159</v>
      </c>
      <c r="D531" t="s">
        <v>40</v>
      </c>
      <c r="E531" t="s">
        <v>1966</v>
      </c>
      <c r="F531" t="s">
        <v>1967</v>
      </c>
      <c r="G531" t="s">
        <v>25</v>
      </c>
      <c r="H531" t="s">
        <v>26</v>
      </c>
      <c r="I531" t="s">
        <v>76</v>
      </c>
      <c r="J531" t="s">
        <v>77</v>
      </c>
      <c r="K531" t="s">
        <v>55</v>
      </c>
      <c r="L531" t="s">
        <v>1968</v>
      </c>
      <c r="M531" t="s">
        <v>31</v>
      </c>
      <c r="N531" t="s">
        <v>32</v>
      </c>
      <c r="O531" t="s">
        <v>1969</v>
      </c>
      <c r="P531">
        <v>1406.86</v>
      </c>
      <c r="Q531">
        <v>7</v>
      </c>
      <c r="R531">
        <v>0</v>
      </c>
      <c r="S531">
        <v>140.68600000000001</v>
      </c>
      <c r="T531" t="s">
        <v>84</v>
      </c>
      <c r="U531" t="s">
        <v>162</v>
      </c>
    </row>
    <row r="532" spans="1:21" x14ac:dyDescent="0.25">
      <c r="A532" t="s">
        <v>1970</v>
      </c>
      <c r="B532" s="1">
        <v>43040</v>
      </c>
      <c r="C532" s="1">
        <v>43042</v>
      </c>
      <c r="D532" t="s">
        <v>22</v>
      </c>
      <c r="E532" t="s">
        <v>1971</v>
      </c>
      <c r="F532" t="s">
        <v>1972</v>
      </c>
      <c r="G532" t="s">
        <v>25</v>
      </c>
      <c r="H532" t="s">
        <v>26</v>
      </c>
      <c r="I532" t="s">
        <v>1973</v>
      </c>
      <c r="J532" t="s">
        <v>193</v>
      </c>
      <c r="K532" t="s">
        <v>55</v>
      </c>
      <c r="L532" t="s">
        <v>1672</v>
      </c>
      <c r="M532" t="s">
        <v>31</v>
      </c>
      <c r="N532" t="s">
        <v>46</v>
      </c>
      <c r="O532" t="s">
        <v>1673</v>
      </c>
      <c r="P532">
        <v>2665.62</v>
      </c>
      <c r="Q532">
        <v>9</v>
      </c>
      <c r="R532">
        <v>0</v>
      </c>
      <c r="S532">
        <v>239.9058</v>
      </c>
      <c r="T532" t="s">
        <v>71</v>
      </c>
      <c r="U532" t="s">
        <v>35</v>
      </c>
    </row>
    <row r="533" spans="1:21" x14ac:dyDescent="0.25">
      <c r="A533" t="s">
        <v>1974</v>
      </c>
      <c r="B533" s="1">
        <v>42925</v>
      </c>
      <c r="C533" s="1">
        <v>42930</v>
      </c>
      <c r="D533" t="s">
        <v>40</v>
      </c>
      <c r="E533" t="s">
        <v>1975</v>
      </c>
      <c r="F533" t="s">
        <v>1976</v>
      </c>
      <c r="G533" t="s">
        <v>101</v>
      </c>
      <c r="H533" t="s">
        <v>26</v>
      </c>
      <c r="I533" t="s">
        <v>1406</v>
      </c>
      <c r="J533" t="s">
        <v>111</v>
      </c>
      <c r="K533" t="s">
        <v>94</v>
      </c>
      <c r="L533" t="s">
        <v>1011</v>
      </c>
      <c r="M533" t="s">
        <v>31</v>
      </c>
      <c r="N533" t="s">
        <v>57</v>
      </c>
      <c r="O533" t="s">
        <v>1012</v>
      </c>
      <c r="P533">
        <v>526.45000000000005</v>
      </c>
      <c r="Q533">
        <v>5</v>
      </c>
      <c r="R533">
        <v>0</v>
      </c>
      <c r="S533">
        <v>31.587</v>
      </c>
      <c r="T533" t="s">
        <v>59</v>
      </c>
      <c r="U533" t="s">
        <v>72</v>
      </c>
    </row>
    <row r="534" spans="1:21" x14ac:dyDescent="0.25">
      <c r="A534" t="s">
        <v>1977</v>
      </c>
      <c r="B534" s="1">
        <v>41665</v>
      </c>
      <c r="C534" s="1">
        <v>41670</v>
      </c>
      <c r="D534" t="s">
        <v>40</v>
      </c>
      <c r="E534" t="s">
        <v>1258</v>
      </c>
      <c r="F534" t="s">
        <v>1259</v>
      </c>
      <c r="G534" t="s">
        <v>101</v>
      </c>
      <c r="H534" t="s">
        <v>26</v>
      </c>
      <c r="I534" t="s">
        <v>1978</v>
      </c>
      <c r="J534" t="s">
        <v>717</v>
      </c>
      <c r="K534" t="s">
        <v>29</v>
      </c>
      <c r="L534" t="s">
        <v>1979</v>
      </c>
      <c r="M534" t="s">
        <v>31</v>
      </c>
      <c r="N534" t="s">
        <v>57</v>
      </c>
      <c r="O534" t="s">
        <v>1980</v>
      </c>
      <c r="P534">
        <v>62.82</v>
      </c>
      <c r="Q534">
        <v>3</v>
      </c>
      <c r="R534">
        <v>0</v>
      </c>
      <c r="S534">
        <v>30.7818</v>
      </c>
      <c r="T534" t="s">
        <v>59</v>
      </c>
      <c r="U534" t="s">
        <v>170</v>
      </c>
    </row>
    <row r="535" spans="1:21" x14ac:dyDescent="0.25">
      <c r="A535" t="s">
        <v>1977</v>
      </c>
      <c r="B535" s="1">
        <v>41665</v>
      </c>
      <c r="C535" s="1">
        <v>41670</v>
      </c>
      <c r="D535" t="s">
        <v>40</v>
      </c>
      <c r="E535" t="s">
        <v>1258</v>
      </c>
      <c r="F535" t="s">
        <v>1259</v>
      </c>
      <c r="G535" t="s">
        <v>101</v>
      </c>
      <c r="H535" t="s">
        <v>26</v>
      </c>
      <c r="I535" t="s">
        <v>1978</v>
      </c>
      <c r="J535" t="s">
        <v>717</v>
      </c>
      <c r="K535" t="s">
        <v>29</v>
      </c>
      <c r="L535" t="s">
        <v>1981</v>
      </c>
      <c r="M535" t="s">
        <v>31</v>
      </c>
      <c r="N535" t="s">
        <v>57</v>
      </c>
      <c r="O535" t="s">
        <v>1982</v>
      </c>
      <c r="P535">
        <v>12.42</v>
      </c>
      <c r="Q535">
        <v>3</v>
      </c>
      <c r="R535">
        <v>0</v>
      </c>
      <c r="S535">
        <v>4.4711999999999996</v>
      </c>
      <c r="T535" t="s">
        <v>59</v>
      </c>
      <c r="U535" t="s">
        <v>170</v>
      </c>
    </row>
    <row r="536" spans="1:21" x14ac:dyDescent="0.25">
      <c r="A536" t="s">
        <v>1983</v>
      </c>
      <c r="B536" s="1">
        <v>42916</v>
      </c>
      <c r="C536" s="1">
        <v>42922</v>
      </c>
      <c r="D536" t="s">
        <v>40</v>
      </c>
      <c r="E536" t="s">
        <v>709</v>
      </c>
      <c r="F536" t="s">
        <v>710</v>
      </c>
      <c r="G536" t="s">
        <v>25</v>
      </c>
      <c r="H536" t="s">
        <v>26</v>
      </c>
      <c r="I536" t="s">
        <v>174</v>
      </c>
      <c r="J536" t="s">
        <v>121</v>
      </c>
      <c r="K536" t="s">
        <v>68</v>
      </c>
      <c r="L536" t="s">
        <v>1984</v>
      </c>
      <c r="M536" t="s">
        <v>31</v>
      </c>
      <c r="N536" t="s">
        <v>57</v>
      </c>
      <c r="O536" t="s">
        <v>1985</v>
      </c>
      <c r="P536">
        <v>22.23</v>
      </c>
      <c r="Q536">
        <v>1</v>
      </c>
      <c r="R536">
        <v>0</v>
      </c>
      <c r="S536">
        <v>9.7812000000000001</v>
      </c>
      <c r="T536" t="s">
        <v>130</v>
      </c>
      <c r="U536" t="s">
        <v>60</v>
      </c>
    </row>
    <row r="537" spans="1:21" x14ac:dyDescent="0.25">
      <c r="A537" t="s">
        <v>1986</v>
      </c>
      <c r="B537" s="1">
        <v>42621</v>
      </c>
      <c r="C537" s="1">
        <v>42627</v>
      </c>
      <c r="D537" t="s">
        <v>40</v>
      </c>
      <c r="E537" t="s">
        <v>1987</v>
      </c>
      <c r="F537" t="s">
        <v>1988</v>
      </c>
      <c r="G537" t="s">
        <v>25</v>
      </c>
      <c r="H537" t="s">
        <v>26</v>
      </c>
      <c r="I537" t="s">
        <v>1989</v>
      </c>
      <c r="J537" t="s">
        <v>135</v>
      </c>
      <c r="K537" t="s">
        <v>94</v>
      </c>
      <c r="L537" t="s">
        <v>1990</v>
      </c>
      <c r="M537" t="s">
        <v>31</v>
      </c>
      <c r="N537" t="s">
        <v>57</v>
      </c>
      <c r="O537" t="s">
        <v>1991</v>
      </c>
      <c r="P537">
        <v>14.135999999999999</v>
      </c>
      <c r="Q537">
        <v>2</v>
      </c>
      <c r="R537">
        <v>0.6</v>
      </c>
      <c r="S537">
        <v>-7.7747999999999999</v>
      </c>
      <c r="T537" t="s">
        <v>130</v>
      </c>
      <c r="U537" t="s">
        <v>78</v>
      </c>
    </row>
    <row r="538" spans="1:21" x14ac:dyDescent="0.25">
      <c r="A538" t="s">
        <v>1986</v>
      </c>
      <c r="B538" s="1">
        <v>42621</v>
      </c>
      <c r="C538" s="1">
        <v>42627</v>
      </c>
      <c r="D538" t="s">
        <v>40</v>
      </c>
      <c r="E538" t="s">
        <v>1987</v>
      </c>
      <c r="F538" t="s">
        <v>1988</v>
      </c>
      <c r="G538" t="s">
        <v>25</v>
      </c>
      <c r="H538" t="s">
        <v>26</v>
      </c>
      <c r="I538" t="s">
        <v>1989</v>
      </c>
      <c r="J538" t="s">
        <v>135</v>
      </c>
      <c r="K538" t="s">
        <v>94</v>
      </c>
      <c r="L538" t="s">
        <v>1992</v>
      </c>
      <c r="M538" t="s">
        <v>31</v>
      </c>
      <c r="N538" t="s">
        <v>46</v>
      </c>
      <c r="O538" t="s">
        <v>1993</v>
      </c>
      <c r="P538">
        <v>601.47</v>
      </c>
      <c r="Q538">
        <v>3</v>
      </c>
      <c r="R538">
        <v>0.5</v>
      </c>
      <c r="S538">
        <v>-300.73500000000001</v>
      </c>
      <c r="T538" t="s">
        <v>130</v>
      </c>
      <c r="U538" t="s">
        <v>78</v>
      </c>
    </row>
    <row r="539" spans="1:21" x14ac:dyDescent="0.25">
      <c r="A539" t="s">
        <v>1994</v>
      </c>
      <c r="B539" s="1">
        <v>42525</v>
      </c>
      <c r="C539" s="1">
        <v>42525</v>
      </c>
      <c r="D539" t="s">
        <v>426</v>
      </c>
      <c r="E539" t="s">
        <v>1995</v>
      </c>
      <c r="F539" t="s">
        <v>1996</v>
      </c>
      <c r="G539" t="s">
        <v>25</v>
      </c>
      <c r="H539" t="s">
        <v>26</v>
      </c>
      <c r="I539" t="s">
        <v>174</v>
      </c>
      <c r="J539" t="s">
        <v>121</v>
      </c>
      <c r="K539" t="s">
        <v>68</v>
      </c>
      <c r="L539" t="s">
        <v>1381</v>
      </c>
      <c r="M539" t="s">
        <v>31</v>
      </c>
      <c r="N539" t="s">
        <v>32</v>
      </c>
      <c r="O539" t="s">
        <v>1382</v>
      </c>
      <c r="P539">
        <v>136.78399999999999</v>
      </c>
      <c r="Q539">
        <v>1</v>
      </c>
      <c r="R539">
        <v>0.2</v>
      </c>
      <c r="S539">
        <v>5.1294000000000004</v>
      </c>
      <c r="T539" t="s">
        <v>431</v>
      </c>
      <c r="U539" t="s">
        <v>60</v>
      </c>
    </row>
    <row r="540" spans="1:21" x14ac:dyDescent="0.25">
      <c r="A540" t="s">
        <v>1994</v>
      </c>
      <c r="B540" s="1">
        <v>42525</v>
      </c>
      <c r="C540" s="1">
        <v>42525</v>
      </c>
      <c r="D540" t="s">
        <v>426</v>
      </c>
      <c r="E540" t="s">
        <v>1995</v>
      </c>
      <c r="F540" t="s">
        <v>1996</v>
      </c>
      <c r="G540" t="s">
        <v>25</v>
      </c>
      <c r="H540" t="s">
        <v>26</v>
      </c>
      <c r="I540" t="s">
        <v>174</v>
      </c>
      <c r="J540" t="s">
        <v>121</v>
      </c>
      <c r="K540" t="s">
        <v>68</v>
      </c>
      <c r="L540" t="s">
        <v>871</v>
      </c>
      <c r="M540" t="s">
        <v>31</v>
      </c>
      <c r="N540" t="s">
        <v>57</v>
      </c>
      <c r="O540" t="s">
        <v>872</v>
      </c>
      <c r="P540">
        <v>61.12</v>
      </c>
      <c r="Q540">
        <v>4</v>
      </c>
      <c r="R540">
        <v>0</v>
      </c>
      <c r="S540">
        <v>20.780799999999999</v>
      </c>
      <c r="T540" t="s">
        <v>431</v>
      </c>
      <c r="U540" t="s">
        <v>60</v>
      </c>
    </row>
    <row r="541" spans="1:21" x14ac:dyDescent="0.25">
      <c r="A541" t="s">
        <v>1997</v>
      </c>
      <c r="B541" s="1">
        <v>41968</v>
      </c>
      <c r="C541" s="1">
        <v>41973</v>
      </c>
      <c r="D541" t="s">
        <v>40</v>
      </c>
      <c r="E541" t="s">
        <v>1998</v>
      </c>
      <c r="F541" t="s">
        <v>1999</v>
      </c>
      <c r="G541" t="s">
        <v>91</v>
      </c>
      <c r="H541" t="s">
        <v>26</v>
      </c>
      <c r="I541" t="s">
        <v>690</v>
      </c>
      <c r="J541" t="s">
        <v>93</v>
      </c>
      <c r="K541" t="s">
        <v>94</v>
      </c>
      <c r="L541" t="s">
        <v>45</v>
      </c>
      <c r="M541" t="s">
        <v>31</v>
      </c>
      <c r="N541" t="s">
        <v>46</v>
      </c>
      <c r="O541" t="s">
        <v>47</v>
      </c>
      <c r="P541">
        <v>1218.7349999999999</v>
      </c>
      <c r="Q541">
        <v>5</v>
      </c>
      <c r="R541">
        <v>0.3</v>
      </c>
      <c r="S541">
        <v>-121.87350000000001</v>
      </c>
      <c r="T541" t="s">
        <v>59</v>
      </c>
      <c r="U541" t="s">
        <v>35</v>
      </c>
    </row>
    <row r="542" spans="1:21" x14ac:dyDescent="0.25">
      <c r="A542" t="s">
        <v>1997</v>
      </c>
      <c r="B542" s="1">
        <v>41968</v>
      </c>
      <c r="C542" s="1">
        <v>41973</v>
      </c>
      <c r="D542" t="s">
        <v>40</v>
      </c>
      <c r="E542" t="s">
        <v>1998</v>
      </c>
      <c r="F542" t="s">
        <v>1999</v>
      </c>
      <c r="G542" t="s">
        <v>91</v>
      </c>
      <c r="H542" t="s">
        <v>26</v>
      </c>
      <c r="I542" t="s">
        <v>690</v>
      </c>
      <c r="J542" t="s">
        <v>93</v>
      </c>
      <c r="K542" t="s">
        <v>94</v>
      </c>
      <c r="L542" t="s">
        <v>662</v>
      </c>
      <c r="M542" t="s">
        <v>31</v>
      </c>
      <c r="N542" t="s">
        <v>57</v>
      </c>
      <c r="O542" t="s">
        <v>663</v>
      </c>
      <c r="P542">
        <v>6.0960000000000001</v>
      </c>
      <c r="Q542">
        <v>3</v>
      </c>
      <c r="R542">
        <v>0.6</v>
      </c>
      <c r="S542">
        <v>-3.9624000000000001</v>
      </c>
      <c r="T542" t="s">
        <v>59</v>
      </c>
      <c r="U542" t="s">
        <v>35</v>
      </c>
    </row>
    <row r="543" spans="1:21" x14ac:dyDescent="0.25">
      <c r="A543" t="s">
        <v>2000</v>
      </c>
      <c r="B543" s="1">
        <v>42488</v>
      </c>
      <c r="C543" s="1">
        <v>42495</v>
      </c>
      <c r="D543" t="s">
        <v>40</v>
      </c>
      <c r="E543" t="s">
        <v>2001</v>
      </c>
      <c r="F543" t="s">
        <v>2002</v>
      </c>
      <c r="G543" t="s">
        <v>91</v>
      </c>
      <c r="H543" t="s">
        <v>26</v>
      </c>
      <c r="I543" t="s">
        <v>53</v>
      </c>
      <c r="J543" t="s">
        <v>54</v>
      </c>
      <c r="K543" t="s">
        <v>55</v>
      </c>
      <c r="L543" t="s">
        <v>1004</v>
      </c>
      <c r="M543" t="s">
        <v>31</v>
      </c>
      <c r="N543" t="s">
        <v>37</v>
      </c>
      <c r="O543" t="s">
        <v>1005</v>
      </c>
      <c r="P543">
        <v>41.567999999999998</v>
      </c>
      <c r="Q543">
        <v>2</v>
      </c>
      <c r="R543">
        <v>0.2</v>
      </c>
      <c r="S543">
        <v>2.5979999999999999</v>
      </c>
      <c r="T543" t="s">
        <v>48</v>
      </c>
      <c r="U543" t="s">
        <v>114</v>
      </c>
    </row>
    <row r="544" spans="1:21" x14ac:dyDescent="0.25">
      <c r="A544" t="s">
        <v>2003</v>
      </c>
      <c r="B544" s="1">
        <v>41755</v>
      </c>
      <c r="C544" s="1">
        <v>41762</v>
      </c>
      <c r="D544" t="s">
        <v>40</v>
      </c>
      <c r="E544" t="s">
        <v>2004</v>
      </c>
      <c r="F544" t="s">
        <v>2005</v>
      </c>
      <c r="G544" t="s">
        <v>91</v>
      </c>
      <c r="H544" t="s">
        <v>26</v>
      </c>
      <c r="I544" t="s">
        <v>53</v>
      </c>
      <c r="J544" t="s">
        <v>54</v>
      </c>
      <c r="K544" t="s">
        <v>55</v>
      </c>
      <c r="L544" t="s">
        <v>467</v>
      </c>
      <c r="M544" t="s">
        <v>31</v>
      </c>
      <c r="N544" t="s">
        <v>37</v>
      </c>
      <c r="O544" t="s">
        <v>468</v>
      </c>
      <c r="P544">
        <v>230.28</v>
      </c>
      <c r="Q544">
        <v>3</v>
      </c>
      <c r="R544">
        <v>0.2</v>
      </c>
      <c r="S544">
        <v>23.027999999999999</v>
      </c>
      <c r="T544" t="s">
        <v>48</v>
      </c>
      <c r="U544" t="s">
        <v>114</v>
      </c>
    </row>
    <row r="545" spans="1:21" x14ac:dyDescent="0.25">
      <c r="A545" t="s">
        <v>2006</v>
      </c>
      <c r="B545" s="1">
        <v>42870</v>
      </c>
      <c r="C545" s="1">
        <v>42875</v>
      </c>
      <c r="D545" t="s">
        <v>40</v>
      </c>
      <c r="E545" t="s">
        <v>2007</v>
      </c>
      <c r="F545" t="s">
        <v>2008</v>
      </c>
      <c r="G545" t="s">
        <v>25</v>
      </c>
      <c r="H545" t="s">
        <v>26</v>
      </c>
      <c r="I545" t="s">
        <v>192</v>
      </c>
      <c r="J545" t="s">
        <v>193</v>
      </c>
      <c r="K545" t="s">
        <v>55</v>
      </c>
      <c r="L545" t="s">
        <v>1122</v>
      </c>
      <c r="M545" t="s">
        <v>31</v>
      </c>
      <c r="N545" t="s">
        <v>57</v>
      </c>
      <c r="O545" t="s">
        <v>1123</v>
      </c>
      <c r="P545">
        <v>39.96</v>
      </c>
      <c r="Q545">
        <v>2</v>
      </c>
      <c r="R545">
        <v>0</v>
      </c>
      <c r="S545">
        <v>17.1828</v>
      </c>
      <c r="T545" t="s">
        <v>59</v>
      </c>
      <c r="U545" t="s">
        <v>162</v>
      </c>
    </row>
    <row r="546" spans="1:21" x14ac:dyDescent="0.25">
      <c r="A546" t="s">
        <v>2006</v>
      </c>
      <c r="B546" s="1">
        <v>42870</v>
      </c>
      <c r="C546" s="1">
        <v>42875</v>
      </c>
      <c r="D546" t="s">
        <v>40</v>
      </c>
      <c r="E546" t="s">
        <v>2007</v>
      </c>
      <c r="F546" t="s">
        <v>2008</v>
      </c>
      <c r="G546" t="s">
        <v>25</v>
      </c>
      <c r="H546" t="s">
        <v>26</v>
      </c>
      <c r="I546" t="s">
        <v>192</v>
      </c>
      <c r="J546" t="s">
        <v>193</v>
      </c>
      <c r="K546" t="s">
        <v>55</v>
      </c>
      <c r="L546" t="s">
        <v>2009</v>
      </c>
      <c r="M546" t="s">
        <v>31</v>
      </c>
      <c r="N546" t="s">
        <v>37</v>
      </c>
      <c r="O546" t="s">
        <v>2010</v>
      </c>
      <c r="P546">
        <v>42.624000000000002</v>
      </c>
      <c r="Q546">
        <v>2</v>
      </c>
      <c r="R546">
        <v>0.2</v>
      </c>
      <c r="S546">
        <v>4.2624000000000004</v>
      </c>
      <c r="T546" t="s">
        <v>59</v>
      </c>
      <c r="U546" t="s">
        <v>162</v>
      </c>
    </row>
    <row r="547" spans="1:21" x14ac:dyDescent="0.25">
      <c r="A547" t="s">
        <v>2006</v>
      </c>
      <c r="B547" s="1">
        <v>42870</v>
      </c>
      <c r="C547" s="1">
        <v>42875</v>
      </c>
      <c r="D547" t="s">
        <v>40</v>
      </c>
      <c r="E547" t="s">
        <v>2007</v>
      </c>
      <c r="F547" t="s">
        <v>2008</v>
      </c>
      <c r="G547" t="s">
        <v>25</v>
      </c>
      <c r="H547" t="s">
        <v>26</v>
      </c>
      <c r="I547" t="s">
        <v>192</v>
      </c>
      <c r="J547" t="s">
        <v>193</v>
      </c>
      <c r="K547" t="s">
        <v>55</v>
      </c>
      <c r="L547" t="s">
        <v>247</v>
      </c>
      <c r="M547" t="s">
        <v>31</v>
      </c>
      <c r="N547" t="s">
        <v>37</v>
      </c>
      <c r="O547" t="s">
        <v>248</v>
      </c>
      <c r="P547">
        <v>220.96</v>
      </c>
      <c r="Q547">
        <v>1</v>
      </c>
      <c r="R547">
        <v>0.2</v>
      </c>
      <c r="S547">
        <v>24.858000000000001</v>
      </c>
      <c r="T547" t="s">
        <v>59</v>
      </c>
      <c r="U547" t="s">
        <v>162</v>
      </c>
    </row>
    <row r="548" spans="1:21" x14ac:dyDescent="0.25">
      <c r="A548" t="s">
        <v>2011</v>
      </c>
      <c r="B548" s="1">
        <v>42190</v>
      </c>
      <c r="C548" s="1">
        <v>42195</v>
      </c>
      <c r="D548" t="s">
        <v>22</v>
      </c>
      <c r="E548" t="s">
        <v>1526</v>
      </c>
      <c r="F548" t="s">
        <v>1527</v>
      </c>
      <c r="G548" t="s">
        <v>91</v>
      </c>
      <c r="H548" t="s">
        <v>26</v>
      </c>
      <c r="I548" t="s">
        <v>1912</v>
      </c>
      <c r="J548" t="s">
        <v>1037</v>
      </c>
      <c r="K548" t="s">
        <v>29</v>
      </c>
      <c r="L548" t="s">
        <v>2012</v>
      </c>
      <c r="M548" t="s">
        <v>31</v>
      </c>
      <c r="N548" t="s">
        <v>57</v>
      </c>
      <c r="O548" t="s">
        <v>2013</v>
      </c>
      <c r="P548">
        <v>4.9279999999999999</v>
      </c>
      <c r="Q548">
        <v>2</v>
      </c>
      <c r="R548">
        <v>0.2</v>
      </c>
      <c r="S548">
        <v>0.73919999999999997</v>
      </c>
      <c r="T548" t="s">
        <v>59</v>
      </c>
      <c r="U548" t="s">
        <v>72</v>
      </c>
    </row>
    <row r="549" spans="1:21" x14ac:dyDescent="0.25">
      <c r="A549" t="s">
        <v>2014</v>
      </c>
      <c r="B549" s="1">
        <v>42898</v>
      </c>
      <c r="C549" s="1">
        <v>42904</v>
      </c>
      <c r="D549" t="s">
        <v>40</v>
      </c>
      <c r="E549" t="s">
        <v>2015</v>
      </c>
      <c r="F549" t="s">
        <v>2016</v>
      </c>
      <c r="G549" t="s">
        <v>25</v>
      </c>
      <c r="H549" t="s">
        <v>26</v>
      </c>
      <c r="I549" t="s">
        <v>174</v>
      </c>
      <c r="J549" t="s">
        <v>121</v>
      </c>
      <c r="K549" t="s">
        <v>68</v>
      </c>
      <c r="L549" t="s">
        <v>581</v>
      </c>
      <c r="M549" t="s">
        <v>31</v>
      </c>
      <c r="N549" t="s">
        <v>37</v>
      </c>
      <c r="O549" t="s">
        <v>582</v>
      </c>
      <c r="P549">
        <v>858.24</v>
      </c>
      <c r="Q549">
        <v>4</v>
      </c>
      <c r="R549">
        <v>0.1</v>
      </c>
      <c r="S549">
        <v>143.04</v>
      </c>
      <c r="T549" t="s">
        <v>130</v>
      </c>
      <c r="U549" t="s">
        <v>60</v>
      </c>
    </row>
    <row r="550" spans="1:21" x14ac:dyDescent="0.25">
      <c r="A550" t="s">
        <v>2017</v>
      </c>
      <c r="B550" s="1">
        <v>42477</v>
      </c>
      <c r="C550" s="1">
        <v>42481</v>
      </c>
      <c r="D550" t="s">
        <v>22</v>
      </c>
      <c r="E550" t="s">
        <v>1738</v>
      </c>
      <c r="F550" t="s">
        <v>1739</v>
      </c>
      <c r="G550" t="s">
        <v>101</v>
      </c>
      <c r="H550" t="s">
        <v>26</v>
      </c>
      <c r="I550" t="s">
        <v>2018</v>
      </c>
      <c r="J550" t="s">
        <v>1037</v>
      </c>
      <c r="K550" t="s">
        <v>29</v>
      </c>
      <c r="L550" t="s">
        <v>501</v>
      </c>
      <c r="M550" t="s">
        <v>31</v>
      </c>
      <c r="N550" t="s">
        <v>57</v>
      </c>
      <c r="O550" t="s">
        <v>502</v>
      </c>
      <c r="P550">
        <v>18.623999999999999</v>
      </c>
      <c r="Q550">
        <v>8</v>
      </c>
      <c r="R550">
        <v>0.2</v>
      </c>
      <c r="S550">
        <v>6.2855999999999996</v>
      </c>
      <c r="T550" t="s">
        <v>84</v>
      </c>
      <c r="U550" t="s">
        <v>114</v>
      </c>
    </row>
    <row r="551" spans="1:21" x14ac:dyDescent="0.25">
      <c r="A551" t="s">
        <v>2019</v>
      </c>
      <c r="B551" s="1">
        <v>41889</v>
      </c>
      <c r="C551" s="1">
        <v>41894</v>
      </c>
      <c r="D551" t="s">
        <v>22</v>
      </c>
      <c r="E551" t="s">
        <v>2020</v>
      </c>
      <c r="F551" t="s">
        <v>2021</v>
      </c>
      <c r="G551" t="s">
        <v>25</v>
      </c>
      <c r="H551" t="s">
        <v>26</v>
      </c>
      <c r="I551" t="s">
        <v>2022</v>
      </c>
      <c r="J551" t="s">
        <v>1523</v>
      </c>
      <c r="K551" t="s">
        <v>94</v>
      </c>
      <c r="L551" t="s">
        <v>1312</v>
      </c>
      <c r="M551" t="s">
        <v>31</v>
      </c>
      <c r="N551" t="s">
        <v>57</v>
      </c>
      <c r="O551" t="s">
        <v>2023</v>
      </c>
      <c r="P551">
        <v>57.69</v>
      </c>
      <c r="Q551">
        <v>3</v>
      </c>
      <c r="R551">
        <v>0</v>
      </c>
      <c r="S551">
        <v>23.652899999999999</v>
      </c>
      <c r="T551" t="s">
        <v>59</v>
      </c>
      <c r="U551" t="s">
        <v>78</v>
      </c>
    </row>
    <row r="552" spans="1:21" x14ac:dyDescent="0.25">
      <c r="A552" t="s">
        <v>2019</v>
      </c>
      <c r="B552" s="1">
        <v>41889</v>
      </c>
      <c r="C552" s="1">
        <v>41894</v>
      </c>
      <c r="D552" t="s">
        <v>22</v>
      </c>
      <c r="E552" t="s">
        <v>2020</v>
      </c>
      <c r="F552" t="s">
        <v>2021</v>
      </c>
      <c r="G552" t="s">
        <v>25</v>
      </c>
      <c r="H552" t="s">
        <v>26</v>
      </c>
      <c r="I552" t="s">
        <v>2022</v>
      </c>
      <c r="J552" t="s">
        <v>1523</v>
      </c>
      <c r="K552" t="s">
        <v>94</v>
      </c>
      <c r="L552" t="s">
        <v>1958</v>
      </c>
      <c r="M552" t="s">
        <v>31</v>
      </c>
      <c r="N552" t="s">
        <v>57</v>
      </c>
      <c r="O552" t="s">
        <v>1959</v>
      </c>
      <c r="P552">
        <v>821.88</v>
      </c>
      <c r="Q552">
        <v>6</v>
      </c>
      <c r="R552">
        <v>0</v>
      </c>
      <c r="S552">
        <v>213.68879999999999</v>
      </c>
      <c r="T552" t="s">
        <v>59</v>
      </c>
      <c r="U552" t="s">
        <v>78</v>
      </c>
    </row>
    <row r="553" spans="1:21" x14ac:dyDescent="0.25">
      <c r="A553" t="s">
        <v>2024</v>
      </c>
      <c r="B553" s="1">
        <v>42639</v>
      </c>
      <c r="C553" s="1">
        <v>42644</v>
      </c>
      <c r="D553" t="s">
        <v>40</v>
      </c>
      <c r="E553" t="s">
        <v>2025</v>
      </c>
      <c r="F553" t="s">
        <v>2026</v>
      </c>
      <c r="G553" t="s">
        <v>91</v>
      </c>
      <c r="H553" t="s">
        <v>26</v>
      </c>
      <c r="I553" t="s">
        <v>2027</v>
      </c>
      <c r="J553" t="s">
        <v>54</v>
      </c>
      <c r="K553" t="s">
        <v>55</v>
      </c>
      <c r="L553" t="s">
        <v>1137</v>
      </c>
      <c r="M553" t="s">
        <v>31</v>
      </c>
      <c r="N553" t="s">
        <v>32</v>
      </c>
      <c r="O553" t="s">
        <v>1138</v>
      </c>
      <c r="P553">
        <v>424.95749999999998</v>
      </c>
      <c r="Q553">
        <v>5</v>
      </c>
      <c r="R553">
        <v>0.15</v>
      </c>
      <c r="S553">
        <v>19.998000000000001</v>
      </c>
      <c r="T553" t="s">
        <v>59</v>
      </c>
      <c r="U553" t="s">
        <v>78</v>
      </c>
    </row>
    <row r="554" spans="1:21" x14ac:dyDescent="0.25">
      <c r="A554" t="s">
        <v>2028</v>
      </c>
      <c r="B554" s="1">
        <v>42995</v>
      </c>
      <c r="C554" s="1">
        <v>42999</v>
      </c>
      <c r="D554" t="s">
        <v>22</v>
      </c>
      <c r="E554" t="s">
        <v>372</v>
      </c>
      <c r="F554" t="s">
        <v>373</v>
      </c>
      <c r="G554" t="s">
        <v>91</v>
      </c>
      <c r="H554" t="s">
        <v>26</v>
      </c>
      <c r="I554" t="s">
        <v>1234</v>
      </c>
      <c r="J554" t="s">
        <v>77</v>
      </c>
      <c r="K554" t="s">
        <v>55</v>
      </c>
      <c r="L554" t="s">
        <v>2029</v>
      </c>
      <c r="M554" t="s">
        <v>31</v>
      </c>
      <c r="N554" t="s">
        <v>32</v>
      </c>
      <c r="O554" t="s">
        <v>2030</v>
      </c>
      <c r="P554">
        <v>1292.94</v>
      </c>
      <c r="Q554">
        <v>3</v>
      </c>
      <c r="R554">
        <v>0</v>
      </c>
      <c r="S554">
        <v>77.576400000000007</v>
      </c>
      <c r="T554" t="s">
        <v>84</v>
      </c>
      <c r="U554" t="s">
        <v>78</v>
      </c>
    </row>
    <row r="555" spans="1:21" x14ac:dyDescent="0.25">
      <c r="A555" t="s">
        <v>2031</v>
      </c>
      <c r="B555" s="1">
        <v>42362</v>
      </c>
      <c r="C555" s="1">
        <v>42366</v>
      </c>
      <c r="D555" t="s">
        <v>40</v>
      </c>
      <c r="E555" t="s">
        <v>2032</v>
      </c>
      <c r="F555" t="s">
        <v>2033</v>
      </c>
      <c r="G555" t="s">
        <v>91</v>
      </c>
      <c r="H555" t="s">
        <v>26</v>
      </c>
      <c r="I555" t="s">
        <v>2034</v>
      </c>
      <c r="J555" t="s">
        <v>521</v>
      </c>
      <c r="K555" t="s">
        <v>55</v>
      </c>
      <c r="L555" t="s">
        <v>247</v>
      </c>
      <c r="M555" t="s">
        <v>31</v>
      </c>
      <c r="N555" t="s">
        <v>37</v>
      </c>
      <c r="O555" t="s">
        <v>248</v>
      </c>
      <c r="P555">
        <v>883.84</v>
      </c>
      <c r="Q555">
        <v>4</v>
      </c>
      <c r="R555">
        <v>0.2</v>
      </c>
      <c r="S555">
        <v>99.432000000000002</v>
      </c>
      <c r="T555" t="s">
        <v>84</v>
      </c>
      <c r="U555" t="s">
        <v>97</v>
      </c>
    </row>
    <row r="556" spans="1:21" x14ac:dyDescent="0.25">
      <c r="A556" t="s">
        <v>2035</v>
      </c>
      <c r="B556" s="1">
        <v>42491</v>
      </c>
      <c r="C556" s="1">
        <v>42494</v>
      </c>
      <c r="D556" t="s">
        <v>88</v>
      </c>
      <c r="E556" t="s">
        <v>2036</v>
      </c>
      <c r="F556" t="s">
        <v>2037</v>
      </c>
      <c r="G556" t="s">
        <v>25</v>
      </c>
      <c r="H556" t="s">
        <v>26</v>
      </c>
      <c r="I556" t="s">
        <v>141</v>
      </c>
      <c r="J556" t="s">
        <v>142</v>
      </c>
      <c r="K556" t="s">
        <v>29</v>
      </c>
      <c r="L556" t="s">
        <v>213</v>
      </c>
      <c r="M556" t="s">
        <v>31</v>
      </c>
      <c r="N556" t="s">
        <v>46</v>
      </c>
      <c r="O556" t="s">
        <v>214</v>
      </c>
      <c r="P556">
        <v>370.62</v>
      </c>
      <c r="Q556">
        <v>3</v>
      </c>
      <c r="R556">
        <v>0.4</v>
      </c>
      <c r="S556">
        <v>-142.071</v>
      </c>
      <c r="T556" t="s">
        <v>34</v>
      </c>
      <c r="U556" t="s">
        <v>162</v>
      </c>
    </row>
    <row r="557" spans="1:21" x14ac:dyDescent="0.25">
      <c r="A557" t="s">
        <v>2038</v>
      </c>
      <c r="B557" s="1">
        <v>42241</v>
      </c>
      <c r="C557" s="1">
        <v>42246</v>
      </c>
      <c r="D557" t="s">
        <v>40</v>
      </c>
      <c r="E557" t="s">
        <v>2039</v>
      </c>
      <c r="F557" t="s">
        <v>2040</v>
      </c>
      <c r="G557" t="s">
        <v>101</v>
      </c>
      <c r="H557" t="s">
        <v>26</v>
      </c>
      <c r="I557" t="s">
        <v>53</v>
      </c>
      <c r="J557" t="s">
        <v>54</v>
      </c>
      <c r="K557" t="s">
        <v>55</v>
      </c>
      <c r="L557" t="s">
        <v>69</v>
      </c>
      <c r="M557" t="s">
        <v>31</v>
      </c>
      <c r="N557" t="s">
        <v>37</v>
      </c>
      <c r="O557" t="s">
        <v>70</v>
      </c>
      <c r="P557">
        <v>40.783999999999999</v>
      </c>
      <c r="Q557">
        <v>1</v>
      </c>
      <c r="R557">
        <v>0.2</v>
      </c>
      <c r="S557">
        <v>4.5881999999999996</v>
      </c>
      <c r="T557" t="s">
        <v>59</v>
      </c>
      <c r="U557" t="s">
        <v>254</v>
      </c>
    </row>
    <row r="558" spans="1:21" x14ac:dyDescent="0.25">
      <c r="A558" t="s">
        <v>2041</v>
      </c>
      <c r="B558" s="1">
        <v>41891</v>
      </c>
      <c r="C558" s="1">
        <v>41894</v>
      </c>
      <c r="D558" t="s">
        <v>22</v>
      </c>
      <c r="E558" t="s">
        <v>2042</v>
      </c>
      <c r="F558" t="s">
        <v>2043</v>
      </c>
      <c r="G558" t="s">
        <v>91</v>
      </c>
      <c r="H558" t="s">
        <v>26</v>
      </c>
      <c r="I558" t="s">
        <v>2044</v>
      </c>
      <c r="J558" t="s">
        <v>435</v>
      </c>
      <c r="K558" t="s">
        <v>68</v>
      </c>
      <c r="L558" t="s">
        <v>2045</v>
      </c>
      <c r="M558" t="s">
        <v>31</v>
      </c>
      <c r="N558" t="s">
        <v>37</v>
      </c>
      <c r="O558" t="s">
        <v>2046</v>
      </c>
      <c r="P558">
        <v>785.88</v>
      </c>
      <c r="Q558">
        <v>6</v>
      </c>
      <c r="R558">
        <v>0</v>
      </c>
      <c r="S558">
        <v>212.1876</v>
      </c>
      <c r="T558" t="s">
        <v>34</v>
      </c>
      <c r="U558" t="s">
        <v>78</v>
      </c>
    </row>
    <row r="559" spans="1:21" x14ac:dyDescent="0.25">
      <c r="A559" t="s">
        <v>2047</v>
      </c>
      <c r="B559" s="1">
        <v>42391</v>
      </c>
      <c r="C559" s="1">
        <v>42397</v>
      </c>
      <c r="D559" t="s">
        <v>40</v>
      </c>
      <c r="E559" t="s">
        <v>788</v>
      </c>
      <c r="F559" t="s">
        <v>789</v>
      </c>
      <c r="G559" t="s">
        <v>91</v>
      </c>
      <c r="H559" t="s">
        <v>26</v>
      </c>
      <c r="I559" t="s">
        <v>192</v>
      </c>
      <c r="J559" t="s">
        <v>193</v>
      </c>
      <c r="K559" t="s">
        <v>55</v>
      </c>
      <c r="L559" t="s">
        <v>631</v>
      </c>
      <c r="M559" t="s">
        <v>31</v>
      </c>
      <c r="N559" t="s">
        <v>57</v>
      </c>
      <c r="O559" t="s">
        <v>632</v>
      </c>
      <c r="P559">
        <v>109.9</v>
      </c>
      <c r="Q559">
        <v>5</v>
      </c>
      <c r="R559">
        <v>0</v>
      </c>
      <c r="S559">
        <v>37.366</v>
      </c>
      <c r="T559" t="s">
        <v>130</v>
      </c>
      <c r="U559" t="s">
        <v>170</v>
      </c>
    </row>
    <row r="560" spans="1:21" x14ac:dyDescent="0.25">
      <c r="A560" t="s">
        <v>2048</v>
      </c>
      <c r="B560" s="1">
        <v>41927</v>
      </c>
      <c r="C560" s="1">
        <v>41932</v>
      </c>
      <c r="D560" t="s">
        <v>40</v>
      </c>
      <c r="E560" t="s">
        <v>2049</v>
      </c>
      <c r="F560" t="s">
        <v>2050</v>
      </c>
      <c r="G560" t="s">
        <v>25</v>
      </c>
      <c r="H560" t="s">
        <v>26</v>
      </c>
      <c r="I560" t="s">
        <v>2051</v>
      </c>
      <c r="J560" t="s">
        <v>44</v>
      </c>
      <c r="K560" t="s">
        <v>29</v>
      </c>
      <c r="L560" t="s">
        <v>1312</v>
      </c>
      <c r="M560" t="s">
        <v>31</v>
      </c>
      <c r="N560" t="s">
        <v>57</v>
      </c>
      <c r="O560" t="s">
        <v>2023</v>
      </c>
      <c r="P560">
        <v>15.384</v>
      </c>
      <c r="Q560">
        <v>1</v>
      </c>
      <c r="R560">
        <v>0.2</v>
      </c>
      <c r="S560">
        <v>4.0382999999999996</v>
      </c>
      <c r="T560" t="s">
        <v>59</v>
      </c>
      <c r="U560" t="s">
        <v>49</v>
      </c>
    </row>
    <row r="561" spans="1:21" x14ac:dyDescent="0.25">
      <c r="A561" t="s">
        <v>2052</v>
      </c>
      <c r="B561" s="1">
        <v>41716</v>
      </c>
      <c r="C561" s="1">
        <v>41721</v>
      </c>
      <c r="D561" t="s">
        <v>40</v>
      </c>
      <c r="E561" t="s">
        <v>1975</v>
      </c>
      <c r="F561" t="s">
        <v>1976</v>
      </c>
      <c r="G561" t="s">
        <v>101</v>
      </c>
      <c r="H561" t="s">
        <v>26</v>
      </c>
      <c r="I561" t="s">
        <v>607</v>
      </c>
      <c r="J561" t="s">
        <v>44</v>
      </c>
      <c r="K561" t="s">
        <v>29</v>
      </c>
      <c r="L561" t="s">
        <v>1312</v>
      </c>
      <c r="M561" t="s">
        <v>31</v>
      </c>
      <c r="N561" t="s">
        <v>57</v>
      </c>
      <c r="O561" t="s">
        <v>2023</v>
      </c>
      <c r="P561">
        <v>30.768000000000001</v>
      </c>
      <c r="Q561">
        <v>2</v>
      </c>
      <c r="R561">
        <v>0.2</v>
      </c>
      <c r="S561">
        <v>8.0765999999999991</v>
      </c>
      <c r="T561" t="s">
        <v>59</v>
      </c>
      <c r="U561" t="s">
        <v>196</v>
      </c>
    </row>
    <row r="562" spans="1:21" x14ac:dyDescent="0.25">
      <c r="A562" t="s">
        <v>2052</v>
      </c>
      <c r="B562" s="1">
        <v>41716</v>
      </c>
      <c r="C562" s="1">
        <v>41721</v>
      </c>
      <c r="D562" t="s">
        <v>40</v>
      </c>
      <c r="E562" t="s">
        <v>1975</v>
      </c>
      <c r="F562" t="s">
        <v>1976</v>
      </c>
      <c r="G562" t="s">
        <v>101</v>
      </c>
      <c r="H562" t="s">
        <v>26</v>
      </c>
      <c r="I562" t="s">
        <v>607</v>
      </c>
      <c r="J562" t="s">
        <v>44</v>
      </c>
      <c r="K562" t="s">
        <v>29</v>
      </c>
      <c r="L562" t="s">
        <v>1538</v>
      </c>
      <c r="M562" t="s">
        <v>31</v>
      </c>
      <c r="N562" t="s">
        <v>57</v>
      </c>
      <c r="O562" t="s">
        <v>1539</v>
      </c>
      <c r="P562">
        <v>122.352</v>
      </c>
      <c r="Q562">
        <v>3</v>
      </c>
      <c r="R562">
        <v>0.2</v>
      </c>
      <c r="S562">
        <v>15.294</v>
      </c>
      <c r="T562" t="s">
        <v>59</v>
      </c>
      <c r="U562" t="s">
        <v>196</v>
      </c>
    </row>
    <row r="563" spans="1:21" x14ac:dyDescent="0.25">
      <c r="A563" t="s">
        <v>2053</v>
      </c>
      <c r="B563" s="1">
        <v>42034</v>
      </c>
      <c r="C563" s="1">
        <v>42041</v>
      </c>
      <c r="D563" t="s">
        <v>40</v>
      </c>
      <c r="E563" t="s">
        <v>2054</v>
      </c>
      <c r="F563" t="s">
        <v>2055</v>
      </c>
      <c r="G563" t="s">
        <v>25</v>
      </c>
      <c r="H563" t="s">
        <v>26</v>
      </c>
      <c r="I563" t="s">
        <v>53</v>
      </c>
      <c r="J563" t="s">
        <v>54</v>
      </c>
      <c r="K563" t="s">
        <v>55</v>
      </c>
      <c r="L563" t="s">
        <v>2056</v>
      </c>
      <c r="M563" t="s">
        <v>31</v>
      </c>
      <c r="N563" t="s">
        <v>57</v>
      </c>
      <c r="O563" t="s">
        <v>2057</v>
      </c>
      <c r="P563">
        <v>227.36</v>
      </c>
      <c r="Q563">
        <v>7</v>
      </c>
      <c r="R563">
        <v>0</v>
      </c>
      <c r="S563">
        <v>81.849599999999995</v>
      </c>
      <c r="T563" t="s">
        <v>48</v>
      </c>
      <c r="U563" t="s">
        <v>170</v>
      </c>
    </row>
    <row r="564" spans="1:21" x14ac:dyDescent="0.25">
      <c r="A564" t="s">
        <v>2058</v>
      </c>
      <c r="B564" s="1">
        <v>43017</v>
      </c>
      <c r="C564" s="1">
        <v>43019</v>
      </c>
      <c r="D564" t="s">
        <v>88</v>
      </c>
      <c r="E564" t="s">
        <v>2059</v>
      </c>
      <c r="F564" t="s">
        <v>2060</v>
      </c>
      <c r="G564" t="s">
        <v>91</v>
      </c>
      <c r="H564" t="s">
        <v>26</v>
      </c>
      <c r="I564" t="s">
        <v>2061</v>
      </c>
      <c r="J564" t="s">
        <v>232</v>
      </c>
      <c r="K564" t="s">
        <v>68</v>
      </c>
      <c r="L564" t="s">
        <v>777</v>
      </c>
      <c r="M564" t="s">
        <v>31</v>
      </c>
      <c r="N564" t="s">
        <v>57</v>
      </c>
      <c r="O564" t="s">
        <v>778</v>
      </c>
      <c r="P564">
        <v>45.887999999999998</v>
      </c>
      <c r="Q564">
        <v>4</v>
      </c>
      <c r="R564">
        <v>0.2</v>
      </c>
      <c r="S564">
        <v>9.1776</v>
      </c>
      <c r="T564" t="s">
        <v>71</v>
      </c>
      <c r="U564" t="s">
        <v>49</v>
      </c>
    </row>
    <row r="565" spans="1:21" x14ac:dyDescent="0.25">
      <c r="A565" t="s">
        <v>2062</v>
      </c>
      <c r="B565" s="1">
        <v>41979</v>
      </c>
      <c r="C565" s="1">
        <v>41981</v>
      </c>
      <c r="D565" t="s">
        <v>22</v>
      </c>
      <c r="E565" t="s">
        <v>1575</v>
      </c>
      <c r="F565" t="s">
        <v>1576</v>
      </c>
      <c r="G565" t="s">
        <v>25</v>
      </c>
      <c r="H565" t="s">
        <v>26</v>
      </c>
      <c r="I565" t="s">
        <v>102</v>
      </c>
      <c r="J565" t="s">
        <v>93</v>
      </c>
      <c r="K565" t="s">
        <v>94</v>
      </c>
      <c r="L565" t="s">
        <v>698</v>
      </c>
      <c r="M565" t="s">
        <v>31</v>
      </c>
      <c r="N565" t="s">
        <v>57</v>
      </c>
      <c r="O565" t="s">
        <v>699</v>
      </c>
      <c r="P565">
        <v>23.975999999999999</v>
      </c>
      <c r="Q565">
        <v>3</v>
      </c>
      <c r="R565">
        <v>0.6</v>
      </c>
      <c r="S565">
        <v>-14.3856</v>
      </c>
      <c r="T565" t="s">
        <v>71</v>
      </c>
      <c r="U565" t="s">
        <v>97</v>
      </c>
    </row>
    <row r="566" spans="1:21" x14ac:dyDescent="0.25">
      <c r="A566" t="s">
        <v>2063</v>
      </c>
      <c r="B566" s="1">
        <v>43046</v>
      </c>
      <c r="C566" s="1">
        <v>43052</v>
      </c>
      <c r="D566" t="s">
        <v>40</v>
      </c>
      <c r="E566" t="s">
        <v>2064</v>
      </c>
      <c r="F566" t="s">
        <v>2065</v>
      </c>
      <c r="G566" t="s">
        <v>25</v>
      </c>
      <c r="H566" t="s">
        <v>26</v>
      </c>
      <c r="I566" t="s">
        <v>66</v>
      </c>
      <c r="J566" t="s">
        <v>67</v>
      </c>
      <c r="K566" t="s">
        <v>68</v>
      </c>
      <c r="L566" t="s">
        <v>1901</v>
      </c>
      <c r="M566" t="s">
        <v>31</v>
      </c>
      <c r="N566" t="s">
        <v>46</v>
      </c>
      <c r="O566" t="s">
        <v>1902</v>
      </c>
      <c r="P566">
        <v>350.35199999999998</v>
      </c>
      <c r="Q566">
        <v>4</v>
      </c>
      <c r="R566">
        <v>0.4</v>
      </c>
      <c r="S566">
        <v>-140.14080000000001</v>
      </c>
      <c r="T566" t="s">
        <v>130</v>
      </c>
      <c r="U566" t="s">
        <v>35</v>
      </c>
    </row>
    <row r="567" spans="1:21" x14ac:dyDescent="0.25">
      <c r="A567" t="s">
        <v>2066</v>
      </c>
      <c r="B567" s="1">
        <v>42779</v>
      </c>
      <c r="C567" s="1">
        <v>42785</v>
      </c>
      <c r="D567" t="s">
        <v>40</v>
      </c>
      <c r="E567" t="s">
        <v>2067</v>
      </c>
      <c r="F567" t="s">
        <v>2068</v>
      </c>
      <c r="G567" t="s">
        <v>25</v>
      </c>
      <c r="H567" t="s">
        <v>26</v>
      </c>
      <c r="I567" t="s">
        <v>192</v>
      </c>
      <c r="J567" t="s">
        <v>193</v>
      </c>
      <c r="K567" t="s">
        <v>55</v>
      </c>
      <c r="L567" t="s">
        <v>309</v>
      </c>
      <c r="M567" t="s">
        <v>31</v>
      </c>
      <c r="N567" t="s">
        <v>57</v>
      </c>
      <c r="O567" t="s">
        <v>310</v>
      </c>
      <c r="P567">
        <v>107.53</v>
      </c>
      <c r="Q567">
        <v>1</v>
      </c>
      <c r="R567">
        <v>0</v>
      </c>
      <c r="S567">
        <v>21.506</v>
      </c>
      <c r="T567" t="s">
        <v>130</v>
      </c>
      <c r="U567" t="s">
        <v>298</v>
      </c>
    </row>
    <row r="568" spans="1:21" x14ac:dyDescent="0.25">
      <c r="A568" t="s">
        <v>2069</v>
      </c>
      <c r="B568" s="1">
        <v>42321</v>
      </c>
      <c r="C568" s="1">
        <v>42327</v>
      </c>
      <c r="D568" t="s">
        <v>40</v>
      </c>
      <c r="E568" t="s">
        <v>312</v>
      </c>
      <c r="F568" t="s">
        <v>313</v>
      </c>
      <c r="G568" t="s">
        <v>25</v>
      </c>
      <c r="H568" t="s">
        <v>26</v>
      </c>
      <c r="I568" t="s">
        <v>231</v>
      </c>
      <c r="J568" t="s">
        <v>201</v>
      </c>
      <c r="K568" t="s">
        <v>68</v>
      </c>
      <c r="L568" t="s">
        <v>1137</v>
      </c>
      <c r="M568" t="s">
        <v>31</v>
      </c>
      <c r="N568" t="s">
        <v>32</v>
      </c>
      <c r="O568" t="s">
        <v>1138</v>
      </c>
      <c r="P568">
        <v>299.97000000000003</v>
      </c>
      <c r="Q568">
        <v>3</v>
      </c>
      <c r="R568">
        <v>0</v>
      </c>
      <c r="S568">
        <v>56.994300000000003</v>
      </c>
      <c r="T568" t="s">
        <v>130</v>
      </c>
      <c r="U568" t="s">
        <v>35</v>
      </c>
    </row>
    <row r="569" spans="1:21" x14ac:dyDescent="0.25">
      <c r="A569" t="s">
        <v>2070</v>
      </c>
      <c r="B569" s="1">
        <v>41947</v>
      </c>
      <c r="C569" s="1">
        <v>41951</v>
      </c>
      <c r="D569" t="s">
        <v>40</v>
      </c>
      <c r="E569" t="s">
        <v>2071</v>
      </c>
      <c r="F569" t="s">
        <v>2072</v>
      </c>
      <c r="G569" t="s">
        <v>25</v>
      </c>
      <c r="H569" t="s">
        <v>26</v>
      </c>
      <c r="I569" t="s">
        <v>640</v>
      </c>
      <c r="J569" t="s">
        <v>54</v>
      </c>
      <c r="K569" t="s">
        <v>55</v>
      </c>
      <c r="L569" t="s">
        <v>1990</v>
      </c>
      <c r="M569" t="s">
        <v>31</v>
      </c>
      <c r="N569" t="s">
        <v>57</v>
      </c>
      <c r="O569" t="s">
        <v>1991</v>
      </c>
      <c r="P569">
        <v>35.340000000000003</v>
      </c>
      <c r="Q569">
        <v>2</v>
      </c>
      <c r="R569">
        <v>0</v>
      </c>
      <c r="S569">
        <v>13.4292</v>
      </c>
      <c r="T569" t="s">
        <v>84</v>
      </c>
      <c r="U569" t="s">
        <v>35</v>
      </c>
    </row>
    <row r="570" spans="1:21" x14ac:dyDescent="0.25">
      <c r="A570" t="s">
        <v>2073</v>
      </c>
      <c r="B570" s="1">
        <v>42175</v>
      </c>
      <c r="C570" s="1">
        <v>42180</v>
      </c>
      <c r="D570" t="s">
        <v>22</v>
      </c>
      <c r="E570" t="s">
        <v>2074</v>
      </c>
      <c r="F570" t="s">
        <v>2075</v>
      </c>
      <c r="G570" t="s">
        <v>91</v>
      </c>
      <c r="H570" t="s">
        <v>26</v>
      </c>
      <c r="I570" t="s">
        <v>329</v>
      </c>
      <c r="J570" t="s">
        <v>54</v>
      </c>
      <c r="K570" t="s">
        <v>55</v>
      </c>
      <c r="L570" t="s">
        <v>746</v>
      </c>
      <c r="M570" t="s">
        <v>31</v>
      </c>
      <c r="N570" t="s">
        <v>57</v>
      </c>
      <c r="O570" t="s">
        <v>747</v>
      </c>
      <c r="P570">
        <v>257.64</v>
      </c>
      <c r="Q570">
        <v>6</v>
      </c>
      <c r="R570">
        <v>0</v>
      </c>
      <c r="S570">
        <v>100.4796</v>
      </c>
      <c r="T570" t="s">
        <v>59</v>
      </c>
      <c r="U570" t="s">
        <v>60</v>
      </c>
    </row>
    <row r="571" spans="1:21" x14ac:dyDescent="0.25">
      <c r="A571" t="s">
        <v>2076</v>
      </c>
      <c r="B571" s="1">
        <v>41771</v>
      </c>
      <c r="C571" s="1">
        <v>41776</v>
      </c>
      <c r="D571" t="s">
        <v>40</v>
      </c>
      <c r="E571" t="s">
        <v>1928</v>
      </c>
      <c r="F571" t="s">
        <v>1929</v>
      </c>
      <c r="G571" t="s">
        <v>25</v>
      </c>
      <c r="H571" t="s">
        <v>26</v>
      </c>
      <c r="I571" t="s">
        <v>238</v>
      </c>
      <c r="J571" t="s">
        <v>435</v>
      </c>
      <c r="K571" t="s">
        <v>68</v>
      </c>
      <c r="L571" t="s">
        <v>763</v>
      </c>
      <c r="M571" t="s">
        <v>31</v>
      </c>
      <c r="N571" t="s">
        <v>46</v>
      </c>
      <c r="O571" t="s">
        <v>764</v>
      </c>
      <c r="P571">
        <v>700.05600000000004</v>
      </c>
      <c r="Q571">
        <v>3</v>
      </c>
      <c r="R571">
        <v>0.3</v>
      </c>
      <c r="S571">
        <v>-130.0104</v>
      </c>
      <c r="T571" t="s">
        <v>59</v>
      </c>
      <c r="U571" t="s">
        <v>162</v>
      </c>
    </row>
    <row r="572" spans="1:21" x14ac:dyDescent="0.25">
      <c r="A572" t="s">
        <v>2077</v>
      </c>
      <c r="B572" s="1">
        <v>41798</v>
      </c>
      <c r="C572" s="1">
        <v>41804</v>
      </c>
      <c r="D572" t="s">
        <v>40</v>
      </c>
      <c r="E572" t="s">
        <v>629</v>
      </c>
      <c r="F572" t="s">
        <v>630</v>
      </c>
      <c r="G572" t="s">
        <v>25</v>
      </c>
      <c r="H572" t="s">
        <v>26</v>
      </c>
      <c r="I572" t="s">
        <v>192</v>
      </c>
      <c r="J572" t="s">
        <v>193</v>
      </c>
      <c r="K572" t="s">
        <v>55</v>
      </c>
      <c r="L572" t="s">
        <v>2078</v>
      </c>
      <c r="M572" t="s">
        <v>31</v>
      </c>
      <c r="N572" t="s">
        <v>37</v>
      </c>
      <c r="O572" t="s">
        <v>2079</v>
      </c>
      <c r="P572">
        <v>585.55200000000002</v>
      </c>
      <c r="Q572">
        <v>3</v>
      </c>
      <c r="R572">
        <v>0.2</v>
      </c>
      <c r="S572">
        <v>73.194000000000003</v>
      </c>
      <c r="T572" t="s">
        <v>130</v>
      </c>
      <c r="U572" t="s">
        <v>60</v>
      </c>
    </row>
    <row r="573" spans="1:21" x14ac:dyDescent="0.25">
      <c r="A573" t="s">
        <v>2080</v>
      </c>
      <c r="B573" s="1">
        <v>41785</v>
      </c>
      <c r="C573" s="1">
        <v>41789</v>
      </c>
      <c r="D573" t="s">
        <v>40</v>
      </c>
      <c r="E573" t="s">
        <v>2036</v>
      </c>
      <c r="F573" t="s">
        <v>2037</v>
      </c>
      <c r="G573" t="s">
        <v>25</v>
      </c>
      <c r="H573" t="s">
        <v>26</v>
      </c>
      <c r="I573" t="s">
        <v>53</v>
      </c>
      <c r="J573" t="s">
        <v>54</v>
      </c>
      <c r="K573" t="s">
        <v>55</v>
      </c>
      <c r="L573" t="s">
        <v>1533</v>
      </c>
      <c r="M573" t="s">
        <v>31</v>
      </c>
      <c r="N573" t="s">
        <v>37</v>
      </c>
      <c r="O573" t="s">
        <v>1534</v>
      </c>
      <c r="P573">
        <v>225.29599999999999</v>
      </c>
      <c r="Q573">
        <v>2</v>
      </c>
      <c r="R573">
        <v>0.2</v>
      </c>
      <c r="S573">
        <v>22.529599999999999</v>
      </c>
      <c r="T573" t="s">
        <v>84</v>
      </c>
      <c r="U573" t="s">
        <v>162</v>
      </c>
    </row>
    <row r="574" spans="1:21" x14ac:dyDescent="0.25">
      <c r="A574" t="s">
        <v>2081</v>
      </c>
      <c r="B574" s="1">
        <v>42440</v>
      </c>
      <c r="C574" s="1">
        <v>42444</v>
      </c>
      <c r="D574" t="s">
        <v>40</v>
      </c>
      <c r="E574" t="s">
        <v>2082</v>
      </c>
      <c r="F574" t="s">
        <v>2083</v>
      </c>
      <c r="G574" t="s">
        <v>101</v>
      </c>
      <c r="H574" t="s">
        <v>26</v>
      </c>
      <c r="I574" t="s">
        <v>348</v>
      </c>
      <c r="J574" t="s">
        <v>668</v>
      </c>
      <c r="K574" t="s">
        <v>29</v>
      </c>
      <c r="L574" t="s">
        <v>1312</v>
      </c>
      <c r="M574" t="s">
        <v>31</v>
      </c>
      <c r="N574" t="s">
        <v>57</v>
      </c>
      <c r="O574" t="s">
        <v>2023</v>
      </c>
      <c r="P574">
        <v>76.92</v>
      </c>
      <c r="Q574">
        <v>4</v>
      </c>
      <c r="R574">
        <v>0</v>
      </c>
      <c r="S574">
        <v>31.537199999999999</v>
      </c>
      <c r="T574" t="s">
        <v>84</v>
      </c>
      <c r="U574" t="s">
        <v>196</v>
      </c>
    </row>
    <row r="575" spans="1:21" x14ac:dyDescent="0.25">
      <c r="A575" t="s">
        <v>2084</v>
      </c>
      <c r="B575" s="1">
        <v>43079</v>
      </c>
      <c r="C575" s="1">
        <v>43081</v>
      </c>
      <c r="D575" t="s">
        <v>88</v>
      </c>
      <c r="E575" t="s">
        <v>1503</v>
      </c>
      <c r="F575" t="s">
        <v>1504</v>
      </c>
      <c r="G575" t="s">
        <v>25</v>
      </c>
      <c r="H575" t="s">
        <v>26</v>
      </c>
      <c r="I575" t="s">
        <v>43</v>
      </c>
      <c r="J575" t="s">
        <v>44</v>
      </c>
      <c r="K575" t="s">
        <v>29</v>
      </c>
      <c r="L575" t="s">
        <v>928</v>
      </c>
      <c r="M575" t="s">
        <v>31</v>
      </c>
      <c r="N575" t="s">
        <v>57</v>
      </c>
      <c r="O575" t="s">
        <v>317</v>
      </c>
      <c r="P575">
        <v>19.103999999999999</v>
      </c>
      <c r="Q575">
        <v>3</v>
      </c>
      <c r="R575">
        <v>0.2</v>
      </c>
      <c r="S575">
        <v>5.7312000000000003</v>
      </c>
      <c r="T575" t="s">
        <v>71</v>
      </c>
      <c r="U575" t="s">
        <v>97</v>
      </c>
    </row>
    <row r="576" spans="1:21" x14ac:dyDescent="0.25">
      <c r="A576" t="s">
        <v>2085</v>
      </c>
      <c r="B576" s="1">
        <v>42202</v>
      </c>
      <c r="C576" s="1">
        <v>42204</v>
      </c>
      <c r="D576" t="s">
        <v>22</v>
      </c>
      <c r="E576" t="s">
        <v>1332</v>
      </c>
      <c r="F576" t="s">
        <v>1333</v>
      </c>
      <c r="G576" t="s">
        <v>25</v>
      </c>
      <c r="H576" t="s">
        <v>26</v>
      </c>
      <c r="I576" t="s">
        <v>2086</v>
      </c>
      <c r="J576" t="s">
        <v>54</v>
      </c>
      <c r="K576" t="s">
        <v>55</v>
      </c>
      <c r="L576" t="s">
        <v>1477</v>
      </c>
      <c r="M576" t="s">
        <v>31</v>
      </c>
      <c r="N576" t="s">
        <v>32</v>
      </c>
      <c r="O576" t="s">
        <v>1478</v>
      </c>
      <c r="P576">
        <v>195.46600000000001</v>
      </c>
      <c r="Q576">
        <v>2</v>
      </c>
      <c r="R576">
        <v>0.15</v>
      </c>
      <c r="S576">
        <v>-13.797599999999999</v>
      </c>
      <c r="T576" t="s">
        <v>71</v>
      </c>
      <c r="U576" t="s">
        <v>72</v>
      </c>
    </row>
    <row r="577" spans="1:21" x14ac:dyDescent="0.25">
      <c r="A577" t="s">
        <v>2087</v>
      </c>
      <c r="B577" s="1">
        <v>42855</v>
      </c>
      <c r="C577" s="1">
        <v>42860</v>
      </c>
      <c r="D577" t="s">
        <v>40</v>
      </c>
      <c r="E577" t="s">
        <v>2088</v>
      </c>
      <c r="F577" t="s">
        <v>2089</v>
      </c>
      <c r="G577" t="s">
        <v>91</v>
      </c>
      <c r="H577" t="s">
        <v>26</v>
      </c>
      <c r="I577" t="s">
        <v>2090</v>
      </c>
      <c r="J577" t="s">
        <v>44</v>
      </c>
      <c r="K577" t="s">
        <v>29</v>
      </c>
      <c r="L577" t="s">
        <v>447</v>
      </c>
      <c r="M577" t="s">
        <v>31</v>
      </c>
      <c r="N577" t="s">
        <v>57</v>
      </c>
      <c r="O577" t="s">
        <v>448</v>
      </c>
      <c r="P577">
        <v>23.68</v>
      </c>
      <c r="Q577">
        <v>8</v>
      </c>
      <c r="R577">
        <v>0.2</v>
      </c>
      <c r="S577">
        <v>6.2160000000000002</v>
      </c>
      <c r="T577" t="s">
        <v>59</v>
      </c>
      <c r="U577" t="s">
        <v>114</v>
      </c>
    </row>
    <row r="578" spans="1:21" x14ac:dyDescent="0.25">
      <c r="A578" t="s">
        <v>2091</v>
      </c>
      <c r="B578" s="1">
        <v>42268</v>
      </c>
      <c r="C578" s="1">
        <v>42270</v>
      </c>
      <c r="D578" t="s">
        <v>88</v>
      </c>
      <c r="E578" t="s">
        <v>2092</v>
      </c>
      <c r="F578" t="s">
        <v>2093</v>
      </c>
      <c r="G578" t="s">
        <v>101</v>
      </c>
      <c r="H578" t="s">
        <v>26</v>
      </c>
      <c r="I578" t="s">
        <v>53</v>
      </c>
      <c r="J578" t="s">
        <v>54</v>
      </c>
      <c r="K578" t="s">
        <v>55</v>
      </c>
      <c r="L578" t="s">
        <v>626</v>
      </c>
      <c r="M578" t="s">
        <v>31</v>
      </c>
      <c r="N578" t="s">
        <v>37</v>
      </c>
      <c r="O578" t="s">
        <v>627</v>
      </c>
      <c r="P578">
        <v>601.53599999999994</v>
      </c>
      <c r="Q578">
        <v>4</v>
      </c>
      <c r="R578">
        <v>0.2</v>
      </c>
      <c r="S578">
        <v>0</v>
      </c>
      <c r="T578" t="s">
        <v>71</v>
      </c>
      <c r="U578" t="s">
        <v>78</v>
      </c>
    </row>
    <row r="579" spans="1:21" x14ac:dyDescent="0.25">
      <c r="A579" t="s">
        <v>2094</v>
      </c>
      <c r="B579" s="1">
        <v>41975</v>
      </c>
      <c r="C579" s="1">
        <v>41979</v>
      </c>
      <c r="D579" t="s">
        <v>40</v>
      </c>
      <c r="E579" t="s">
        <v>2095</v>
      </c>
      <c r="F579" t="s">
        <v>2096</v>
      </c>
      <c r="G579" t="s">
        <v>91</v>
      </c>
      <c r="H579" t="s">
        <v>26</v>
      </c>
      <c r="I579" t="s">
        <v>2097</v>
      </c>
      <c r="J579" t="s">
        <v>93</v>
      </c>
      <c r="K579" t="s">
        <v>94</v>
      </c>
      <c r="L579" t="s">
        <v>390</v>
      </c>
      <c r="M579" t="s">
        <v>31</v>
      </c>
      <c r="N579" t="s">
        <v>57</v>
      </c>
      <c r="O579" t="s">
        <v>391</v>
      </c>
      <c r="P579">
        <v>58.36</v>
      </c>
      <c r="Q579">
        <v>5</v>
      </c>
      <c r="R579">
        <v>0.6</v>
      </c>
      <c r="S579">
        <v>-24.803000000000001</v>
      </c>
      <c r="T579" t="s">
        <v>84</v>
      </c>
      <c r="U579" t="s">
        <v>97</v>
      </c>
    </row>
    <row r="580" spans="1:21" x14ac:dyDescent="0.25">
      <c r="A580" t="s">
        <v>2094</v>
      </c>
      <c r="B580" s="1">
        <v>41975</v>
      </c>
      <c r="C580" s="1">
        <v>41979</v>
      </c>
      <c r="D580" t="s">
        <v>40</v>
      </c>
      <c r="E580" t="s">
        <v>2095</v>
      </c>
      <c r="F580" t="s">
        <v>2096</v>
      </c>
      <c r="G580" t="s">
        <v>91</v>
      </c>
      <c r="H580" t="s">
        <v>26</v>
      </c>
      <c r="I580" t="s">
        <v>2097</v>
      </c>
      <c r="J580" t="s">
        <v>93</v>
      </c>
      <c r="K580" t="s">
        <v>94</v>
      </c>
      <c r="L580" t="s">
        <v>698</v>
      </c>
      <c r="M580" t="s">
        <v>31</v>
      </c>
      <c r="N580" t="s">
        <v>57</v>
      </c>
      <c r="O580" t="s">
        <v>699</v>
      </c>
      <c r="P580">
        <v>39.96</v>
      </c>
      <c r="Q580">
        <v>5</v>
      </c>
      <c r="R580">
        <v>0.6</v>
      </c>
      <c r="S580">
        <v>-23.975999999999999</v>
      </c>
      <c r="T580" t="s">
        <v>84</v>
      </c>
      <c r="U580" t="s">
        <v>97</v>
      </c>
    </row>
    <row r="581" spans="1:21" x14ac:dyDescent="0.25">
      <c r="A581" t="s">
        <v>2098</v>
      </c>
      <c r="B581" s="1">
        <v>41741</v>
      </c>
      <c r="C581" s="1">
        <v>41746</v>
      </c>
      <c r="D581" t="s">
        <v>40</v>
      </c>
      <c r="E581" t="s">
        <v>2099</v>
      </c>
      <c r="F581" t="s">
        <v>2100</v>
      </c>
      <c r="G581" t="s">
        <v>91</v>
      </c>
      <c r="H581" t="s">
        <v>26</v>
      </c>
      <c r="I581" t="s">
        <v>2101</v>
      </c>
      <c r="J581" t="s">
        <v>54</v>
      </c>
      <c r="K581" t="s">
        <v>55</v>
      </c>
      <c r="L581" t="s">
        <v>543</v>
      </c>
      <c r="M581" t="s">
        <v>31</v>
      </c>
      <c r="N581" t="s">
        <v>32</v>
      </c>
      <c r="O581" t="s">
        <v>544</v>
      </c>
      <c r="P581">
        <v>308.49900000000002</v>
      </c>
      <c r="Q581">
        <v>3</v>
      </c>
      <c r="R581">
        <v>0.15</v>
      </c>
      <c r="S581">
        <v>-18.146999999999998</v>
      </c>
      <c r="T581" t="s">
        <v>59</v>
      </c>
      <c r="U581" t="s">
        <v>114</v>
      </c>
    </row>
    <row r="582" spans="1:21" x14ac:dyDescent="0.25">
      <c r="A582" t="s">
        <v>2102</v>
      </c>
      <c r="B582" s="1">
        <v>43042</v>
      </c>
      <c r="C582" s="1">
        <v>43047</v>
      </c>
      <c r="D582" t="s">
        <v>40</v>
      </c>
      <c r="E582" t="s">
        <v>2103</v>
      </c>
      <c r="F582" t="s">
        <v>2104</v>
      </c>
      <c r="G582" t="s">
        <v>25</v>
      </c>
      <c r="H582" t="s">
        <v>26</v>
      </c>
      <c r="I582" t="s">
        <v>2105</v>
      </c>
      <c r="J582" t="s">
        <v>1897</v>
      </c>
      <c r="K582" t="s">
        <v>55</v>
      </c>
      <c r="L582" t="s">
        <v>175</v>
      </c>
      <c r="M582" t="s">
        <v>31</v>
      </c>
      <c r="N582" t="s">
        <v>57</v>
      </c>
      <c r="O582" t="s">
        <v>176</v>
      </c>
      <c r="P582">
        <v>41.37</v>
      </c>
      <c r="Q582">
        <v>3</v>
      </c>
      <c r="R582">
        <v>0</v>
      </c>
      <c r="S582">
        <v>17.375399999999999</v>
      </c>
      <c r="T582" t="s">
        <v>59</v>
      </c>
      <c r="U582" t="s">
        <v>35</v>
      </c>
    </row>
    <row r="583" spans="1:21" x14ac:dyDescent="0.25">
      <c r="A583" t="s">
        <v>2106</v>
      </c>
      <c r="B583" s="1">
        <v>42254</v>
      </c>
      <c r="C583" s="1">
        <v>42258</v>
      </c>
      <c r="D583" t="s">
        <v>40</v>
      </c>
      <c r="E583" t="s">
        <v>2054</v>
      </c>
      <c r="F583" t="s">
        <v>2055</v>
      </c>
      <c r="G583" t="s">
        <v>25</v>
      </c>
      <c r="H583" t="s">
        <v>26</v>
      </c>
      <c r="I583" t="s">
        <v>1375</v>
      </c>
      <c r="J583" t="s">
        <v>93</v>
      </c>
      <c r="K583" t="s">
        <v>94</v>
      </c>
      <c r="L583" t="s">
        <v>1766</v>
      </c>
      <c r="M583" t="s">
        <v>31</v>
      </c>
      <c r="N583" t="s">
        <v>37</v>
      </c>
      <c r="O583" t="s">
        <v>1767</v>
      </c>
      <c r="P583">
        <v>47.515999999999998</v>
      </c>
      <c r="Q583">
        <v>2</v>
      </c>
      <c r="R583">
        <v>0.3</v>
      </c>
      <c r="S583">
        <v>-2.0364</v>
      </c>
      <c r="T583" t="s">
        <v>84</v>
      </c>
      <c r="U583" t="s">
        <v>78</v>
      </c>
    </row>
    <row r="584" spans="1:21" x14ac:dyDescent="0.25">
      <c r="A584" t="s">
        <v>2107</v>
      </c>
      <c r="B584" s="1">
        <v>42210</v>
      </c>
      <c r="C584" s="1">
        <v>42212</v>
      </c>
      <c r="D584" t="s">
        <v>22</v>
      </c>
      <c r="E584" t="s">
        <v>2108</v>
      </c>
      <c r="F584" t="s">
        <v>2109</v>
      </c>
      <c r="G584" t="s">
        <v>25</v>
      </c>
      <c r="H584" t="s">
        <v>26</v>
      </c>
      <c r="I584" t="s">
        <v>192</v>
      </c>
      <c r="J584" t="s">
        <v>193</v>
      </c>
      <c r="K584" t="s">
        <v>55</v>
      </c>
      <c r="L584" t="s">
        <v>1696</v>
      </c>
      <c r="M584" t="s">
        <v>31</v>
      </c>
      <c r="N584" t="s">
        <v>32</v>
      </c>
      <c r="O584" t="s">
        <v>1915</v>
      </c>
      <c r="P584">
        <v>704.9</v>
      </c>
      <c r="Q584">
        <v>5</v>
      </c>
      <c r="R584">
        <v>0</v>
      </c>
      <c r="S584">
        <v>56.392000000000003</v>
      </c>
      <c r="T584" t="s">
        <v>71</v>
      </c>
      <c r="U584" t="s">
        <v>72</v>
      </c>
    </row>
    <row r="585" spans="1:21" x14ac:dyDescent="0.25">
      <c r="A585" t="s">
        <v>2107</v>
      </c>
      <c r="B585" s="1">
        <v>42210</v>
      </c>
      <c r="C585" s="1">
        <v>42212</v>
      </c>
      <c r="D585" t="s">
        <v>22</v>
      </c>
      <c r="E585" t="s">
        <v>2108</v>
      </c>
      <c r="F585" t="s">
        <v>2109</v>
      </c>
      <c r="G585" t="s">
        <v>25</v>
      </c>
      <c r="H585" t="s">
        <v>26</v>
      </c>
      <c r="I585" t="s">
        <v>192</v>
      </c>
      <c r="J585" t="s">
        <v>193</v>
      </c>
      <c r="K585" t="s">
        <v>55</v>
      </c>
      <c r="L585" t="s">
        <v>1487</v>
      </c>
      <c r="M585" t="s">
        <v>31</v>
      </c>
      <c r="N585" t="s">
        <v>37</v>
      </c>
      <c r="O585" t="s">
        <v>1488</v>
      </c>
      <c r="P585">
        <v>561.56799999999998</v>
      </c>
      <c r="Q585">
        <v>2</v>
      </c>
      <c r="R585">
        <v>0.2</v>
      </c>
      <c r="S585">
        <v>28.078399999999998</v>
      </c>
      <c r="T585" t="s">
        <v>71</v>
      </c>
      <c r="U585" t="s">
        <v>72</v>
      </c>
    </row>
    <row r="586" spans="1:21" x14ac:dyDescent="0.25">
      <c r="A586" t="s">
        <v>2110</v>
      </c>
      <c r="B586" s="1">
        <v>42324</v>
      </c>
      <c r="C586" s="1">
        <v>42326</v>
      </c>
      <c r="D586" t="s">
        <v>22</v>
      </c>
      <c r="E586" t="s">
        <v>1352</v>
      </c>
      <c r="F586" t="s">
        <v>1353</v>
      </c>
      <c r="G586" t="s">
        <v>101</v>
      </c>
      <c r="H586" t="s">
        <v>26</v>
      </c>
      <c r="I586" t="s">
        <v>906</v>
      </c>
      <c r="J586" t="s">
        <v>239</v>
      </c>
      <c r="K586" t="s">
        <v>94</v>
      </c>
      <c r="L586" t="s">
        <v>2111</v>
      </c>
      <c r="M586" t="s">
        <v>31</v>
      </c>
      <c r="N586" t="s">
        <v>57</v>
      </c>
      <c r="O586" t="s">
        <v>2112</v>
      </c>
      <c r="P586">
        <v>185.58</v>
      </c>
      <c r="Q586">
        <v>6</v>
      </c>
      <c r="R586">
        <v>0</v>
      </c>
      <c r="S586">
        <v>76.087800000000001</v>
      </c>
      <c r="T586" t="s">
        <v>71</v>
      </c>
      <c r="U586" t="s">
        <v>35</v>
      </c>
    </row>
    <row r="587" spans="1:21" x14ac:dyDescent="0.25">
      <c r="A587" t="s">
        <v>2110</v>
      </c>
      <c r="B587" s="1">
        <v>42324</v>
      </c>
      <c r="C587" s="1">
        <v>42326</v>
      </c>
      <c r="D587" t="s">
        <v>22</v>
      </c>
      <c r="E587" t="s">
        <v>1352</v>
      </c>
      <c r="F587" t="s">
        <v>1353</v>
      </c>
      <c r="G587" t="s">
        <v>101</v>
      </c>
      <c r="H587" t="s">
        <v>26</v>
      </c>
      <c r="I587" t="s">
        <v>906</v>
      </c>
      <c r="J587" t="s">
        <v>239</v>
      </c>
      <c r="K587" t="s">
        <v>94</v>
      </c>
      <c r="L587" t="s">
        <v>908</v>
      </c>
      <c r="M587" t="s">
        <v>31</v>
      </c>
      <c r="N587" t="s">
        <v>46</v>
      </c>
      <c r="O587" t="s">
        <v>909</v>
      </c>
      <c r="P587">
        <v>214.11</v>
      </c>
      <c r="Q587">
        <v>3</v>
      </c>
      <c r="R587">
        <v>0</v>
      </c>
      <c r="S587">
        <v>36.398699999999998</v>
      </c>
      <c r="T587" t="s">
        <v>71</v>
      </c>
      <c r="U587" t="s">
        <v>35</v>
      </c>
    </row>
    <row r="588" spans="1:21" x14ac:dyDescent="0.25">
      <c r="A588" t="s">
        <v>2110</v>
      </c>
      <c r="B588" s="1">
        <v>42324</v>
      </c>
      <c r="C588" s="1">
        <v>42326</v>
      </c>
      <c r="D588" t="s">
        <v>22</v>
      </c>
      <c r="E588" t="s">
        <v>1352</v>
      </c>
      <c r="F588" t="s">
        <v>1353</v>
      </c>
      <c r="G588" t="s">
        <v>101</v>
      </c>
      <c r="H588" t="s">
        <v>26</v>
      </c>
      <c r="I588" t="s">
        <v>906</v>
      </c>
      <c r="J588" t="s">
        <v>239</v>
      </c>
      <c r="K588" t="s">
        <v>94</v>
      </c>
      <c r="L588" t="s">
        <v>700</v>
      </c>
      <c r="M588" t="s">
        <v>31</v>
      </c>
      <c r="N588" t="s">
        <v>46</v>
      </c>
      <c r="O588" t="s">
        <v>701</v>
      </c>
      <c r="P588">
        <v>653.54999999999995</v>
      </c>
      <c r="Q588">
        <v>3</v>
      </c>
      <c r="R588">
        <v>0</v>
      </c>
      <c r="S588">
        <v>111.1035</v>
      </c>
      <c r="T588" t="s">
        <v>71</v>
      </c>
      <c r="U588" t="s">
        <v>35</v>
      </c>
    </row>
    <row r="589" spans="1:21" x14ac:dyDescent="0.25">
      <c r="A589" t="s">
        <v>2113</v>
      </c>
      <c r="B589" s="1">
        <v>42248</v>
      </c>
      <c r="C589" s="1">
        <v>42255</v>
      </c>
      <c r="D589" t="s">
        <v>40</v>
      </c>
      <c r="E589" t="s">
        <v>2114</v>
      </c>
      <c r="F589" t="s">
        <v>2115</v>
      </c>
      <c r="G589" t="s">
        <v>101</v>
      </c>
      <c r="H589" t="s">
        <v>26</v>
      </c>
      <c r="I589" t="s">
        <v>238</v>
      </c>
      <c r="J589" t="s">
        <v>435</v>
      </c>
      <c r="K589" t="s">
        <v>68</v>
      </c>
      <c r="L589" t="s">
        <v>252</v>
      </c>
      <c r="M589" t="s">
        <v>31</v>
      </c>
      <c r="N589" t="s">
        <v>37</v>
      </c>
      <c r="O589" t="s">
        <v>253</v>
      </c>
      <c r="P589">
        <v>60.74</v>
      </c>
      <c r="Q589">
        <v>1</v>
      </c>
      <c r="R589">
        <v>0</v>
      </c>
      <c r="S589">
        <v>15.185</v>
      </c>
      <c r="T589" t="s">
        <v>48</v>
      </c>
      <c r="U589" t="s">
        <v>78</v>
      </c>
    </row>
    <row r="590" spans="1:21" x14ac:dyDescent="0.25">
      <c r="A590" t="s">
        <v>2113</v>
      </c>
      <c r="B590" s="1">
        <v>42248</v>
      </c>
      <c r="C590" s="1">
        <v>42255</v>
      </c>
      <c r="D590" t="s">
        <v>40</v>
      </c>
      <c r="E590" t="s">
        <v>2114</v>
      </c>
      <c r="F590" t="s">
        <v>2115</v>
      </c>
      <c r="G590" t="s">
        <v>101</v>
      </c>
      <c r="H590" t="s">
        <v>26</v>
      </c>
      <c r="I590" t="s">
        <v>238</v>
      </c>
      <c r="J590" t="s">
        <v>435</v>
      </c>
      <c r="K590" t="s">
        <v>68</v>
      </c>
      <c r="L590" t="s">
        <v>1797</v>
      </c>
      <c r="M590" t="s">
        <v>31</v>
      </c>
      <c r="N590" t="s">
        <v>57</v>
      </c>
      <c r="O590" t="s">
        <v>1798</v>
      </c>
      <c r="P590">
        <v>124.36</v>
      </c>
      <c r="Q590">
        <v>2</v>
      </c>
      <c r="R590">
        <v>0</v>
      </c>
      <c r="S590">
        <v>27.359200000000001</v>
      </c>
      <c r="T590" t="s">
        <v>48</v>
      </c>
      <c r="U590" t="s">
        <v>78</v>
      </c>
    </row>
    <row r="591" spans="1:21" x14ac:dyDescent="0.25">
      <c r="A591" t="s">
        <v>2116</v>
      </c>
      <c r="B591" s="1">
        <v>42495</v>
      </c>
      <c r="C591" s="1">
        <v>42498</v>
      </c>
      <c r="D591" t="s">
        <v>88</v>
      </c>
      <c r="E591" t="s">
        <v>2117</v>
      </c>
      <c r="F591" t="s">
        <v>2118</v>
      </c>
      <c r="G591" t="s">
        <v>25</v>
      </c>
      <c r="H591" t="s">
        <v>26</v>
      </c>
      <c r="I591" t="s">
        <v>1052</v>
      </c>
      <c r="J591" t="s">
        <v>54</v>
      </c>
      <c r="K591" t="s">
        <v>55</v>
      </c>
      <c r="L591" t="s">
        <v>291</v>
      </c>
      <c r="M591" t="s">
        <v>31</v>
      </c>
      <c r="N591" t="s">
        <v>46</v>
      </c>
      <c r="O591" t="s">
        <v>292</v>
      </c>
      <c r="P591">
        <v>298.77600000000001</v>
      </c>
      <c r="Q591">
        <v>3</v>
      </c>
      <c r="R591">
        <v>0.2</v>
      </c>
      <c r="S591">
        <v>7.4694000000000003</v>
      </c>
      <c r="T591" t="s">
        <v>34</v>
      </c>
      <c r="U591" t="s">
        <v>162</v>
      </c>
    </row>
    <row r="592" spans="1:21" x14ac:dyDescent="0.25">
      <c r="A592" t="s">
        <v>2119</v>
      </c>
      <c r="B592" s="1">
        <v>41907</v>
      </c>
      <c r="C592" s="1">
        <v>41912</v>
      </c>
      <c r="D592" t="s">
        <v>40</v>
      </c>
      <c r="E592" t="s">
        <v>541</v>
      </c>
      <c r="F592" t="s">
        <v>542</v>
      </c>
      <c r="G592" t="s">
        <v>101</v>
      </c>
      <c r="H592" t="s">
        <v>26</v>
      </c>
      <c r="I592" t="s">
        <v>102</v>
      </c>
      <c r="J592" t="s">
        <v>93</v>
      </c>
      <c r="K592" t="s">
        <v>94</v>
      </c>
      <c r="L592" t="s">
        <v>737</v>
      </c>
      <c r="M592" t="s">
        <v>31</v>
      </c>
      <c r="N592" t="s">
        <v>32</v>
      </c>
      <c r="O592" t="s">
        <v>738</v>
      </c>
      <c r="P592">
        <v>300.53280000000001</v>
      </c>
      <c r="Q592">
        <v>2</v>
      </c>
      <c r="R592">
        <v>0.32</v>
      </c>
      <c r="S592">
        <v>-97.231200000000001</v>
      </c>
      <c r="T592" t="s">
        <v>59</v>
      </c>
      <c r="U592" t="s">
        <v>78</v>
      </c>
    </row>
    <row r="593" spans="1:21" x14ac:dyDescent="0.25">
      <c r="A593" t="s">
        <v>2120</v>
      </c>
      <c r="B593" s="1">
        <v>41712</v>
      </c>
      <c r="C593" s="1">
        <v>41717</v>
      </c>
      <c r="D593" t="s">
        <v>40</v>
      </c>
      <c r="E593" t="s">
        <v>749</v>
      </c>
      <c r="F593" t="s">
        <v>750</v>
      </c>
      <c r="G593" t="s">
        <v>101</v>
      </c>
      <c r="H593" t="s">
        <v>26</v>
      </c>
      <c r="I593" t="s">
        <v>2121</v>
      </c>
      <c r="J593" t="s">
        <v>717</v>
      </c>
      <c r="K593" t="s">
        <v>29</v>
      </c>
      <c r="L593" t="s">
        <v>576</v>
      </c>
      <c r="M593" t="s">
        <v>31</v>
      </c>
      <c r="N593" t="s">
        <v>37</v>
      </c>
      <c r="O593" t="s">
        <v>577</v>
      </c>
      <c r="P593">
        <v>1139.92</v>
      </c>
      <c r="Q593">
        <v>4</v>
      </c>
      <c r="R593">
        <v>0</v>
      </c>
      <c r="S593">
        <v>284.98</v>
      </c>
      <c r="T593" t="s">
        <v>59</v>
      </c>
      <c r="U593" t="s">
        <v>196</v>
      </c>
    </row>
    <row r="594" spans="1:21" x14ac:dyDescent="0.25">
      <c r="A594" t="s">
        <v>2122</v>
      </c>
      <c r="B594" s="1">
        <v>42731</v>
      </c>
      <c r="C594" s="1">
        <v>42735</v>
      </c>
      <c r="D594" t="s">
        <v>40</v>
      </c>
      <c r="E594" t="s">
        <v>1160</v>
      </c>
      <c r="F594" t="s">
        <v>1161</v>
      </c>
      <c r="G594" t="s">
        <v>91</v>
      </c>
      <c r="H594" t="s">
        <v>26</v>
      </c>
      <c r="I594" t="s">
        <v>2123</v>
      </c>
      <c r="J594" t="s">
        <v>135</v>
      </c>
      <c r="K594" t="s">
        <v>94</v>
      </c>
      <c r="L594" t="s">
        <v>657</v>
      </c>
      <c r="M594" t="s">
        <v>31</v>
      </c>
      <c r="N594" t="s">
        <v>37</v>
      </c>
      <c r="O594" t="s">
        <v>658</v>
      </c>
      <c r="P594">
        <v>845.48800000000006</v>
      </c>
      <c r="Q594">
        <v>8</v>
      </c>
      <c r="R594">
        <v>0.3</v>
      </c>
      <c r="S594">
        <v>-12.0784</v>
      </c>
      <c r="T594" t="s">
        <v>84</v>
      </c>
      <c r="U594" t="s">
        <v>97</v>
      </c>
    </row>
    <row r="595" spans="1:21" x14ac:dyDescent="0.25">
      <c r="A595" t="s">
        <v>2124</v>
      </c>
      <c r="B595" s="1">
        <v>42833</v>
      </c>
      <c r="C595" s="1">
        <v>42840</v>
      </c>
      <c r="D595" t="s">
        <v>40</v>
      </c>
      <c r="E595" t="s">
        <v>2125</v>
      </c>
      <c r="F595" t="s">
        <v>2126</v>
      </c>
      <c r="G595" t="s">
        <v>91</v>
      </c>
      <c r="H595" t="s">
        <v>26</v>
      </c>
      <c r="I595" t="s">
        <v>1818</v>
      </c>
      <c r="J595" t="s">
        <v>668</v>
      </c>
      <c r="K595" t="s">
        <v>29</v>
      </c>
      <c r="L595" t="s">
        <v>2127</v>
      </c>
      <c r="M595" t="s">
        <v>31</v>
      </c>
      <c r="N595" t="s">
        <v>57</v>
      </c>
      <c r="O595" t="s">
        <v>2128</v>
      </c>
      <c r="P595">
        <v>56.28</v>
      </c>
      <c r="Q595">
        <v>6</v>
      </c>
      <c r="R595">
        <v>0</v>
      </c>
      <c r="S595">
        <v>15.7584</v>
      </c>
      <c r="T595" t="s">
        <v>48</v>
      </c>
      <c r="U595" t="s">
        <v>114</v>
      </c>
    </row>
    <row r="596" spans="1:21" x14ac:dyDescent="0.25">
      <c r="A596" t="s">
        <v>2129</v>
      </c>
      <c r="B596" s="1">
        <v>42448</v>
      </c>
      <c r="C596" s="1">
        <v>42450</v>
      </c>
      <c r="D596" t="s">
        <v>22</v>
      </c>
      <c r="E596" t="s">
        <v>1882</v>
      </c>
      <c r="F596" t="s">
        <v>1883</v>
      </c>
      <c r="G596" t="s">
        <v>25</v>
      </c>
      <c r="H596" t="s">
        <v>26</v>
      </c>
      <c r="I596" t="s">
        <v>762</v>
      </c>
      <c r="J596" t="s">
        <v>121</v>
      </c>
      <c r="K596" t="s">
        <v>68</v>
      </c>
      <c r="L596" t="s">
        <v>2130</v>
      </c>
      <c r="M596" t="s">
        <v>31</v>
      </c>
      <c r="N596" t="s">
        <v>57</v>
      </c>
      <c r="O596" t="s">
        <v>2131</v>
      </c>
      <c r="P596">
        <v>14.98</v>
      </c>
      <c r="Q596">
        <v>1</v>
      </c>
      <c r="R596">
        <v>0</v>
      </c>
      <c r="S596">
        <v>6.8907999999999996</v>
      </c>
      <c r="T596" t="s">
        <v>71</v>
      </c>
      <c r="U596" t="s">
        <v>196</v>
      </c>
    </row>
    <row r="597" spans="1:21" x14ac:dyDescent="0.25">
      <c r="A597" t="s">
        <v>2129</v>
      </c>
      <c r="B597" s="1">
        <v>42448</v>
      </c>
      <c r="C597" s="1">
        <v>42450</v>
      </c>
      <c r="D597" t="s">
        <v>22</v>
      </c>
      <c r="E597" t="s">
        <v>1882</v>
      </c>
      <c r="F597" t="s">
        <v>1883</v>
      </c>
      <c r="G597" t="s">
        <v>25</v>
      </c>
      <c r="H597" t="s">
        <v>26</v>
      </c>
      <c r="I597" t="s">
        <v>762</v>
      </c>
      <c r="J597" t="s">
        <v>121</v>
      </c>
      <c r="K597" t="s">
        <v>68</v>
      </c>
      <c r="L597" t="s">
        <v>662</v>
      </c>
      <c r="M597" t="s">
        <v>31</v>
      </c>
      <c r="N597" t="s">
        <v>57</v>
      </c>
      <c r="O597" t="s">
        <v>663</v>
      </c>
      <c r="P597">
        <v>20.32</v>
      </c>
      <c r="Q597">
        <v>4</v>
      </c>
      <c r="R597">
        <v>0</v>
      </c>
      <c r="S597">
        <v>6.9088000000000003</v>
      </c>
      <c r="T597" t="s">
        <v>71</v>
      </c>
      <c r="U597" t="s">
        <v>196</v>
      </c>
    </row>
    <row r="598" spans="1:21" x14ac:dyDescent="0.25">
      <c r="A598" t="s">
        <v>2132</v>
      </c>
      <c r="B598" s="1">
        <v>42608</v>
      </c>
      <c r="C598" s="1">
        <v>42611</v>
      </c>
      <c r="D598" t="s">
        <v>88</v>
      </c>
      <c r="E598" t="s">
        <v>398</v>
      </c>
      <c r="F598" t="s">
        <v>399</v>
      </c>
      <c r="G598" t="s">
        <v>91</v>
      </c>
      <c r="H598" t="s">
        <v>26</v>
      </c>
      <c r="I598" t="s">
        <v>640</v>
      </c>
      <c r="J598" t="s">
        <v>54</v>
      </c>
      <c r="K598" t="s">
        <v>55</v>
      </c>
      <c r="L598" t="s">
        <v>560</v>
      </c>
      <c r="M598" t="s">
        <v>31</v>
      </c>
      <c r="N598" t="s">
        <v>37</v>
      </c>
      <c r="O598" t="s">
        <v>561</v>
      </c>
      <c r="P598">
        <v>1603.136</v>
      </c>
      <c r="Q598">
        <v>4</v>
      </c>
      <c r="R598">
        <v>0.2</v>
      </c>
      <c r="S598">
        <v>100.196</v>
      </c>
      <c r="T598" t="s">
        <v>34</v>
      </c>
      <c r="U598" t="s">
        <v>254</v>
      </c>
    </row>
    <row r="599" spans="1:21" x14ac:dyDescent="0.25">
      <c r="A599" t="s">
        <v>2133</v>
      </c>
      <c r="B599" s="1">
        <v>42597</v>
      </c>
      <c r="C599" s="1">
        <v>42599</v>
      </c>
      <c r="D599" t="s">
        <v>22</v>
      </c>
      <c r="E599" t="s">
        <v>2134</v>
      </c>
      <c r="F599" t="s">
        <v>2135</v>
      </c>
      <c r="G599" t="s">
        <v>25</v>
      </c>
      <c r="H599" t="s">
        <v>26</v>
      </c>
      <c r="I599" t="s">
        <v>1912</v>
      </c>
      <c r="J599" t="s">
        <v>1037</v>
      </c>
      <c r="K599" t="s">
        <v>29</v>
      </c>
      <c r="L599" t="s">
        <v>1533</v>
      </c>
      <c r="M599" t="s">
        <v>31</v>
      </c>
      <c r="N599" t="s">
        <v>37</v>
      </c>
      <c r="O599" t="s">
        <v>1534</v>
      </c>
      <c r="P599">
        <v>225.29599999999999</v>
      </c>
      <c r="Q599">
        <v>2</v>
      </c>
      <c r="R599">
        <v>0.2</v>
      </c>
      <c r="S599">
        <v>22.529599999999999</v>
      </c>
      <c r="T599" t="s">
        <v>71</v>
      </c>
      <c r="U599" t="s">
        <v>254</v>
      </c>
    </row>
    <row r="600" spans="1:21" x14ac:dyDescent="0.25">
      <c r="A600" t="s">
        <v>2136</v>
      </c>
      <c r="B600" s="1">
        <v>42874</v>
      </c>
      <c r="C600" s="1">
        <v>42878</v>
      </c>
      <c r="D600" t="s">
        <v>40</v>
      </c>
      <c r="E600" t="s">
        <v>2137</v>
      </c>
      <c r="F600" t="s">
        <v>2138</v>
      </c>
      <c r="G600" t="s">
        <v>25</v>
      </c>
      <c r="H600" t="s">
        <v>26</v>
      </c>
      <c r="I600" t="s">
        <v>2139</v>
      </c>
      <c r="J600" t="s">
        <v>668</v>
      </c>
      <c r="K600" t="s">
        <v>29</v>
      </c>
      <c r="L600" t="s">
        <v>278</v>
      </c>
      <c r="M600" t="s">
        <v>31</v>
      </c>
      <c r="N600" t="s">
        <v>32</v>
      </c>
      <c r="O600" t="s">
        <v>279</v>
      </c>
      <c r="P600">
        <v>1628.82</v>
      </c>
      <c r="Q600">
        <v>9</v>
      </c>
      <c r="R600">
        <v>0</v>
      </c>
      <c r="S600">
        <v>374.62860000000001</v>
      </c>
      <c r="T600" t="s">
        <v>84</v>
      </c>
      <c r="U600" t="s">
        <v>162</v>
      </c>
    </row>
    <row r="601" spans="1:21" x14ac:dyDescent="0.25">
      <c r="A601" t="s">
        <v>2140</v>
      </c>
      <c r="B601" s="1">
        <v>42898</v>
      </c>
      <c r="C601" s="1">
        <v>42905</v>
      </c>
      <c r="D601" t="s">
        <v>40</v>
      </c>
      <c r="E601" t="s">
        <v>222</v>
      </c>
      <c r="F601" t="s">
        <v>223</v>
      </c>
      <c r="G601" t="s">
        <v>25</v>
      </c>
      <c r="H601" t="s">
        <v>26</v>
      </c>
      <c r="I601" t="s">
        <v>790</v>
      </c>
      <c r="J601" t="s">
        <v>44</v>
      </c>
      <c r="K601" t="s">
        <v>29</v>
      </c>
      <c r="L601" t="s">
        <v>2141</v>
      </c>
      <c r="M601" t="s">
        <v>31</v>
      </c>
      <c r="N601" t="s">
        <v>57</v>
      </c>
      <c r="O601" t="s">
        <v>2142</v>
      </c>
      <c r="P601">
        <v>17.088000000000001</v>
      </c>
      <c r="Q601">
        <v>2</v>
      </c>
      <c r="R601">
        <v>0.2</v>
      </c>
      <c r="S601">
        <v>1.0680000000000001</v>
      </c>
      <c r="T601" t="s">
        <v>48</v>
      </c>
      <c r="U601" t="s">
        <v>60</v>
      </c>
    </row>
    <row r="602" spans="1:21" x14ac:dyDescent="0.25">
      <c r="A602" t="s">
        <v>2143</v>
      </c>
      <c r="B602" s="1">
        <v>41720</v>
      </c>
      <c r="C602" s="1">
        <v>41724</v>
      </c>
      <c r="D602" t="s">
        <v>40</v>
      </c>
      <c r="E602" t="s">
        <v>2144</v>
      </c>
      <c r="F602" t="s">
        <v>2145</v>
      </c>
      <c r="G602" t="s">
        <v>91</v>
      </c>
      <c r="H602" t="s">
        <v>26</v>
      </c>
      <c r="I602" t="s">
        <v>1223</v>
      </c>
      <c r="J602" t="s">
        <v>521</v>
      </c>
      <c r="K602" t="s">
        <v>55</v>
      </c>
      <c r="L602" t="s">
        <v>669</v>
      </c>
      <c r="M602" t="s">
        <v>31</v>
      </c>
      <c r="N602" t="s">
        <v>37</v>
      </c>
      <c r="O602" t="s">
        <v>670</v>
      </c>
      <c r="P602">
        <v>314.35199999999998</v>
      </c>
      <c r="Q602">
        <v>3</v>
      </c>
      <c r="R602">
        <v>0.2</v>
      </c>
      <c r="S602">
        <v>-35.364600000000003</v>
      </c>
      <c r="T602" t="s">
        <v>84</v>
      </c>
      <c r="U602" t="s">
        <v>196</v>
      </c>
    </row>
    <row r="603" spans="1:21" x14ac:dyDescent="0.25">
      <c r="A603" t="s">
        <v>2146</v>
      </c>
      <c r="B603" s="1">
        <v>42390</v>
      </c>
      <c r="C603" s="1">
        <v>42392</v>
      </c>
      <c r="D603" t="s">
        <v>22</v>
      </c>
      <c r="E603" t="s">
        <v>2147</v>
      </c>
      <c r="F603" t="s">
        <v>2148</v>
      </c>
      <c r="G603" t="s">
        <v>25</v>
      </c>
      <c r="H603" t="s">
        <v>26</v>
      </c>
      <c r="I603" t="s">
        <v>640</v>
      </c>
      <c r="J603" t="s">
        <v>54</v>
      </c>
      <c r="K603" t="s">
        <v>55</v>
      </c>
      <c r="L603" t="s">
        <v>1280</v>
      </c>
      <c r="M603" t="s">
        <v>31</v>
      </c>
      <c r="N603" t="s">
        <v>37</v>
      </c>
      <c r="O603" t="s">
        <v>1281</v>
      </c>
      <c r="P603">
        <v>153.56800000000001</v>
      </c>
      <c r="Q603">
        <v>2</v>
      </c>
      <c r="R603">
        <v>0.2</v>
      </c>
      <c r="S603">
        <v>-5.7587999999999999</v>
      </c>
      <c r="T603" t="s">
        <v>71</v>
      </c>
      <c r="U603" t="s">
        <v>170</v>
      </c>
    </row>
    <row r="604" spans="1:21" x14ac:dyDescent="0.25">
      <c r="A604" t="s">
        <v>2146</v>
      </c>
      <c r="B604" s="1">
        <v>42390</v>
      </c>
      <c r="C604" s="1">
        <v>42392</v>
      </c>
      <c r="D604" t="s">
        <v>22</v>
      </c>
      <c r="E604" t="s">
        <v>2147</v>
      </c>
      <c r="F604" t="s">
        <v>2148</v>
      </c>
      <c r="G604" t="s">
        <v>25</v>
      </c>
      <c r="H604" t="s">
        <v>26</v>
      </c>
      <c r="I604" t="s">
        <v>640</v>
      </c>
      <c r="J604" t="s">
        <v>54</v>
      </c>
      <c r="K604" t="s">
        <v>55</v>
      </c>
      <c r="L604" t="s">
        <v>421</v>
      </c>
      <c r="M604" t="s">
        <v>31</v>
      </c>
      <c r="N604" t="s">
        <v>37</v>
      </c>
      <c r="O604" t="s">
        <v>422</v>
      </c>
      <c r="P604">
        <v>1013.4880000000001</v>
      </c>
      <c r="Q604">
        <v>7</v>
      </c>
      <c r="R604">
        <v>0.2</v>
      </c>
      <c r="S604">
        <v>76.011600000000001</v>
      </c>
      <c r="T604" t="s">
        <v>71</v>
      </c>
      <c r="U604" t="s">
        <v>170</v>
      </c>
    </row>
    <row r="605" spans="1:21" x14ac:dyDescent="0.25">
      <c r="A605" t="s">
        <v>2149</v>
      </c>
      <c r="B605" s="1">
        <v>42685</v>
      </c>
      <c r="C605" s="1">
        <v>42690</v>
      </c>
      <c r="D605" t="s">
        <v>22</v>
      </c>
      <c r="E605" t="s">
        <v>2150</v>
      </c>
      <c r="F605" t="s">
        <v>2151</v>
      </c>
      <c r="G605" t="s">
        <v>25</v>
      </c>
      <c r="H605" t="s">
        <v>26</v>
      </c>
      <c r="I605" t="s">
        <v>329</v>
      </c>
      <c r="J605" t="s">
        <v>54</v>
      </c>
      <c r="K605" t="s">
        <v>55</v>
      </c>
      <c r="L605" t="s">
        <v>1072</v>
      </c>
      <c r="M605" t="s">
        <v>31</v>
      </c>
      <c r="N605" t="s">
        <v>57</v>
      </c>
      <c r="O605" t="s">
        <v>1073</v>
      </c>
      <c r="P605">
        <v>6.96</v>
      </c>
      <c r="Q605">
        <v>4</v>
      </c>
      <c r="R605">
        <v>0</v>
      </c>
      <c r="S605">
        <v>2.2271999999999998</v>
      </c>
      <c r="T605" t="s">
        <v>59</v>
      </c>
      <c r="U605" t="s">
        <v>35</v>
      </c>
    </row>
    <row r="606" spans="1:21" x14ac:dyDescent="0.25">
      <c r="A606" t="s">
        <v>2152</v>
      </c>
      <c r="B606" s="1">
        <v>42661</v>
      </c>
      <c r="C606" s="1">
        <v>42665</v>
      </c>
      <c r="D606" t="s">
        <v>40</v>
      </c>
      <c r="E606" t="s">
        <v>2064</v>
      </c>
      <c r="F606" t="s">
        <v>2065</v>
      </c>
      <c r="G606" t="s">
        <v>25</v>
      </c>
      <c r="H606" t="s">
        <v>26</v>
      </c>
      <c r="I606" t="s">
        <v>2153</v>
      </c>
      <c r="J606" t="s">
        <v>521</v>
      </c>
      <c r="K606" t="s">
        <v>55</v>
      </c>
      <c r="L606" t="s">
        <v>489</v>
      </c>
      <c r="M606" t="s">
        <v>31</v>
      </c>
      <c r="N606" t="s">
        <v>37</v>
      </c>
      <c r="O606" t="s">
        <v>490</v>
      </c>
      <c r="P606">
        <v>307.92</v>
      </c>
      <c r="Q606">
        <v>5</v>
      </c>
      <c r="R606">
        <v>0.2</v>
      </c>
      <c r="S606">
        <v>-34.640999999999998</v>
      </c>
      <c r="T606" t="s">
        <v>84</v>
      </c>
      <c r="U606" t="s">
        <v>49</v>
      </c>
    </row>
    <row r="607" spans="1:21" x14ac:dyDescent="0.25">
      <c r="A607" t="s">
        <v>2154</v>
      </c>
      <c r="B607" s="1">
        <v>41758</v>
      </c>
      <c r="C607" s="1">
        <v>41760</v>
      </c>
      <c r="D607" t="s">
        <v>22</v>
      </c>
      <c r="E607" t="s">
        <v>2155</v>
      </c>
      <c r="F607" t="s">
        <v>2156</v>
      </c>
      <c r="G607" t="s">
        <v>25</v>
      </c>
      <c r="H607" t="s">
        <v>26</v>
      </c>
      <c r="I607" t="s">
        <v>2157</v>
      </c>
      <c r="J607" t="s">
        <v>1407</v>
      </c>
      <c r="K607" t="s">
        <v>29</v>
      </c>
      <c r="L607" t="s">
        <v>1004</v>
      </c>
      <c r="M607" t="s">
        <v>31</v>
      </c>
      <c r="N607" t="s">
        <v>37</v>
      </c>
      <c r="O607" t="s">
        <v>1005</v>
      </c>
      <c r="P607">
        <v>51.96</v>
      </c>
      <c r="Q607">
        <v>2</v>
      </c>
      <c r="R607">
        <v>0</v>
      </c>
      <c r="S607">
        <v>12.99</v>
      </c>
      <c r="T607" t="s">
        <v>71</v>
      </c>
      <c r="U607" t="s">
        <v>114</v>
      </c>
    </row>
    <row r="608" spans="1:21" x14ac:dyDescent="0.25">
      <c r="A608" t="s">
        <v>2158</v>
      </c>
      <c r="B608" s="1">
        <v>43031</v>
      </c>
      <c r="C608" s="1">
        <v>43037</v>
      </c>
      <c r="D608" t="s">
        <v>40</v>
      </c>
      <c r="E608" t="s">
        <v>1157</v>
      </c>
      <c r="F608" t="s">
        <v>1158</v>
      </c>
      <c r="G608" t="s">
        <v>91</v>
      </c>
      <c r="H608" t="s">
        <v>26</v>
      </c>
      <c r="I608" t="s">
        <v>895</v>
      </c>
      <c r="J608" t="s">
        <v>121</v>
      </c>
      <c r="K608" t="s">
        <v>68</v>
      </c>
      <c r="L608" t="s">
        <v>2159</v>
      </c>
      <c r="M608" t="s">
        <v>31</v>
      </c>
      <c r="N608" t="s">
        <v>57</v>
      </c>
      <c r="O608" t="s">
        <v>2160</v>
      </c>
      <c r="P608">
        <v>69.08</v>
      </c>
      <c r="Q608">
        <v>11</v>
      </c>
      <c r="R608">
        <v>0</v>
      </c>
      <c r="S608">
        <v>29.0136</v>
      </c>
      <c r="T608" t="s">
        <v>130</v>
      </c>
      <c r="U608" t="s">
        <v>49</v>
      </c>
    </row>
    <row r="609" spans="1:21" x14ac:dyDescent="0.25">
      <c r="A609" t="s">
        <v>2161</v>
      </c>
      <c r="B609" s="1">
        <v>42120</v>
      </c>
      <c r="C609" s="1">
        <v>42124</v>
      </c>
      <c r="D609" t="s">
        <v>40</v>
      </c>
      <c r="E609" t="s">
        <v>1899</v>
      </c>
      <c r="F609" t="s">
        <v>1900</v>
      </c>
      <c r="G609" t="s">
        <v>25</v>
      </c>
      <c r="H609" t="s">
        <v>26</v>
      </c>
      <c r="I609" t="s">
        <v>102</v>
      </c>
      <c r="J609" t="s">
        <v>93</v>
      </c>
      <c r="K609" t="s">
        <v>94</v>
      </c>
      <c r="L609" t="s">
        <v>382</v>
      </c>
      <c r="M609" t="s">
        <v>31</v>
      </c>
      <c r="N609" t="s">
        <v>37</v>
      </c>
      <c r="O609" t="s">
        <v>383</v>
      </c>
      <c r="P609">
        <v>408.42200000000003</v>
      </c>
      <c r="Q609">
        <v>2</v>
      </c>
      <c r="R609">
        <v>0.3</v>
      </c>
      <c r="S609">
        <v>-5.8346</v>
      </c>
      <c r="T609" t="s">
        <v>84</v>
      </c>
      <c r="U609" t="s">
        <v>114</v>
      </c>
    </row>
    <row r="610" spans="1:21" x14ac:dyDescent="0.25">
      <c r="A610" t="s">
        <v>2162</v>
      </c>
      <c r="B610" s="1">
        <v>42548</v>
      </c>
      <c r="C610" s="1">
        <v>42552</v>
      </c>
      <c r="D610" t="s">
        <v>40</v>
      </c>
      <c r="E610" t="s">
        <v>1530</v>
      </c>
      <c r="F610" t="s">
        <v>1531</v>
      </c>
      <c r="G610" t="s">
        <v>91</v>
      </c>
      <c r="H610" t="s">
        <v>26</v>
      </c>
      <c r="I610" t="s">
        <v>2163</v>
      </c>
      <c r="J610" t="s">
        <v>135</v>
      </c>
      <c r="K610" t="s">
        <v>94</v>
      </c>
      <c r="L610" t="s">
        <v>1601</v>
      </c>
      <c r="M610" t="s">
        <v>31</v>
      </c>
      <c r="N610" t="s">
        <v>37</v>
      </c>
      <c r="O610" t="s">
        <v>1602</v>
      </c>
      <c r="P610">
        <v>539.65800000000002</v>
      </c>
      <c r="Q610">
        <v>3</v>
      </c>
      <c r="R610">
        <v>0.3</v>
      </c>
      <c r="S610">
        <v>-7.7093999999999996</v>
      </c>
      <c r="T610" t="s">
        <v>84</v>
      </c>
      <c r="U610" t="s">
        <v>60</v>
      </c>
    </row>
    <row r="611" spans="1:21" x14ac:dyDescent="0.25">
      <c r="A611" t="s">
        <v>2164</v>
      </c>
      <c r="B611" s="1">
        <v>42697</v>
      </c>
      <c r="C611" s="1">
        <v>42697</v>
      </c>
      <c r="D611" t="s">
        <v>426</v>
      </c>
      <c r="E611" t="s">
        <v>2165</v>
      </c>
      <c r="F611" t="s">
        <v>2166</v>
      </c>
      <c r="G611" t="s">
        <v>91</v>
      </c>
      <c r="H611" t="s">
        <v>26</v>
      </c>
      <c r="I611" t="s">
        <v>66</v>
      </c>
      <c r="J611" t="s">
        <v>67</v>
      </c>
      <c r="K611" t="s">
        <v>68</v>
      </c>
      <c r="L611" t="s">
        <v>1452</v>
      </c>
      <c r="M611" t="s">
        <v>31</v>
      </c>
      <c r="N611" t="s">
        <v>57</v>
      </c>
      <c r="O611" t="s">
        <v>1453</v>
      </c>
      <c r="P611">
        <v>14.368</v>
      </c>
      <c r="Q611">
        <v>2</v>
      </c>
      <c r="R611">
        <v>0.2</v>
      </c>
      <c r="S611">
        <v>3.9512</v>
      </c>
      <c r="T611" t="s">
        <v>431</v>
      </c>
      <c r="U611" t="s">
        <v>35</v>
      </c>
    </row>
    <row r="612" spans="1:21" x14ac:dyDescent="0.25">
      <c r="A612" t="s">
        <v>2164</v>
      </c>
      <c r="B612" s="1">
        <v>42697</v>
      </c>
      <c r="C612" s="1">
        <v>42697</v>
      </c>
      <c r="D612" t="s">
        <v>426</v>
      </c>
      <c r="E612" t="s">
        <v>2165</v>
      </c>
      <c r="F612" t="s">
        <v>2166</v>
      </c>
      <c r="G612" t="s">
        <v>91</v>
      </c>
      <c r="H612" t="s">
        <v>26</v>
      </c>
      <c r="I612" t="s">
        <v>66</v>
      </c>
      <c r="J612" t="s">
        <v>67</v>
      </c>
      <c r="K612" t="s">
        <v>68</v>
      </c>
      <c r="L612" t="s">
        <v>1269</v>
      </c>
      <c r="M612" t="s">
        <v>31</v>
      </c>
      <c r="N612" t="s">
        <v>57</v>
      </c>
      <c r="O612" t="s">
        <v>1270</v>
      </c>
      <c r="P612">
        <v>70.447999999999993</v>
      </c>
      <c r="Q612">
        <v>7</v>
      </c>
      <c r="R612">
        <v>0.2</v>
      </c>
      <c r="S612">
        <v>12.3284</v>
      </c>
      <c r="T612" t="s">
        <v>431</v>
      </c>
      <c r="U612" t="s">
        <v>35</v>
      </c>
    </row>
    <row r="613" spans="1:21" x14ac:dyDescent="0.25">
      <c r="A613" t="s">
        <v>2167</v>
      </c>
      <c r="B613" s="1">
        <v>41884</v>
      </c>
      <c r="C613" s="1">
        <v>41887</v>
      </c>
      <c r="D613" t="s">
        <v>88</v>
      </c>
      <c r="E613" t="s">
        <v>2168</v>
      </c>
      <c r="F613" t="s">
        <v>2169</v>
      </c>
      <c r="G613" t="s">
        <v>25</v>
      </c>
      <c r="H613" t="s">
        <v>26</v>
      </c>
      <c r="I613" t="s">
        <v>1366</v>
      </c>
      <c r="J613" t="s">
        <v>121</v>
      </c>
      <c r="K613" t="s">
        <v>68</v>
      </c>
      <c r="L613" t="s">
        <v>2170</v>
      </c>
      <c r="M613" t="s">
        <v>31</v>
      </c>
      <c r="N613" t="s">
        <v>57</v>
      </c>
      <c r="O613" t="s">
        <v>2171</v>
      </c>
      <c r="P613">
        <v>70.709999999999994</v>
      </c>
      <c r="Q613">
        <v>1</v>
      </c>
      <c r="R613">
        <v>0</v>
      </c>
      <c r="S613">
        <v>4.9497</v>
      </c>
      <c r="T613" t="s">
        <v>34</v>
      </c>
      <c r="U613" t="s">
        <v>78</v>
      </c>
    </row>
    <row r="614" spans="1:21" x14ac:dyDescent="0.25">
      <c r="A614" t="s">
        <v>2172</v>
      </c>
      <c r="B614" s="1">
        <v>42926</v>
      </c>
      <c r="C614" s="1">
        <v>42930</v>
      </c>
      <c r="D614" t="s">
        <v>22</v>
      </c>
      <c r="E614" t="s">
        <v>2173</v>
      </c>
      <c r="F614" t="s">
        <v>2174</v>
      </c>
      <c r="G614" t="s">
        <v>25</v>
      </c>
      <c r="H614" t="s">
        <v>26</v>
      </c>
      <c r="I614" t="s">
        <v>348</v>
      </c>
      <c r="J614" t="s">
        <v>668</v>
      </c>
      <c r="K614" t="s">
        <v>29</v>
      </c>
      <c r="L614" t="s">
        <v>2159</v>
      </c>
      <c r="M614" t="s">
        <v>31</v>
      </c>
      <c r="N614" t="s">
        <v>57</v>
      </c>
      <c r="O614" t="s">
        <v>2160</v>
      </c>
      <c r="P614">
        <v>18.84</v>
      </c>
      <c r="Q614">
        <v>3</v>
      </c>
      <c r="R614">
        <v>0</v>
      </c>
      <c r="S614">
        <v>7.9127999999999998</v>
      </c>
      <c r="T614" t="s">
        <v>84</v>
      </c>
      <c r="U614" t="s">
        <v>72</v>
      </c>
    </row>
    <row r="615" spans="1:21" x14ac:dyDescent="0.25">
      <c r="A615" t="s">
        <v>2175</v>
      </c>
      <c r="B615" s="1">
        <v>43057</v>
      </c>
      <c r="C615" s="1">
        <v>43063</v>
      </c>
      <c r="D615" t="s">
        <v>40</v>
      </c>
      <c r="E615" t="s">
        <v>1283</v>
      </c>
      <c r="F615" t="s">
        <v>1284</v>
      </c>
      <c r="G615" t="s">
        <v>101</v>
      </c>
      <c r="H615" t="s">
        <v>26</v>
      </c>
      <c r="I615" t="s">
        <v>2176</v>
      </c>
      <c r="J615" t="s">
        <v>290</v>
      </c>
      <c r="K615" t="s">
        <v>94</v>
      </c>
      <c r="L615" t="s">
        <v>803</v>
      </c>
      <c r="M615" t="s">
        <v>31</v>
      </c>
      <c r="N615" t="s">
        <v>57</v>
      </c>
      <c r="O615" t="s">
        <v>804</v>
      </c>
      <c r="P615">
        <v>19.760000000000002</v>
      </c>
      <c r="Q615">
        <v>4</v>
      </c>
      <c r="R615">
        <v>0</v>
      </c>
      <c r="S615">
        <v>8.2992000000000008</v>
      </c>
      <c r="T615" t="s">
        <v>130</v>
      </c>
      <c r="U615" t="s">
        <v>35</v>
      </c>
    </row>
    <row r="616" spans="1:21" x14ac:dyDescent="0.25">
      <c r="A616" t="s">
        <v>2177</v>
      </c>
      <c r="B616" s="1">
        <v>42224</v>
      </c>
      <c r="C616" s="1">
        <v>42224</v>
      </c>
      <c r="D616" t="s">
        <v>426</v>
      </c>
      <c r="E616" t="s">
        <v>2178</v>
      </c>
      <c r="F616" t="s">
        <v>2179</v>
      </c>
      <c r="G616" t="s">
        <v>25</v>
      </c>
      <c r="H616" t="s">
        <v>26</v>
      </c>
      <c r="I616" t="s">
        <v>329</v>
      </c>
      <c r="J616" t="s">
        <v>54</v>
      </c>
      <c r="K616" t="s">
        <v>55</v>
      </c>
      <c r="L616" t="s">
        <v>421</v>
      </c>
      <c r="M616" t="s">
        <v>31</v>
      </c>
      <c r="N616" t="s">
        <v>37</v>
      </c>
      <c r="O616" t="s">
        <v>422</v>
      </c>
      <c r="P616">
        <v>144.78399999999999</v>
      </c>
      <c r="Q616">
        <v>1</v>
      </c>
      <c r="R616">
        <v>0.2</v>
      </c>
      <c r="S616">
        <v>10.8588</v>
      </c>
      <c r="T616" t="s">
        <v>431</v>
      </c>
      <c r="U616" t="s">
        <v>254</v>
      </c>
    </row>
    <row r="617" spans="1:21" x14ac:dyDescent="0.25">
      <c r="A617" t="s">
        <v>2180</v>
      </c>
      <c r="B617" s="1">
        <v>42819</v>
      </c>
      <c r="C617" s="1">
        <v>42825</v>
      </c>
      <c r="D617" t="s">
        <v>40</v>
      </c>
      <c r="E617" t="s">
        <v>676</v>
      </c>
      <c r="F617" t="s">
        <v>677</v>
      </c>
      <c r="G617" t="s">
        <v>91</v>
      </c>
      <c r="H617" t="s">
        <v>26</v>
      </c>
      <c r="I617" t="s">
        <v>906</v>
      </c>
      <c r="J617" t="s">
        <v>239</v>
      </c>
      <c r="K617" t="s">
        <v>94</v>
      </c>
      <c r="L617" t="s">
        <v>2181</v>
      </c>
      <c r="M617" t="s">
        <v>31</v>
      </c>
      <c r="N617" t="s">
        <v>37</v>
      </c>
      <c r="O617" t="s">
        <v>2182</v>
      </c>
      <c r="P617">
        <v>90.99</v>
      </c>
      <c r="Q617">
        <v>1</v>
      </c>
      <c r="R617">
        <v>0</v>
      </c>
      <c r="S617">
        <v>14.558400000000001</v>
      </c>
      <c r="T617" t="s">
        <v>130</v>
      </c>
      <c r="U617" t="s">
        <v>196</v>
      </c>
    </row>
    <row r="618" spans="1:21" x14ac:dyDescent="0.25">
      <c r="A618" t="s">
        <v>2180</v>
      </c>
      <c r="B618" s="1">
        <v>42819</v>
      </c>
      <c r="C618" s="1">
        <v>42825</v>
      </c>
      <c r="D618" t="s">
        <v>40</v>
      </c>
      <c r="E618" t="s">
        <v>676</v>
      </c>
      <c r="F618" t="s">
        <v>677</v>
      </c>
      <c r="G618" t="s">
        <v>91</v>
      </c>
      <c r="H618" t="s">
        <v>26</v>
      </c>
      <c r="I618" t="s">
        <v>906</v>
      </c>
      <c r="J618" t="s">
        <v>239</v>
      </c>
      <c r="K618" t="s">
        <v>94</v>
      </c>
      <c r="L618" t="s">
        <v>817</v>
      </c>
      <c r="M618" t="s">
        <v>31</v>
      </c>
      <c r="N618" t="s">
        <v>37</v>
      </c>
      <c r="O618" t="s">
        <v>818</v>
      </c>
      <c r="P618">
        <v>1526.56</v>
      </c>
      <c r="Q618">
        <v>7</v>
      </c>
      <c r="R618">
        <v>0</v>
      </c>
      <c r="S618">
        <v>427.43680000000001</v>
      </c>
      <c r="T618" t="s">
        <v>130</v>
      </c>
      <c r="U618" t="s">
        <v>196</v>
      </c>
    </row>
    <row r="619" spans="1:21" x14ac:dyDescent="0.25">
      <c r="A619" t="s">
        <v>2180</v>
      </c>
      <c r="B619" s="1">
        <v>42819</v>
      </c>
      <c r="C619" s="1">
        <v>42825</v>
      </c>
      <c r="D619" t="s">
        <v>40</v>
      </c>
      <c r="E619" t="s">
        <v>676</v>
      </c>
      <c r="F619" t="s">
        <v>677</v>
      </c>
      <c r="G619" t="s">
        <v>91</v>
      </c>
      <c r="H619" t="s">
        <v>26</v>
      </c>
      <c r="I619" t="s">
        <v>906</v>
      </c>
      <c r="J619" t="s">
        <v>239</v>
      </c>
      <c r="K619" t="s">
        <v>94</v>
      </c>
      <c r="L619" t="s">
        <v>1029</v>
      </c>
      <c r="M619" t="s">
        <v>31</v>
      </c>
      <c r="N619" t="s">
        <v>37</v>
      </c>
      <c r="O619" t="s">
        <v>1030</v>
      </c>
      <c r="P619">
        <v>368.97</v>
      </c>
      <c r="Q619">
        <v>3</v>
      </c>
      <c r="R619">
        <v>0</v>
      </c>
      <c r="S619">
        <v>40.5867</v>
      </c>
      <c r="T619" t="s">
        <v>130</v>
      </c>
      <c r="U619" t="s">
        <v>196</v>
      </c>
    </row>
    <row r="620" spans="1:21" x14ac:dyDescent="0.25">
      <c r="A620" t="s">
        <v>2183</v>
      </c>
      <c r="B620" s="1">
        <v>43058</v>
      </c>
      <c r="C620" s="1">
        <v>43063</v>
      </c>
      <c r="D620" t="s">
        <v>40</v>
      </c>
      <c r="E620" t="s">
        <v>1373</v>
      </c>
      <c r="F620" t="s">
        <v>1374</v>
      </c>
      <c r="G620" t="s">
        <v>25</v>
      </c>
      <c r="H620" t="s">
        <v>26</v>
      </c>
      <c r="I620" t="s">
        <v>53</v>
      </c>
      <c r="J620" t="s">
        <v>54</v>
      </c>
      <c r="K620" t="s">
        <v>55</v>
      </c>
      <c r="L620" t="s">
        <v>2184</v>
      </c>
      <c r="M620" t="s">
        <v>31</v>
      </c>
      <c r="N620" t="s">
        <v>57</v>
      </c>
      <c r="O620" t="s">
        <v>2185</v>
      </c>
      <c r="P620">
        <v>18.7</v>
      </c>
      <c r="Q620">
        <v>1</v>
      </c>
      <c r="R620">
        <v>0</v>
      </c>
      <c r="S620">
        <v>7.1059999999999999</v>
      </c>
      <c r="T620" t="s">
        <v>59</v>
      </c>
      <c r="U620" t="s">
        <v>35</v>
      </c>
    </row>
    <row r="621" spans="1:21" x14ac:dyDescent="0.25">
      <c r="A621" t="s">
        <v>2186</v>
      </c>
      <c r="B621" s="1">
        <v>42678</v>
      </c>
      <c r="C621" s="1">
        <v>42679</v>
      </c>
      <c r="D621" t="s">
        <v>88</v>
      </c>
      <c r="E621" t="s">
        <v>2187</v>
      </c>
      <c r="F621" t="s">
        <v>2188</v>
      </c>
      <c r="G621" t="s">
        <v>25</v>
      </c>
      <c r="H621" t="s">
        <v>26</v>
      </c>
      <c r="I621" t="s">
        <v>329</v>
      </c>
      <c r="J621" t="s">
        <v>54</v>
      </c>
      <c r="K621" t="s">
        <v>55</v>
      </c>
      <c r="L621" t="s">
        <v>621</v>
      </c>
      <c r="M621" t="s">
        <v>31</v>
      </c>
      <c r="N621" t="s">
        <v>57</v>
      </c>
      <c r="O621" t="s">
        <v>622</v>
      </c>
      <c r="P621">
        <v>38.29</v>
      </c>
      <c r="Q621">
        <v>7</v>
      </c>
      <c r="R621">
        <v>0</v>
      </c>
      <c r="S621">
        <v>16.464700000000001</v>
      </c>
      <c r="T621" t="s">
        <v>124</v>
      </c>
      <c r="U621" t="s">
        <v>35</v>
      </c>
    </row>
    <row r="622" spans="1:21" x14ac:dyDescent="0.25">
      <c r="A622" t="s">
        <v>2189</v>
      </c>
      <c r="B622" s="1">
        <v>43083</v>
      </c>
      <c r="C622" s="1">
        <v>43087</v>
      </c>
      <c r="D622" t="s">
        <v>40</v>
      </c>
      <c r="E622" t="s">
        <v>1352</v>
      </c>
      <c r="F622" t="s">
        <v>1353</v>
      </c>
      <c r="G622" t="s">
        <v>101</v>
      </c>
      <c r="H622" t="s">
        <v>26</v>
      </c>
      <c r="I622" t="s">
        <v>640</v>
      </c>
      <c r="J622" t="s">
        <v>54</v>
      </c>
      <c r="K622" t="s">
        <v>55</v>
      </c>
      <c r="L622" t="s">
        <v>2190</v>
      </c>
      <c r="M622" t="s">
        <v>31</v>
      </c>
      <c r="N622" t="s">
        <v>57</v>
      </c>
      <c r="O622" t="s">
        <v>2191</v>
      </c>
      <c r="P622">
        <v>26.25</v>
      </c>
      <c r="Q622">
        <v>3</v>
      </c>
      <c r="R622">
        <v>0</v>
      </c>
      <c r="S622">
        <v>11.025</v>
      </c>
      <c r="T622" t="s">
        <v>84</v>
      </c>
      <c r="U622" t="s">
        <v>97</v>
      </c>
    </row>
    <row r="623" spans="1:21" x14ac:dyDescent="0.25">
      <c r="A623" t="s">
        <v>2192</v>
      </c>
      <c r="B623" s="1">
        <v>43051</v>
      </c>
      <c r="C623" s="1">
        <v>43051</v>
      </c>
      <c r="D623" t="s">
        <v>426</v>
      </c>
      <c r="E623" t="s">
        <v>2193</v>
      </c>
      <c r="F623" t="s">
        <v>2194</v>
      </c>
      <c r="G623" t="s">
        <v>101</v>
      </c>
      <c r="H623" t="s">
        <v>26</v>
      </c>
      <c r="I623" t="s">
        <v>1303</v>
      </c>
      <c r="J623" t="s">
        <v>521</v>
      </c>
      <c r="K623" t="s">
        <v>55</v>
      </c>
      <c r="L623" t="s">
        <v>2195</v>
      </c>
      <c r="M623" t="s">
        <v>31</v>
      </c>
      <c r="N623" t="s">
        <v>37</v>
      </c>
      <c r="O623" t="s">
        <v>2196</v>
      </c>
      <c r="P623">
        <v>113.88800000000001</v>
      </c>
      <c r="Q623">
        <v>2</v>
      </c>
      <c r="R623">
        <v>0.2</v>
      </c>
      <c r="S623">
        <v>9.9651999999999994</v>
      </c>
      <c r="T623" t="s">
        <v>431</v>
      </c>
      <c r="U623" t="s">
        <v>35</v>
      </c>
    </row>
    <row r="624" spans="1:21" x14ac:dyDescent="0.25">
      <c r="A624" t="s">
        <v>2192</v>
      </c>
      <c r="B624" s="1">
        <v>43051</v>
      </c>
      <c r="C624" s="1">
        <v>43051</v>
      </c>
      <c r="D624" t="s">
        <v>426</v>
      </c>
      <c r="E624" t="s">
        <v>2193</v>
      </c>
      <c r="F624" t="s">
        <v>2194</v>
      </c>
      <c r="G624" t="s">
        <v>101</v>
      </c>
      <c r="H624" t="s">
        <v>26</v>
      </c>
      <c r="I624" t="s">
        <v>1303</v>
      </c>
      <c r="J624" t="s">
        <v>521</v>
      </c>
      <c r="K624" t="s">
        <v>55</v>
      </c>
      <c r="L624" t="s">
        <v>2197</v>
      </c>
      <c r="M624" t="s">
        <v>31</v>
      </c>
      <c r="N624" t="s">
        <v>57</v>
      </c>
      <c r="O624" t="s">
        <v>2198</v>
      </c>
      <c r="P624">
        <v>113.568</v>
      </c>
      <c r="Q624">
        <v>2</v>
      </c>
      <c r="R624">
        <v>0.2</v>
      </c>
      <c r="S624">
        <v>-5.6783999999999999</v>
      </c>
      <c r="T624" t="s">
        <v>431</v>
      </c>
      <c r="U624" t="s">
        <v>35</v>
      </c>
    </row>
    <row r="625" spans="1:21" x14ac:dyDescent="0.25">
      <c r="A625" t="s">
        <v>2199</v>
      </c>
      <c r="B625" s="1">
        <v>42913</v>
      </c>
      <c r="C625" s="1">
        <v>42920</v>
      </c>
      <c r="D625" t="s">
        <v>40</v>
      </c>
      <c r="E625" t="s">
        <v>2200</v>
      </c>
      <c r="F625" t="s">
        <v>2201</v>
      </c>
      <c r="G625" t="s">
        <v>101</v>
      </c>
      <c r="H625" t="s">
        <v>26</v>
      </c>
      <c r="I625" t="s">
        <v>1366</v>
      </c>
      <c r="J625" t="s">
        <v>121</v>
      </c>
      <c r="K625" t="s">
        <v>68</v>
      </c>
      <c r="L625" t="s">
        <v>591</v>
      </c>
      <c r="M625" t="s">
        <v>31</v>
      </c>
      <c r="N625" t="s">
        <v>37</v>
      </c>
      <c r="O625" t="s">
        <v>592</v>
      </c>
      <c r="P625">
        <v>191.64599999999999</v>
      </c>
      <c r="Q625">
        <v>3</v>
      </c>
      <c r="R625">
        <v>0.1</v>
      </c>
      <c r="S625">
        <v>31.940999999999999</v>
      </c>
      <c r="T625" t="s">
        <v>48</v>
      </c>
      <c r="U625" t="s">
        <v>60</v>
      </c>
    </row>
    <row r="626" spans="1:21" x14ac:dyDescent="0.25">
      <c r="A626" t="s">
        <v>2202</v>
      </c>
      <c r="B626" s="1">
        <v>43085</v>
      </c>
      <c r="C626" s="1">
        <v>43090</v>
      </c>
      <c r="D626" t="s">
        <v>22</v>
      </c>
      <c r="E626" t="s">
        <v>2203</v>
      </c>
      <c r="F626" t="s">
        <v>2204</v>
      </c>
      <c r="G626" t="s">
        <v>91</v>
      </c>
      <c r="H626" t="s">
        <v>26</v>
      </c>
      <c r="I626" t="s">
        <v>762</v>
      </c>
      <c r="J626" t="s">
        <v>54</v>
      </c>
      <c r="K626" t="s">
        <v>55</v>
      </c>
      <c r="L626" t="s">
        <v>69</v>
      </c>
      <c r="M626" t="s">
        <v>31</v>
      </c>
      <c r="N626" t="s">
        <v>37</v>
      </c>
      <c r="O626" t="s">
        <v>70</v>
      </c>
      <c r="P626">
        <v>81.567999999999998</v>
      </c>
      <c r="Q626">
        <v>2</v>
      </c>
      <c r="R626">
        <v>0.2</v>
      </c>
      <c r="S626">
        <v>9.1763999999999992</v>
      </c>
      <c r="T626" t="s">
        <v>59</v>
      </c>
      <c r="U626" t="s">
        <v>97</v>
      </c>
    </row>
    <row r="627" spans="1:21" x14ac:dyDescent="0.25">
      <c r="A627" t="s">
        <v>2202</v>
      </c>
      <c r="B627" s="1">
        <v>43085</v>
      </c>
      <c r="C627" s="1">
        <v>43090</v>
      </c>
      <c r="D627" t="s">
        <v>22</v>
      </c>
      <c r="E627" t="s">
        <v>2203</v>
      </c>
      <c r="F627" t="s">
        <v>2204</v>
      </c>
      <c r="G627" t="s">
        <v>91</v>
      </c>
      <c r="H627" t="s">
        <v>26</v>
      </c>
      <c r="I627" t="s">
        <v>762</v>
      </c>
      <c r="J627" t="s">
        <v>54</v>
      </c>
      <c r="K627" t="s">
        <v>55</v>
      </c>
      <c r="L627" t="s">
        <v>252</v>
      </c>
      <c r="M627" t="s">
        <v>31</v>
      </c>
      <c r="N627" t="s">
        <v>37</v>
      </c>
      <c r="O627" t="s">
        <v>253</v>
      </c>
      <c r="P627">
        <v>97.183999999999997</v>
      </c>
      <c r="Q627">
        <v>2</v>
      </c>
      <c r="R627">
        <v>0.2</v>
      </c>
      <c r="S627">
        <v>6.0739999999999998</v>
      </c>
      <c r="T627" t="s">
        <v>59</v>
      </c>
      <c r="U627" t="s">
        <v>97</v>
      </c>
    </row>
    <row r="628" spans="1:21" x14ac:dyDescent="0.25">
      <c r="A628" t="s">
        <v>2202</v>
      </c>
      <c r="B628" s="1">
        <v>43085</v>
      </c>
      <c r="C628" s="1">
        <v>43090</v>
      </c>
      <c r="D628" t="s">
        <v>22</v>
      </c>
      <c r="E628" t="s">
        <v>2203</v>
      </c>
      <c r="F628" t="s">
        <v>2204</v>
      </c>
      <c r="G628" t="s">
        <v>91</v>
      </c>
      <c r="H628" t="s">
        <v>26</v>
      </c>
      <c r="I628" t="s">
        <v>762</v>
      </c>
      <c r="J628" t="s">
        <v>54</v>
      </c>
      <c r="K628" t="s">
        <v>55</v>
      </c>
      <c r="L628" t="s">
        <v>2205</v>
      </c>
      <c r="M628" t="s">
        <v>31</v>
      </c>
      <c r="N628" t="s">
        <v>57</v>
      </c>
      <c r="O628" t="s">
        <v>2206</v>
      </c>
      <c r="P628">
        <v>18.96</v>
      </c>
      <c r="Q628">
        <v>2</v>
      </c>
      <c r="R628">
        <v>0</v>
      </c>
      <c r="S628">
        <v>7.5839999999999996</v>
      </c>
      <c r="T628" t="s">
        <v>59</v>
      </c>
      <c r="U628" t="s">
        <v>97</v>
      </c>
    </row>
    <row r="629" spans="1:21" x14ac:dyDescent="0.25">
      <c r="A629" t="s">
        <v>2207</v>
      </c>
      <c r="B629" s="1">
        <v>42000</v>
      </c>
      <c r="C629" s="1">
        <v>42004</v>
      </c>
      <c r="D629" t="s">
        <v>40</v>
      </c>
      <c r="E629" t="s">
        <v>2208</v>
      </c>
      <c r="F629" t="s">
        <v>2209</v>
      </c>
      <c r="G629" t="s">
        <v>25</v>
      </c>
      <c r="H629" t="s">
        <v>26</v>
      </c>
      <c r="I629" t="s">
        <v>2210</v>
      </c>
      <c r="J629" t="s">
        <v>135</v>
      </c>
      <c r="K629" t="s">
        <v>94</v>
      </c>
      <c r="L629" t="s">
        <v>1291</v>
      </c>
      <c r="M629" t="s">
        <v>31</v>
      </c>
      <c r="N629" t="s">
        <v>57</v>
      </c>
      <c r="O629" t="s">
        <v>1292</v>
      </c>
      <c r="P629">
        <v>32.951999999999998</v>
      </c>
      <c r="Q629">
        <v>6</v>
      </c>
      <c r="R629">
        <v>0.6</v>
      </c>
      <c r="S629">
        <v>-19.7712</v>
      </c>
      <c r="T629" t="s">
        <v>84</v>
      </c>
      <c r="U629" t="s">
        <v>97</v>
      </c>
    </row>
    <row r="630" spans="1:21" x14ac:dyDescent="0.25">
      <c r="A630" t="s">
        <v>2211</v>
      </c>
      <c r="B630" s="1">
        <v>43045</v>
      </c>
      <c r="C630" s="1">
        <v>43048</v>
      </c>
      <c r="D630" t="s">
        <v>22</v>
      </c>
      <c r="E630" t="s">
        <v>2212</v>
      </c>
      <c r="F630" t="s">
        <v>2213</v>
      </c>
      <c r="G630" t="s">
        <v>25</v>
      </c>
      <c r="H630" t="s">
        <v>26</v>
      </c>
      <c r="I630" t="s">
        <v>1912</v>
      </c>
      <c r="J630" t="s">
        <v>1037</v>
      </c>
      <c r="K630" t="s">
        <v>29</v>
      </c>
      <c r="L630" t="s">
        <v>1990</v>
      </c>
      <c r="M630" t="s">
        <v>31</v>
      </c>
      <c r="N630" t="s">
        <v>57</v>
      </c>
      <c r="O630" t="s">
        <v>1991</v>
      </c>
      <c r="P630">
        <v>28.271999999999998</v>
      </c>
      <c r="Q630">
        <v>2</v>
      </c>
      <c r="R630">
        <v>0.2</v>
      </c>
      <c r="S630">
        <v>6.3612000000000002</v>
      </c>
      <c r="T630" t="s">
        <v>34</v>
      </c>
      <c r="U630" t="s">
        <v>35</v>
      </c>
    </row>
    <row r="631" spans="1:21" x14ac:dyDescent="0.25">
      <c r="A631" t="s">
        <v>2214</v>
      </c>
      <c r="B631" s="1">
        <v>42131</v>
      </c>
      <c r="C631" s="1">
        <v>42136</v>
      </c>
      <c r="D631" t="s">
        <v>40</v>
      </c>
      <c r="E631" t="s">
        <v>450</v>
      </c>
      <c r="F631" t="s">
        <v>451</v>
      </c>
      <c r="G631" t="s">
        <v>25</v>
      </c>
      <c r="H631" t="s">
        <v>26</v>
      </c>
      <c r="I631" t="s">
        <v>2215</v>
      </c>
      <c r="J631" t="s">
        <v>93</v>
      </c>
      <c r="K631" t="s">
        <v>94</v>
      </c>
      <c r="L631" t="s">
        <v>785</v>
      </c>
      <c r="M631" t="s">
        <v>31</v>
      </c>
      <c r="N631" t="s">
        <v>46</v>
      </c>
      <c r="O631" t="s">
        <v>786</v>
      </c>
      <c r="P631">
        <v>244.006</v>
      </c>
      <c r="Q631">
        <v>2</v>
      </c>
      <c r="R631">
        <v>0.3</v>
      </c>
      <c r="S631">
        <v>-31.372199999999999</v>
      </c>
      <c r="T631" t="s">
        <v>59</v>
      </c>
      <c r="U631" t="s">
        <v>162</v>
      </c>
    </row>
    <row r="632" spans="1:21" x14ac:dyDescent="0.25">
      <c r="A632" t="s">
        <v>2216</v>
      </c>
      <c r="B632" s="1">
        <v>43073</v>
      </c>
      <c r="C632" s="1">
        <v>43073</v>
      </c>
      <c r="D632" t="s">
        <v>426</v>
      </c>
      <c r="E632" t="s">
        <v>2217</v>
      </c>
      <c r="F632" t="s">
        <v>2218</v>
      </c>
      <c r="G632" t="s">
        <v>91</v>
      </c>
      <c r="H632" t="s">
        <v>26</v>
      </c>
      <c r="I632" t="s">
        <v>66</v>
      </c>
      <c r="J632" t="s">
        <v>67</v>
      </c>
      <c r="K632" t="s">
        <v>68</v>
      </c>
      <c r="L632" t="s">
        <v>2219</v>
      </c>
      <c r="M632" t="s">
        <v>31</v>
      </c>
      <c r="N632" t="s">
        <v>37</v>
      </c>
      <c r="O632" t="s">
        <v>2220</v>
      </c>
      <c r="P632">
        <v>188.55199999999999</v>
      </c>
      <c r="Q632">
        <v>7</v>
      </c>
      <c r="R632">
        <v>0.3</v>
      </c>
      <c r="S632">
        <v>-2.6936</v>
      </c>
      <c r="T632" t="s">
        <v>431</v>
      </c>
      <c r="U632" t="s">
        <v>97</v>
      </c>
    </row>
    <row r="633" spans="1:21" x14ac:dyDescent="0.25">
      <c r="A633" t="s">
        <v>2221</v>
      </c>
      <c r="B633" s="1">
        <v>41652</v>
      </c>
      <c r="C633" s="1">
        <v>41655</v>
      </c>
      <c r="D633" t="s">
        <v>22</v>
      </c>
      <c r="E633" t="s">
        <v>1436</v>
      </c>
      <c r="F633" t="s">
        <v>1437</v>
      </c>
      <c r="G633" t="s">
        <v>25</v>
      </c>
      <c r="H633" t="s">
        <v>26</v>
      </c>
      <c r="I633" t="s">
        <v>2222</v>
      </c>
      <c r="J633" t="s">
        <v>159</v>
      </c>
      <c r="K633" t="s">
        <v>29</v>
      </c>
      <c r="L633" t="s">
        <v>2181</v>
      </c>
      <c r="M633" t="s">
        <v>31</v>
      </c>
      <c r="N633" t="s">
        <v>37</v>
      </c>
      <c r="O633" t="s">
        <v>2182</v>
      </c>
      <c r="P633">
        <v>545.94000000000005</v>
      </c>
      <c r="Q633">
        <v>6</v>
      </c>
      <c r="R633">
        <v>0</v>
      </c>
      <c r="S633">
        <v>87.350399999999993</v>
      </c>
      <c r="T633" t="s">
        <v>34</v>
      </c>
      <c r="U633" t="s">
        <v>170</v>
      </c>
    </row>
    <row r="634" spans="1:21" x14ac:dyDescent="0.25">
      <c r="A634" t="s">
        <v>2223</v>
      </c>
      <c r="B634" s="1">
        <v>42167</v>
      </c>
      <c r="C634" s="1">
        <v>42172</v>
      </c>
      <c r="D634" t="s">
        <v>40</v>
      </c>
      <c r="E634" t="s">
        <v>2224</v>
      </c>
      <c r="F634" t="s">
        <v>2225</v>
      </c>
      <c r="G634" t="s">
        <v>25</v>
      </c>
      <c r="H634" t="s">
        <v>26</v>
      </c>
      <c r="I634" t="s">
        <v>66</v>
      </c>
      <c r="J634" t="s">
        <v>67</v>
      </c>
      <c r="K634" t="s">
        <v>68</v>
      </c>
      <c r="L634" t="s">
        <v>1710</v>
      </c>
      <c r="M634" t="s">
        <v>31</v>
      </c>
      <c r="N634" t="s">
        <v>57</v>
      </c>
      <c r="O634" t="s">
        <v>1711</v>
      </c>
      <c r="P634">
        <v>43.295999999999999</v>
      </c>
      <c r="Q634">
        <v>2</v>
      </c>
      <c r="R634">
        <v>0.2</v>
      </c>
      <c r="S634">
        <v>4.3296000000000001</v>
      </c>
      <c r="T634" t="s">
        <v>59</v>
      </c>
      <c r="U634" t="s">
        <v>60</v>
      </c>
    </row>
    <row r="635" spans="1:21" x14ac:dyDescent="0.25">
      <c r="A635" t="s">
        <v>2226</v>
      </c>
      <c r="B635" s="1">
        <v>41832</v>
      </c>
      <c r="C635" s="1">
        <v>41838</v>
      </c>
      <c r="D635" t="s">
        <v>40</v>
      </c>
      <c r="E635" t="s">
        <v>2227</v>
      </c>
      <c r="F635" t="s">
        <v>2228</v>
      </c>
      <c r="G635" t="s">
        <v>25</v>
      </c>
      <c r="H635" t="s">
        <v>26</v>
      </c>
      <c r="I635" t="s">
        <v>192</v>
      </c>
      <c r="J635" t="s">
        <v>193</v>
      </c>
      <c r="K635" t="s">
        <v>55</v>
      </c>
      <c r="L635" t="s">
        <v>2219</v>
      </c>
      <c r="M635" t="s">
        <v>31</v>
      </c>
      <c r="N635" t="s">
        <v>37</v>
      </c>
      <c r="O635" t="s">
        <v>2220</v>
      </c>
      <c r="P635">
        <v>123.136</v>
      </c>
      <c r="Q635">
        <v>4</v>
      </c>
      <c r="R635">
        <v>0.2</v>
      </c>
      <c r="S635">
        <v>13.8528</v>
      </c>
      <c r="T635" t="s">
        <v>130</v>
      </c>
      <c r="U635" t="s">
        <v>72</v>
      </c>
    </row>
    <row r="636" spans="1:21" x14ac:dyDescent="0.25">
      <c r="A636" t="s">
        <v>2229</v>
      </c>
      <c r="B636" s="1">
        <v>41979</v>
      </c>
      <c r="C636" s="1">
        <v>41984</v>
      </c>
      <c r="D636" t="s">
        <v>22</v>
      </c>
      <c r="E636" t="s">
        <v>605</v>
      </c>
      <c r="F636" t="s">
        <v>606</v>
      </c>
      <c r="G636" t="s">
        <v>25</v>
      </c>
      <c r="H636" t="s">
        <v>26</v>
      </c>
      <c r="I636" t="s">
        <v>879</v>
      </c>
      <c r="J636" t="s">
        <v>1518</v>
      </c>
      <c r="K636" t="s">
        <v>55</v>
      </c>
      <c r="L636" t="s">
        <v>1724</v>
      </c>
      <c r="M636" t="s">
        <v>31</v>
      </c>
      <c r="N636" t="s">
        <v>46</v>
      </c>
      <c r="O636" t="s">
        <v>1725</v>
      </c>
      <c r="P636">
        <v>275.49</v>
      </c>
      <c r="Q636">
        <v>1</v>
      </c>
      <c r="R636">
        <v>0.5</v>
      </c>
      <c r="S636">
        <v>-170.8038</v>
      </c>
      <c r="T636" t="s">
        <v>59</v>
      </c>
      <c r="U636" t="s">
        <v>97</v>
      </c>
    </row>
    <row r="637" spans="1:21" x14ac:dyDescent="0.25">
      <c r="A637" t="s">
        <v>2230</v>
      </c>
      <c r="B637" s="1">
        <v>42515</v>
      </c>
      <c r="C637" s="1">
        <v>42520</v>
      </c>
      <c r="D637" t="s">
        <v>40</v>
      </c>
      <c r="E637" t="s">
        <v>2231</v>
      </c>
      <c r="F637" t="s">
        <v>2232</v>
      </c>
      <c r="G637" t="s">
        <v>101</v>
      </c>
      <c r="H637" t="s">
        <v>26</v>
      </c>
      <c r="I637" t="s">
        <v>348</v>
      </c>
      <c r="J637" t="s">
        <v>668</v>
      </c>
      <c r="K637" t="s">
        <v>29</v>
      </c>
      <c r="L637" t="s">
        <v>2233</v>
      </c>
      <c r="M637" t="s">
        <v>31</v>
      </c>
      <c r="N637" t="s">
        <v>57</v>
      </c>
      <c r="O637" t="s">
        <v>2234</v>
      </c>
      <c r="P637">
        <v>24.96</v>
      </c>
      <c r="Q637">
        <v>4</v>
      </c>
      <c r="R637">
        <v>0</v>
      </c>
      <c r="S637">
        <v>6.24</v>
      </c>
      <c r="T637" t="s">
        <v>59</v>
      </c>
      <c r="U637" t="s">
        <v>162</v>
      </c>
    </row>
    <row r="638" spans="1:21" x14ac:dyDescent="0.25">
      <c r="A638" t="s">
        <v>2235</v>
      </c>
      <c r="B638" s="1">
        <v>41811</v>
      </c>
      <c r="C638" s="1">
        <v>41815</v>
      </c>
      <c r="D638" t="s">
        <v>40</v>
      </c>
      <c r="E638" t="s">
        <v>2236</v>
      </c>
      <c r="F638" t="s">
        <v>2237</v>
      </c>
      <c r="G638" t="s">
        <v>25</v>
      </c>
      <c r="H638" t="s">
        <v>26</v>
      </c>
      <c r="I638" t="s">
        <v>66</v>
      </c>
      <c r="J638" t="s">
        <v>67</v>
      </c>
      <c r="K638" t="s">
        <v>68</v>
      </c>
      <c r="L638" t="s">
        <v>2238</v>
      </c>
      <c r="M638" t="s">
        <v>31</v>
      </c>
      <c r="N638" t="s">
        <v>57</v>
      </c>
      <c r="O638" t="s">
        <v>2239</v>
      </c>
      <c r="P638">
        <v>3.984</v>
      </c>
      <c r="Q638">
        <v>1</v>
      </c>
      <c r="R638">
        <v>0.2</v>
      </c>
      <c r="S638">
        <v>0.64739999999999998</v>
      </c>
      <c r="T638" t="s">
        <v>84</v>
      </c>
      <c r="U638" t="s">
        <v>60</v>
      </c>
    </row>
    <row r="639" spans="1:21" x14ac:dyDescent="0.25">
      <c r="A639" t="s">
        <v>2240</v>
      </c>
      <c r="B639" s="1">
        <v>42709</v>
      </c>
      <c r="C639" s="1">
        <v>42710</v>
      </c>
      <c r="D639" t="s">
        <v>88</v>
      </c>
      <c r="E639" t="s">
        <v>1572</v>
      </c>
      <c r="F639" t="s">
        <v>1573</v>
      </c>
      <c r="G639" t="s">
        <v>25</v>
      </c>
      <c r="H639" t="s">
        <v>26</v>
      </c>
      <c r="I639" t="s">
        <v>2241</v>
      </c>
      <c r="J639" t="s">
        <v>28</v>
      </c>
      <c r="K639" t="s">
        <v>29</v>
      </c>
      <c r="L639" t="s">
        <v>1756</v>
      </c>
      <c r="M639" t="s">
        <v>31</v>
      </c>
      <c r="N639" t="s">
        <v>57</v>
      </c>
      <c r="O639" t="s">
        <v>1757</v>
      </c>
      <c r="P639">
        <v>191.82</v>
      </c>
      <c r="Q639">
        <v>3</v>
      </c>
      <c r="R639">
        <v>0</v>
      </c>
      <c r="S639">
        <v>74.809799999999996</v>
      </c>
      <c r="T639" t="s">
        <v>124</v>
      </c>
      <c r="U639" t="s">
        <v>97</v>
      </c>
    </row>
    <row r="640" spans="1:21" x14ac:dyDescent="0.25">
      <c r="A640" t="s">
        <v>2242</v>
      </c>
      <c r="B640" s="1">
        <v>42264</v>
      </c>
      <c r="C640" s="1">
        <v>42268</v>
      </c>
      <c r="D640" t="s">
        <v>40</v>
      </c>
      <c r="E640" t="s">
        <v>216</v>
      </c>
      <c r="F640" t="s">
        <v>217</v>
      </c>
      <c r="G640" t="s">
        <v>101</v>
      </c>
      <c r="H640" t="s">
        <v>26</v>
      </c>
      <c r="I640" t="s">
        <v>174</v>
      </c>
      <c r="J640" t="s">
        <v>121</v>
      </c>
      <c r="K640" t="s">
        <v>68</v>
      </c>
      <c r="L640" t="s">
        <v>923</v>
      </c>
      <c r="M640" t="s">
        <v>31</v>
      </c>
      <c r="N640" t="s">
        <v>46</v>
      </c>
      <c r="O640" t="s">
        <v>924</v>
      </c>
      <c r="P640">
        <v>344.22</v>
      </c>
      <c r="Q640">
        <v>2</v>
      </c>
      <c r="R640">
        <v>0.4</v>
      </c>
      <c r="S640">
        <v>-103.26600000000001</v>
      </c>
      <c r="T640" t="s">
        <v>84</v>
      </c>
      <c r="U640" t="s">
        <v>78</v>
      </c>
    </row>
    <row r="641" spans="1:21" x14ac:dyDescent="0.25">
      <c r="A641" t="s">
        <v>2243</v>
      </c>
      <c r="B641" s="1">
        <v>42605</v>
      </c>
      <c r="C641" s="1">
        <v>42612</v>
      </c>
      <c r="D641" t="s">
        <v>40</v>
      </c>
      <c r="E641" t="s">
        <v>1145</v>
      </c>
      <c r="F641" t="s">
        <v>1146</v>
      </c>
      <c r="G641" t="s">
        <v>101</v>
      </c>
      <c r="H641" t="s">
        <v>26</v>
      </c>
      <c r="I641" t="s">
        <v>2244</v>
      </c>
      <c r="J641" t="s">
        <v>93</v>
      </c>
      <c r="K641" t="s">
        <v>94</v>
      </c>
      <c r="L641" t="s">
        <v>1543</v>
      </c>
      <c r="M641" t="s">
        <v>31</v>
      </c>
      <c r="N641" t="s">
        <v>57</v>
      </c>
      <c r="O641" t="s">
        <v>1544</v>
      </c>
      <c r="P641">
        <v>22.608000000000001</v>
      </c>
      <c r="Q641">
        <v>3</v>
      </c>
      <c r="R641">
        <v>0.6</v>
      </c>
      <c r="S641">
        <v>-10.1736</v>
      </c>
      <c r="T641" t="s">
        <v>48</v>
      </c>
      <c r="U641" t="s">
        <v>254</v>
      </c>
    </row>
    <row r="642" spans="1:21" x14ac:dyDescent="0.25">
      <c r="A642" t="s">
        <v>2245</v>
      </c>
      <c r="B642" s="1">
        <v>42316</v>
      </c>
      <c r="C642" s="1">
        <v>42322</v>
      </c>
      <c r="D642" t="s">
        <v>40</v>
      </c>
      <c r="E642" t="s">
        <v>508</v>
      </c>
      <c r="F642" t="s">
        <v>509</v>
      </c>
      <c r="G642" t="s">
        <v>25</v>
      </c>
      <c r="H642" t="s">
        <v>26</v>
      </c>
      <c r="I642" t="s">
        <v>2246</v>
      </c>
      <c r="J642" t="s">
        <v>77</v>
      </c>
      <c r="K642" t="s">
        <v>55</v>
      </c>
      <c r="L642" t="s">
        <v>831</v>
      </c>
      <c r="M642" t="s">
        <v>31</v>
      </c>
      <c r="N642" t="s">
        <v>57</v>
      </c>
      <c r="O642" t="s">
        <v>832</v>
      </c>
      <c r="P642">
        <v>66.69</v>
      </c>
      <c r="Q642">
        <v>3</v>
      </c>
      <c r="R642">
        <v>0</v>
      </c>
      <c r="S642">
        <v>22.0077</v>
      </c>
      <c r="T642" t="s">
        <v>130</v>
      </c>
      <c r="U642" t="s">
        <v>35</v>
      </c>
    </row>
    <row r="643" spans="1:21" x14ac:dyDescent="0.25">
      <c r="A643" t="s">
        <v>2247</v>
      </c>
      <c r="B643" s="1">
        <v>43056</v>
      </c>
      <c r="C643" s="1">
        <v>43062</v>
      </c>
      <c r="D643" t="s">
        <v>40</v>
      </c>
      <c r="E643" t="s">
        <v>2248</v>
      </c>
      <c r="F643" t="s">
        <v>2249</v>
      </c>
      <c r="G643" t="s">
        <v>25</v>
      </c>
      <c r="H643" t="s">
        <v>26</v>
      </c>
      <c r="I643" t="s">
        <v>2250</v>
      </c>
      <c r="J643" t="s">
        <v>93</v>
      </c>
      <c r="K643" t="s">
        <v>94</v>
      </c>
      <c r="L643" t="s">
        <v>1776</v>
      </c>
      <c r="M643" t="s">
        <v>31</v>
      </c>
      <c r="N643" t="s">
        <v>32</v>
      </c>
      <c r="O643" t="s">
        <v>1777</v>
      </c>
      <c r="P643">
        <v>327.7328</v>
      </c>
      <c r="Q643">
        <v>2</v>
      </c>
      <c r="R643">
        <v>0.32</v>
      </c>
      <c r="S643">
        <v>-14.4588</v>
      </c>
      <c r="T643" t="s">
        <v>130</v>
      </c>
      <c r="U643" t="s">
        <v>35</v>
      </c>
    </row>
    <row r="644" spans="1:21" x14ac:dyDescent="0.25">
      <c r="A644" t="s">
        <v>2251</v>
      </c>
      <c r="B644" s="1">
        <v>42847</v>
      </c>
      <c r="C644" s="1">
        <v>42851</v>
      </c>
      <c r="D644" t="s">
        <v>40</v>
      </c>
      <c r="E644" t="s">
        <v>660</v>
      </c>
      <c r="F644" t="s">
        <v>661</v>
      </c>
      <c r="G644" t="s">
        <v>101</v>
      </c>
      <c r="H644" t="s">
        <v>26</v>
      </c>
      <c r="I644" t="s">
        <v>66</v>
      </c>
      <c r="J644" t="s">
        <v>67</v>
      </c>
      <c r="K644" t="s">
        <v>68</v>
      </c>
      <c r="L644" t="s">
        <v>1392</v>
      </c>
      <c r="M644" t="s">
        <v>31</v>
      </c>
      <c r="N644" t="s">
        <v>57</v>
      </c>
      <c r="O644" t="s">
        <v>1393</v>
      </c>
      <c r="P644">
        <v>254.352</v>
      </c>
      <c r="Q644">
        <v>3</v>
      </c>
      <c r="R644">
        <v>0.2</v>
      </c>
      <c r="S644">
        <v>0</v>
      </c>
      <c r="T644" t="s">
        <v>84</v>
      </c>
      <c r="U644" t="s">
        <v>114</v>
      </c>
    </row>
    <row r="645" spans="1:21" x14ac:dyDescent="0.25">
      <c r="A645" t="s">
        <v>2252</v>
      </c>
      <c r="B645" s="1">
        <v>43086</v>
      </c>
      <c r="C645" s="1">
        <v>43090</v>
      </c>
      <c r="D645" t="s">
        <v>40</v>
      </c>
      <c r="E645" t="s">
        <v>1335</v>
      </c>
      <c r="F645" t="s">
        <v>1336</v>
      </c>
      <c r="G645" t="s">
        <v>25</v>
      </c>
      <c r="H645" t="s">
        <v>26</v>
      </c>
      <c r="I645" t="s">
        <v>2121</v>
      </c>
      <c r="J645" t="s">
        <v>717</v>
      </c>
      <c r="K645" t="s">
        <v>29</v>
      </c>
      <c r="L645" t="s">
        <v>1187</v>
      </c>
      <c r="M645" t="s">
        <v>31</v>
      </c>
      <c r="N645" t="s">
        <v>37</v>
      </c>
      <c r="O645" t="s">
        <v>1188</v>
      </c>
      <c r="P645">
        <v>504.9</v>
      </c>
      <c r="Q645">
        <v>5</v>
      </c>
      <c r="R645">
        <v>0</v>
      </c>
      <c r="S645">
        <v>80.784000000000006</v>
      </c>
      <c r="T645" t="s">
        <v>84</v>
      </c>
      <c r="U645" t="s">
        <v>97</v>
      </c>
    </row>
    <row r="646" spans="1:21" x14ac:dyDescent="0.25">
      <c r="A646" t="s">
        <v>2253</v>
      </c>
      <c r="B646" s="1">
        <v>42268</v>
      </c>
      <c r="C646" s="1">
        <v>42274</v>
      </c>
      <c r="D646" t="s">
        <v>40</v>
      </c>
      <c r="E646" t="s">
        <v>2254</v>
      </c>
      <c r="F646" t="s">
        <v>2255</v>
      </c>
      <c r="G646" t="s">
        <v>91</v>
      </c>
      <c r="H646" t="s">
        <v>26</v>
      </c>
      <c r="I646" t="s">
        <v>2256</v>
      </c>
      <c r="J646" t="s">
        <v>290</v>
      </c>
      <c r="K646" t="s">
        <v>94</v>
      </c>
      <c r="L646" t="s">
        <v>1604</v>
      </c>
      <c r="M646" t="s">
        <v>31</v>
      </c>
      <c r="N646" t="s">
        <v>32</v>
      </c>
      <c r="O646" t="s">
        <v>1605</v>
      </c>
      <c r="P646">
        <v>194.32</v>
      </c>
      <c r="Q646">
        <v>4</v>
      </c>
      <c r="R646">
        <v>0</v>
      </c>
      <c r="S646">
        <v>31.091200000000001</v>
      </c>
      <c r="T646" t="s">
        <v>130</v>
      </c>
      <c r="U646" t="s">
        <v>78</v>
      </c>
    </row>
    <row r="647" spans="1:21" x14ac:dyDescent="0.25">
      <c r="A647" t="s">
        <v>2257</v>
      </c>
      <c r="B647" s="1">
        <v>42695</v>
      </c>
      <c r="C647" s="1">
        <v>42700</v>
      </c>
      <c r="D647" t="s">
        <v>40</v>
      </c>
      <c r="E647" t="s">
        <v>2258</v>
      </c>
      <c r="F647" t="s">
        <v>2259</v>
      </c>
      <c r="G647" t="s">
        <v>25</v>
      </c>
      <c r="H647" t="s">
        <v>26</v>
      </c>
      <c r="I647" t="s">
        <v>2260</v>
      </c>
      <c r="J647" t="s">
        <v>1518</v>
      </c>
      <c r="K647" t="s">
        <v>55</v>
      </c>
      <c r="L647" t="s">
        <v>1657</v>
      </c>
      <c r="M647" t="s">
        <v>31</v>
      </c>
      <c r="N647" t="s">
        <v>37</v>
      </c>
      <c r="O647" t="s">
        <v>1658</v>
      </c>
      <c r="P647">
        <v>195.136</v>
      </c>
      <c r="Q647">
        <v>4</v>
      </c>
      <c r="R647">
        <v>0.2</v>
      </c>
      <c r="S647">
        <v>-12.196</v>
      </c>
      <c r="T647" t="s">
        <v>59</v>
      </c>
      <c r="U647" t="s">
        <v>35</v>
      </c>
    </row>
    <row r="648" spans="1:21" x14ac:dyDescent="0.25">
      <c r="A648" t="s">
        <v>2261</v>
      </c>
      <c r="B648" s="1">
        <v>42166</v>
      </c>
      <c r="C648" s="1">
        <v>42171</v>
      </c>
      <c r="D648" t="s">
        <v>40</v>
      </c>
      <c r="E648" t="s">
        <v>1061</v>
      </c>
      <c r="F648" t="s">
        <v>1062</v>
      </c>
      <c r="G648" t="s">
        <v>25</v>
      </c>
      <c r="H648" t="s">
        <v>26</v>
      </c>
      <c r="I648" t="s">
        <v>1036</v>
      </c>
      <c r="J648" t="s">
        <v>1407</v>
      </c>
      <c r="K648" t="s">
        <v>29</v>
      </c>
      <c r="L648" t="s">
        <v>2262</v>
      </c>
      <c r="M648" t="s">
        <v>31</v>
      </c>
      <c r="N648" t="s">
        <v>57</v>
      </c>
      <c r="O648" t="s">
        <v>2263</v>
      </c>
      <c r="P648">
        <v>29.16</v>
      </c>
      <c r="Q648">
        <v>2</v>
      </c>
      <c r="R648">
        <v>0</v>
      </c>
      <c r="S648">
        <v>10.789199999999999</v>
      </c>
      <c r="T648" t="s">
        <v>59</v>
      </c>
      <c r="U648" t="s">
        <v>60</v>
      </c>
    </row>
    <row r="649" spans="1:21" x14ac:dyDescent="0.25">
      <c r="A649" t="s">
        <v>2264</v>
      </c>
      <c r="B649" s="1">
        <v>43011</v>
      </c>
      <c r="C649" s="1">
        <v>43016</v>
      </c>
      <c r="D649" t="s">
        <v>40</v>
      </c>
      <c r="E649" t="s">
        <v>2265</v>
      </c>
      <c r="F649" t="s">
        <v>2266</v>
      </c>
      <c r="G649" t="s">
        <v>91</v>
      </c>
      <c r="H649" t="s">
        <v>26</v>
      </c>
      <c r="I649" t="s">
        <v>1186</v>
      </c>
      <c r="J649" t="s">
        <v>54</v>
      </c>
      <c r="K649" t="s">
        <v>55</v>
      </c>
      <c r="L649" t="s">
        <v>908</v>
      </c>
      <c r="M649" t="s">
        <v>31</v>
      </c>
      <c r="N649" t="s">
        <v>46</v>
      </c>
      <c r="O649" t="s">
        <v>909</v>
      </c>
      <c r="P649">
        <v>171.28800000000001</v>
      </c>
      <c r="Q649">
        <v>3</v>
      </c>
      <c r="R649">
        <v>0.2</v>
      </c>
      <c r="S649">
        <v>-6.4233000000000002</v>
      </c>
      <c r="T649" t="s">
        <v>59</v>
      </c>
      <c r="U649" t="s">
        <v>49</v>
      </c>
    </row>
    <row r="650" spans="1:21" x14ac:dyDescent="0.25">
      <c r="A650" t="s">
        <v>2267</v>
      </c>
      <c r="B650" s="1">
        <v>42495</v>
      </c>
      <c r="C650" s="1">
        <v>42499</v>
      </c>
      <c r="D650" t="s">
        <v>40</v>
      </c>
      <c r="E650" t="s">
        <v>2268</v>
      </c>
      <c r="F650" t="s">
        <v>2269</v>
      </c>
      <c r="G650" t="s">
        <v>25</v>
      </c>
      <c r="H650" t="s">
        <v>26</v>
      </c>
      <c r="I650" t="s">
        <v>2270</v>
      </c>
      <c r="J650" t="s">
        <v>142</v>
      </c>
      <c r="K650" t="s">
        <v>29</v>
      </c>
      <c r="L650" t="s">
        <v>1312</v>
      </c>
      <c r="M650" t="s">
        <v>31</v>
      </c>
      <c r="N650" t="s">
        <v>57</v>
      </c>
      <c r="O650" t="s">
        <v>1313</v>
      </c>
      <c r="P650">
        <v>16.72</v>
      </c>
      <c r="Q650">
        <v>5</v>
      </c>
      <c r="R650">
        <v>0.2</v>
      </c>
      <c r="S650">
        <v>3.3439999999999999</v>
      </c>
      <c r="T650" t="s">
        <v>84</v>
      </c>
      <c r="U650" t="s">
        <v>162</v>
      </c>
    </row>
    <row r="651" spans="1:21" x14ac:dyDescent="0.25">
      <c r="A651" t="s">
        <v>2271</v>
      </c>
      <c r="B651" s="1">
        <v>42989</v>
      </c>
      <c r="C651" s="1">
        <v>42990</v>
      </c>
      <c r="D651" t="s">
        <v>426</v>
      </c>
      <c r="E651" t="s">
        <v>2272</v>
      </c>
      <c r="F651" t="s">
        <v>2273</v>
      </c>
      <c r="G651" t="s">
        <v>101</v>
      </c>
      <c r="H651" t="s">
        <v>26</v>
      </c>
      <c r="I651" t="s">
        <v>731</v>
      </c>
      <c r="J651" t="s">
        <v>54</v>
      </c>
      <c r="K651" t="s">
        <v>55</v>
      </c>
      <c r="L651" t="s">
        <v>2274</v>
      </c>
      <c r="M651" t="s">
        <v>31</v>
      </c>
      <c r="N651" t="s">
        <v>37</v>
      </c>
      <c r="O651" t="s">
        <v>2275</v>
      </c>
      <c r="P651">
        <v>2054.2719999999999</v>
      </c>
      <c r="Q651">
        <v>8</v>
      </c>
      <c r="R651">
        <v>0.2</v>
      </c>
      <c r="S651">
        <v>256.78399999999999</v>
      </c>
      <c r="T651" t="s">
        <v>124</v>
      </c>
      <c r="U651" t="s">
        <v>78</v>
      </c>
    </row>
    <row r="652" spans="1:21" x14ac:dyDescent="0.25">
      <c r="A652" t="s">
        <v>2276</v>
      </c>
      <c r="B652" s="1">
        <v>42827</v>
      </c>
      <c r="C652" s="1">
        <v>42829</v>
      </c>
      <c r="D652" t="s">
        <v>88</v>
      </c>
      <c r="E652" t="s">
        <v>2277</v>
      </c>
      <c r="F652" t="s">
        <v>2278</v>
      </c>
      <c r="G652" t="s">
        <v>101</v>
      </c>
      <c r="H652" t="s">
        <v>26</v>
      </c>
      <c r="I652" t="s">
        <v>348</v>
      </c>
      <c r="J652" t="s">
        <v>668</v>
      </c>
      <c r="K652" t="s">
        <v>29</v>
      </c>
      <c r="L652" t="s">
        <v>213</v>
      </c>
      <c r="M652" t="s">
        <v>31</v>
      </c>
      <c r="N652" t="s">
        <v>46</v>
      </c>
      <c r="O652" t="s">
        <v>214</v>
      </c>
      <c r="P652">
        <v>411.8</v>
      </c>
      <c r="Q652">
        <v>2</v>
      </c>
      <c r="R652">
        <v>0</v>
      </c>
      <c r="S652">
        <v>70.006</v>
      </c>
      <c r="T652" t="s">
        <v>71</v>
      </c>
      <c r="U652" t="s">
        <v>114</v>
      </c>
    </row>
    <row r="653" spans="1:21" x14ac:dyDescent="0.25">
      <c r="A653" t="s">
        <v>2279</v>
      </c>
      <c r="B653" s="1">
        <v>43014</v>
      </c>
      <c r="C653" s="1">
        <v>43019</v>
      </c>
      <c r="D653" t="s">
        <v>40</v>
      </c>
      <c r="E653" t="s">
        <v>346</v>
      </c>
      <c r="F653" t="s">
        <v>347</v>
      </c>
      <c r="G653" t="s">
        <v>101</v>
      </c>
      <c r="H653" t="s">
        <v>26</v>
      </c>
      <c r="I653" t="s">
        <v>2280</v>
      </c>
      <c r="J653" t="s">
        <v>2281</v>
      </c>
      <c r="K653" t="s">
        <v>55</v>
      </c>
      <c r="L653" t="s">
        <v>2282</v>
      </c>
      <c r="M653" t="s">
        <v>31</v>
      </c>
      <c r="N653" t="s">
        <v>57</v>
      </c>
      <c r="O653" t="s">
        <v>2283</v>
      </c>
      <c r="P653">
        <v>41.96</v>
      </c>
      <c r="Q653">
        <v>2</v>
      </c>
      <c r="R653">
        <v>0</v>
      </c>
      <c r="S653">
        <v>2.9371999999999998</v>
      </c>
      <c r="T653" t="s">
        <v>59</v>
      </c>
      <c r="U653" t="s">
        <v>49</v>
      </c>
    </row>
    <row r="654" spans="1:21" x14ac:dyDescent="0.25">
      <c r="A654" t="s">
        <v>2284</v>
      </c>
      <c r="B654" s="1">
        <v>43027</v>
      </c>
      <c r="C654" s="1">
        <v>43032</v>
      </c>
      <c r="D654" t="s">
        <v>22</v>
      </c>
      <c r="E654" t="s">
        <v>2285</v>
      </c>
      <c r="F654" t="s">
        <v>2286</v>
      </c>
      <c r="G654" t="s">
        <v>91</v>
      </c>
      <c r="H654" t="s">
        <v>26</v>
      </c>
      <c r="I654" t="s">
        <v>329</v>
      </c>
      <c r="J654" t="s">
        <v>54</v>
      </c>
      <c r="K654" t="s">
        <v>55</v>
      </c>
      <c r="L654" t="s">
        <v>871</v>
      </c>
      <c r="M654" t="s">
        <v>31</v>
      </c>
      <c r="N654" t="s">
        <v>57</v>
      </c>
      <c r="O654" t="s">
        <v>872</v>
      </c>
      <c r="P654">
        <v>30.56</v>
      </c>
      <c r="Q654">
        <v>2</v>
      </c>
      <c r="R654">
        <v>0</v>
      </c>
      <c r="S654">
        <v>10.3904</v>
      </c>
      <c r="T654" t="s">
        <v>59</v>
      </c>
      <c r="U654" t="s">
        <v>49</v>
      </c>
    </row>
    <row r="655" spans="1:21" x14ac:dyDescent="0.25">
      <c r="A655" t="s">
        <v>2284</v>
      </c>
      <c r="B655" s="1">
        <v>43027</v>
      </c>
      <c r="C655" s="1">
        <v>43032</v>
      </c>
      <c r="D655" t="s">
        <v>22</v>
      </c>
      <c r="E655" t="s">
        <v>2285</v>
      </c>
      <c r="F655" t="s">
        <v>2286</v>
      </c>
      <c r="G655" t="s">
        <v>91</v>
      </c>
      <c r="H655" t="s">
        <v>26</v>
      </c>
      <c r="I655" t="s">
        <v>329</v>
      </c>
      <c r="J655" t="s">
        <v>54</v>
      </c>
      <c r="K655" t="s">
        <v>55</v>
      </c>
      <c r="L655" t="s">
        <v>2287</v>
      </c>
      <c r="M655" t="s">
        <v>31</v>
      </c>
      <c r="N655" t="s">
        <v>46</v>
      </c>
      <c r="O655" t="s">
        <v>2288</v>
      </c>
      <c r="P655">
        <v>24.367999999999999</v>
      </c>
      <c r="Q655">
        <v>2</v>
      </c>
      <c r="R655">
        <v>0.2</v>
      </c>
      <c r="S655">
        <v>-3.3506</v>
      </c>
      <c r="T655" t="s">
        <v>59</v>
      </c>
      <c r="U655" t="s">
        <v>49</v>
      </c>
    </row>
    <row r="656" spans="1:21" x14ac:dyDescent="0.25">
      <c r="A656" t="s">
        <v>2289</v>
      </c>
      <c r="B656" s="1">
        <v>41960</v>
      </c>
      <c r="C656" s="1">
        <v>41965</v>
      </c>
      <c r="D656" t="s">
        <v>40</v>
      </c>
      <c r="E656" t="s">
        <v>2290</v>
      </c>
      <c r="F656" t="s">
        <v>2291</v>
      </c>
      <c r="G656" t="s">
        <v>91</v>
      </c>
      <c r="H656" t="s">
        <v>26</v>
      </c>
      <c r="I656" t="s">
        <v>231</v>
      </c>
      <c r="J656" t="s">
        <v>201</v>
      </c>
      <c r="K656" t="s">
        <v>68</v>
      </c>
      <c r="L656" t="s">
        <v>2292</v>
      </c>
      <c r="M656" t="s">
        <v>31</v>
      </c>
      <c r="N656" t="s">
        <v>57</v>
      </c>
      <c r="O656" t="s">
        <v>2293</v>
      </c>
      <c r="P656">
        <v>124.41</v>
      </c>
      <c r="Q656">
        <v>3</v>
      </c>
      <c r="R656">
        <v>0</v>
      </c>
      <c r="S656">
        <v>14.9292</v>
      </c>
      <c r="T656" t="s">
        <v>59</v>
      </c>
      <c r="U656" t="s">
        <v>35</v>
      </c>
    </row>
    <row r="657" spans="1:21" x14ac:dyDescent="0.25">
      <c r="A657" t="s">
        <v>2294</v>
      </c>
      <c r="B657" s="1">
        <v>42280</v>
      </c>
      <c r="C657" s="1">
        <v>42285</v>
      </c>
      <c r="D657" t="s">
        <v>40</v>
      </c>
      <c r="E657" t="s">
        <v>264</v>
      </c>
      <c r="F657" t="s">
        <v>265</v>
      </c>
      <c r="G657" t="s">
        <v>25</v>
      </c>
      <c r="H657" t="s">
        <v>26</v>
      </c>
      <c r="I657" t="s">
        <v>53</v>
      </c>
      <c r="J657" t="s">
        <v>54</v>
      </c>
      <c r="K657" t="s">
        <v>55</v>
      </c>
      <c r="L657" t="s">
        <v>811</v>
      </c>
      <c r="M657" t="s">
        <v>31</v>
      </c>
      <c r="N657" t="s">
        <v>32</v>
      </c>
      <c r="O657" t="s">
        <v>812</v>
      </c>
      <c r="P657">
        <v>120.666</v>
      </c>
      <c r="Q657">
        <v>2</v>
      </c>
      <c r="R657">
        <v>0.15</v>
      </c>
      <c r="S657">
        <v>18.454799999999999</v>
      </c>
      <c r="T657" t="s">
        <v>59</v>
      </c>
      <c r="U657" t="s">
        <v>49</v>
      </c>
    </row>
    <row r="658" spans="1:21" x14ac:dyDescent="0.25">
      <c r="A658" t="s">
        <v>2295</v>
      </c>
      <c r="B658" s="1">
        <v>41840</v>
      </c>
      <c r="C658" s="1">
        <v>41844</v>
      </c>
      <c r="D658" t="s">
        <v>40</v>
      </c>
      <c r="E658" t="s">
        <v>2296</v>
      </c>
      <c r="F658" t="s">
        <v>2297</v>
      </c>
      <c r="G658" t="s">
        <v>101</v>
      </c>
      <c r="H658" t="s">
        <v>26</v>
      </c>
      <c r="I658" t="s">
        <v>1740</v>
      </c>
      <c r="J658" t="s">
        <v>93</v>
      </c>
      <c r="K658" t="s">
        <v>94</v>
      </c>
      <c r="L658" t="s">
        <v>1148</v>
      </c>
      <c r="M658" t="s">
        <v>31</v>
      </c>
      <c r="N658" t="s">
        <v>57</v>
      </c>
      <c r="O658" t="s">
        <v>1149</v>
      </c>
      <c r="P658">
        <v>16.739999999999998</v>
      </c>
      <c r="Q658">
        <v>5</v>
      </c>
      <c r="R658">
        <v>0.6</v>
      </c>
      <c r="S658">
        <v>-14.228999999999999</v>
      </c>
      <c r="T658" t="s">
        <v>84</v>
      </c>
      <c r="U658" t="s">
        <v>72</v>
      </c>
    </row>
    <row r="659" spans="1:21" x14ac:dyDescent="0.25">
      <c r="A659" t="s">
        <v>2295</v>
      </c>
      <c r="B659" s="1">
        <v>41840</v>
      </c>
      <c r="C659" s="1">
        <v>41844</v>
      </c>
      <c r="D659" t="s">
        <v>40</v>
      </c>
      <c r="E659" t="s">
        <v>2296</v>
      </c>
      <c r="F659" t="s">
        <v>2297</v>
      </c>
      <c r="G659" t="s">
        <v>101</v>
      </c>
      <c r="H659" t="s">
        <v>26</v>
      </c>
      <c r="I659" t="s">
        <v>1740</v>
      </c>
      <c r="J659" t="s">
        <v>93</v>
      </c>
      <c r="K659" t="s">
        <v>94</v>
      </c>
      <c r="L659" t="s">
        <v>602</v>
      </c>
      <c r="M659" t="s">
        <v>31</v>
      </c>
      <c r="N659" t="s">
        <v>37</v>
      </c>
      <c r="O659" t="s">
        <v>603</v>
      </c>
      <c r="P659">
        <v>981.37199999999996</v>
      </c>
      <c r="Q659">
        <v>2</v>
      </c>
      <c r="R659">
        <v>0.3</v>
      </c>
      <c r="S659">
        <v>-140.196</v>
      </c>
      <c r="T659" t="s">
        <v>84</v>
      </c>
      <c r="U659" t="s">
        <v>72</v>
      </c>
    </row>
    <row r="660" spans="1:21" x14ac:dyDescent="0.25">
      <c r="A660" t="s">
        <v>2298</v>
      </c>
      <c r="B660" s="1">
        <v>42775</v>
      </c>
      <c r="C660" s="1">
        <v>42780</v>
      </c>
      <c r="D660" t="s">
        <v>40</v>
      </c>
      <c r="E660" t="s">
        <v>2299</v>
      </c>
      <c r="F660" t="s">
        <v>2300</v>
      </c>
      <c r="G660" t="s">
        <v>25</v>
      </c>
      <c r="H660" t="s">
        <v>26</v>
      </c>
      <c r="I660" t="s">
        <v>102</v>
      </c>
      <c r="J660" t="s">
        <v>93</v>
      </c>
      <c r="K660" t="s">
        <v>94</v>
      </c>
      <c r="L660" t="s">
        <v>2238</v>
      </c>
      <c r="M660" t="s">
        <v>31</v>
      </c>
      <c r="N660" t="s">
        <v>57</v>
      </c>
      <c r="O660" t="s">
        <v>2239</v>
      </c>
      <c r="P660">
        <v>3.984</v>
      </c>
      <c r="Q660">
        <v>2</v>
      </c>
      <c r="R660">
        <v>0.6</v>
      </c>
      <c r="S660">
        <v>-2.6892</v>
      </c>
      <c r="T660" t="s">
        <v>59</v>
      </c>
      <c r="U660" t="s">
        <v>298</v>
      </c>
    </row>
    <row r="661" spans="1:21" x14ac:dyDescent="0.25">
      <c r="A661" t="s">
        <v>2301</v>
      </c>
      <c r="B661" s="1">
        <v>42825</v>
      </c>
      <c r="C661" s="1">
        <v>42827</v>
      </c>
      <c r="D661" t="s">
        <v>22</v>
      </c>
      <c r="E661" t="s">
        <v>2302</v>
      </c>
      <c r="F661" t="s">
        <v>2303</v>
      </c>
      <c r="G661" t="s">
        <v>101</v>
      </c>
      <c r="H661" t="s">
        <v>26</v>
      </c>
      <c r="I661" t="s">
        <v>27</v>
      </c>
      <c r="J661" t="s">
        <v>28</v>
      </c>
      <c r="K661" t="s">
        <v>29</v>
      </c>
      <c r="L661" t="s">
        <v>1483</v>
      </c>
      <c r="M661" t="s">
        <v>31</v>
      </c>
      <c r="N661" t="s">
        <v>57</v>
      </c>
      <c r="O661" t="s">
        <v>1484</v>
      </c>
      <c r="P661">
        <v>61</v>
      </c>
      <c r="Q661">
        <v>5</v>
      </c>
      <c r="R661">
        <v>0</v>
      </c>
      <c r="S661">
        <v>25.62</v>
      </c>
      <c r="T661" t="s">
        <v>71</v>
      </c>
      <c r="U661" t="s">
        <v>196</v>
      </c>
    </row>
    <row r="662" spans="1:21" x14ac:dyDescent="0.25">
      <c r="A662" t="s">
        <v>2304</v>
      </c>
      <c r="B662" s="1">
        <v>42852</v>
      </c>
      <c r="C662" s="1">
        <v>42856</v>
      </c>
      <c r="D662" t="s">
        <v>40</v>
      </c>
      <c r="E662" t="s">
        <v>185</v>
      </c>
      <c r="F662" t="s">
        <v>186</v>
      </c>
      <c r="G662" t="s">
        <v>91</v>
      </c>
      <c r="H662" t="s">
        <v>26</v>
      </c>
      <c r="I662" t="s">
        <v>596</v>
      </c>
      <c r="J662" t="s">
        <v>93</v>
      </c>
      <c r="K662" t="s">
        <v>94</v>
      </c>
      <c r="L662" t="s">
        <v>416</v>
      </c>
      <c r="M662" t="s">
        <v>31</v>
      </c>
      <c r="N662" t="s">
        <v>32</v>
      </c>
      <c r="O662" t="s">
        <v>417</v>
      </c>
      <c r="P662">
        <v>220.26560000000001</v>
      </c>
      <c r="Q662">
        <v>4</v>
      </c>
      <c r="R662">
        <v>0.32</v>
      </c>
      <c r="S662">
        <v>-42.1096</v>
      </c>
      <c r="T662" t="s">
        <v>84</v>
      </c>
      <c r="U662" t="s">
        <v>114</v>
      </c>
    </row>
    <row r="663" spans="1:21" x14ac:dyDescent="0.25">
      <c r="A663" t="s">
        <v>2305</v>
      </c>
      <c r="B663" s="1">
        <v>42839</v>
      </c>
      <c r="C663" s="1">
        <v>42844</v>
      </c>
      <c r="D663" t="s">
        <v>40</v>
      </c>
      <c r="E663" t="s">
        <v>2306</v>
      </c>
      <c r="F663" t="s">
        <v>2307</v>
      </c>
      <c r="G663" t="s">
        <v>25</v>
      </c>
      <c r="H663" t="s">
        <v>26</v>
      </c>
      <c r="I663" t="s">
        <v>174</v>
      </c>
      <c r="J663" t="s">
        <v>121</v>
      </c>
      <c r="K663" t="s">
        <v>68</v>
      </c>
      <c r="L663" t="s">
        <v>899</v>
      </c>
      <c r="M663" t="s">
        <v>31</v>
      </c>
      <c r="N663" t="s">
        <v>32</v>
      </c>
      <c r="O663" t="s">
        <v>900</v>
      </c>
      <c r="P663">
        <v>242.352</v>
      </c>
      <c r="Q663">
        <v>3</v>
      </c>
      <c r="R663">
        <v>0.2</v>
      </c>
      <c r="S663">
        <v>9.0882000000000005</v>
      </c>
      <c r="T663" t="s">
        <v>59</v>
      </c>
      <c r="U663" t="s">
        <v>114</v>
      </c>
    </row>
    <row r="664" spans="1:21" x14ac:dyDescent="0.25">
      <c r="A664" t="s">
        <v>2308</v>
      </c>
      <c r="B664" s="1">
        <v>43091</v>
      </c>
      <c r="C664" s="1">
        <v>43096</v>
      </c>
      <c r="D664" t="s">
        <v>22</v>
      </c>
      <c r="E664" t="s">
        <v>2309</v>
      </c>
      <c r="F664" t="s">
        <v>2310</v>
      </c>
      <c r="G664" t="s">
        <v>91</v>
      </c>
      <c r="H664" t="s">
        <v>26</v>
      </c>
      <c r="I664" t="s">
        <v>1645</v>
      </c>
      <c r="J664" t="s">
        <v>1646</v>
      </c>
      <c r="K664" t="s">
        <v>68</v>
      </c>
      <c r="L664" t="s">
        <v>2311</v>
      </c>
      <c r="M664" t="s">
        <v>31</v>
      </c>
      <c r="N664" t="s">
        <v>32</v>
      </c>
      <c r="O664" t="s">
        <v>2312</v>
      </c>
      <c r="P664">
        <v>220.98</v>
      </c>
      <c r="Q664">
        <v>1</v>
      </c>
      <c r="R664">
        <v>0</v>
      </c>
      <c r="S664">
        <v>50.825400000000002</v>
      </c>
      <c r="T664" t="s">
        <v>59</v>
      </c>
      <c r="U664" t="s">
        <v>97</v>
      </c>
    </row>
    <row r="665" spans="1:21" x14ac:dyDescent="0.25">
      <c r="A665" t="s">
        <v>2313</v>
      </c>
      <c r="B665" s="1">
        <v>42605</v>
      </c>
      <c r="C665" s="1">
        <v>42612</v>
      </c>
      <c r="D665" t="s">
        <v>40</v>
      </c>
      <c r="E665" t="s">
        <v>2314</v>
      </c>
      <c r="F665" t="s">
        <v>2315</v>
      </c>
      <c r="G665" t="s">
        <v>25</v>
      </c>
      <c r="H665" t="s">
        <v>26</v>
      </c>
      <c r="I665" t="s">
        <v>192</v>
      </c>
      <c r="J665" t="s">
        <v>193</v>
      </c>
      <c r="K665" t="s">
        <v>55</v>
      </c>
      <c r="L665" t="s">
        <v>1165</v>
      </c>
      <c r="M665" t="s">
        <v>31</v>
      </c>
      <c r="N665" t="s">
        <v>37</v>
      </c>
      <c r="O665" t="s">
        <v>1166</v>
      </c>
      <c r="P665">
        <v>532.70399999999995</v>
      </c>
      <c r="Q665">
        <v>6</v>
      </c>
      <c r="R665">
        <v>0.2</v>
      </c>
      <c r="S665">
        <v>-39.952800000000003</v>
      </c>
      <c r="T665" t="s">
        <v>48</v>
      </c>
      <c r="U665" t="s">
        <v>254</v>
      </c>
    </row>
    <row r="666" spans="1:21" x14ac:dyDescent="0.25">
      <c r="A666" t="s">
        <v>2316</v>
      </c>
      <c r="B666" s="1">
        <v>42166</v>
      </c>
      <c r="C666" s="1">
        <v>42167</v>
      </c>
      <c r="D666" t="s">
        <v>88</v>
      </c>
      <c r="E666" t="s">
        <v>2317</v>
      </c>
      <c r="F666" t="s">
        <v>2318</v>
      </c>
      <c r="G666" t="s">
        <v>91</v>
      </c>
      <c r="H666" t="s">
        <v>26</v>
      </c>
      <c r="I666" t="s">
        <v>575</v>
      </c>
      <c r="J666" t="s">
        <v>44</v>
      </c>
      <c r="K666" t="s">
        <v>29</v>
      </c>
      <c r="L666" t="s">
        <v>406</v>
      </c>
      <c r="M666" t="s">
        <v>31</v>
      </c>
      <c r="N666" t="s">
        <v>37</v>
      </c>
      <c r="O666" t="s">
        <v>407</v>
      </c>
      <c r="P666">
        <v>1123.92</v>
      </c>
      <c r="Q666">
        <v>5</v>
      </c>
      <c r="R666">
        <v>0.2</v>
      </c>
      <c r="S666">
        <v>-182.637</v>
      </c>
      <c r="T666" t="s">
        <v>124</v>
      </c>
      <c r="U666" t="s">
        <v>60</v>
      </c>
    </row>
    <row r="667" spans="1:21" x14ac:dyDescent="0.25">
      <c r="A667" t="s">
        <v>2316</v>
      </c>
      <c r="B667" s="1">
        <v>42166</v>
      </c>
      <c r="C667" s="1">
        <v>42167</v>
      </c>
      <c r="D667" t="s">
        <v>88</v>
      </c>
      <c r="E667" t="s">
        <v>2317</v>
      </c>
      <c r="F667" t="s">
        <v>2318</v>
      </c>
      <c r="G667" t="s">
        <v>91</v>
      </c>
      <c r="H667" t="s">
        <v>26</v>
      </c>
      <c r="I667" t="s">
        <v>575</v>
      </c>
      <c r="J667" t="s">
        <v>44</v>
      </c>
      <c r="K667" t="s">
        <v>29</v>
      </c>
      <c r="L667" t="s">
        <v>2319</v>
      </c>
      <c r="M667" t="s">
        <v>31</v>
      </c>
      <c r="N667" t="s">
        <v>57</v>
      </c>
      <c r="O667" t="s">
        <v>2320</v>
      </c>
      <c r="P667">
        <v>48.671999999999997</v>
      </c>
      <c r="Q667">
        <v>3</v>
      </c>
      <c r="R667">
        <v>0.2</v>
      </c>
      <c r="S667">
        <v>7.3007999999999997</v>
      </c>
      <c r="T667" t="s">
        <v>124</v>
      </c>
      <c r="U667" t="s">
        <v>60</v>
      </c>
    </row>
    <row r="668" spans="1:21" x14ac:dyDescent="0.25">
      <c r="A668" t="s">
        <v>2321</v>
      </c>
      <c r="B668" s="1">
        <v>41989</v>
      </c>
      <c r="C668" s="1">
        <v>41990</v>
      </c>
      <c r="D668" t="s">
        <v>88</v>
      </c>
      <c r="E668" t="s">
        <v>2322</v>
      </c>
      <c r="F668" t="s">
        <v>2323</v>
      </c>
      <c r="G668" t="s">
        <v>101</v>
      </c>
      <c r="H668" t="s">
        <v>26</v>
      </c>
      <c r="I668" t="s">
        <v>53</v>
      </c>
      <c r="J668" t="s">
        <v>54</v>
      </c>
      <c r="K668" t="s">
        <v>55</v>
      </c>
      <c r="L668" t="s">
        <v>831</v>
      </c>
      <c r="M668" t="s">
        <v>31</v>
      </c>
      <c r="N668" t="s">
        <v>57</v>
      </c>
      <c r="O668" t="s">
        <v>832</v>
      </c>
      <c r="P668">
        <v>44.46</v>
      </c>
      <c r="Q668">
        <v>2</v>
      </c>
      <c r="R668">
        <v>0</v>
      </c>
      <c r="S668">
        <v>14.671799999999999</v>
      </c>
      <c r="T668" t="s">
        <v>124</v>
      </c>
      <c r="U668" t="s">
        <v>97</v>
      </c>
    </row>
    <row r="669" spans="1:21" x14ac:dyDescent="0.25">
      <c r="A669" t="s">
        <v>2321</v>
      </c>
      <c r="B669" s="1">
        <v>41989</v>
      </c>
      <c r="C669" s="1">
        <v>41990</v>
      </c>
      <c r="D669" t="s">
        <v>88</v>
      </c>
      <c r="E669" t="s">
        <v>2322</v>
      </c>
      <c r="F669" t="s">
        <v>2323</v>
      </c>
      <c r="G669" t="s">
        <v>101</v>
      </c>
      <c r="H669" t="s">
        <v>26</v>
      </c>
      <c r="I669" t="s">
        <v>53</v>
      </c>
      <c r="J669" t="s">
        <v>54</v>
      </c>
      <c r="K669" t="s">
        <v>55</v>
      </c>
      <c r="L669" t="s">
        <v>395</v>
      </c>
      <c r="M669" t="s">
        <v>31</v>
      </c>
      <c r="N669" t="s">
        <v>37</v>
      </c>
      <c r="O669" t="s">
        <v>396</v>
      </c>
      <c r="P669">
        <v>241.56800000000001</v>
      </c>
      <c r="Q669">
        <v>2</v>
      </c>
      <c r="R669">
        <v>0.2</v>
      </c>
      <c r="S669">
        <v>18.117599999999999</v>
      </c>
      <c r="T669" t="s">
        <v>124</v>
      </c>
      <c r="U669" t="s">
        <v>97</v>
      </c>
    </row>
    <row r="670" spans="1:21" x14ac:dyDescent="0.25">
      <c r="A670" t="s">
        <v>2324</v>
      </c>
      <c r="B670" s="1">
        <v>41875</v>
      </c>
      <c r="C670" s="1">
        <v>41877</v>
      </c>
      <c r="D670" t="s">
        <v>88</v>
      </c>
      <c r="E670" t="s">
        <v>2325</v>
      </c>
      <c r="F670" t="s">
        <v>2326</v>
      </c>
      <c r="G670" t="s">
        <v>91</v>
      </c>
      <c r="H670" t="s">
        <v>26</v>
      </c>
      <c r="I670" t="s">
        <v>762</v>
      </c>
      <c r="J670" t="s">
        <v>121</v>
      </c>
      <c r="K670" t="s">
        <v>68</v>
      </c>
      <c r="L670" t="s">
        <v>2327</v>
      </c>
      <c r="M670" t="s">
        <v>31</v>
      </c>
      <c r="N670" t="s">
        <v>57</v>
      </c>
      <c r="O670" t="s">
        <v>2328</v>
      </c>
      <c r="P670">
        <v>13.28</v>
      </c>
      <c r="Q670">
        <v>2</v>
      </c>
      <c r="R670">
        <v>0</v>
      </c>
      <c r="S670">
        <v>6.3743999999999996</v>
      </c>
      <c r="T670" t="s">
        <v>71</v>
      </c>
      <c r="U670" t="s">
        <v>254</v>
      </c>
    </row>
    <row r="671" spans="1:21" x14ac:dyDescent="0.25">
      <c r="A671" t="s">
        <v>2329</v>
      </c>
      <c r="B671" s="1">
        <v>43051</v>
      </c>
      <c r="C671" s="1">
        <v>43057</v>
      </c>
      <c r="D671" t="s">
        <v>40</v>
      </c>
      <c r="E671" t="s">
        <v>216</v>
      </c>
      <c r="F671" t="s">
        <v>217</v>
      </c>
      <c r="G671" t="s">
        <v>101</v>
      </c>
      <c r="H671" t="s">
        <v>26</v>
      </c>
      <c r="I671" t="s">
        <v>1740</v>
      </c>
      <c r="J671" t="s">
        <v>93</v>
      </c>
      <c r="K671" t="s">
        <v>94</v>
      </c>
      <c r="L671" t="s">
        <v>384</v>
      </c>
      <c r="M671" t="s">
        <v>31</v>
      </c>
      <c r="N671" t="s">
        <v>57</v>
      </c>
      <c r="O671" t="s">
        <v>385</v>
      </c>
      <c r="P671">
        <v>22.847999999999999</v>
      </c>
      <c r="Q671">
        <v>3</v>
      </c>
      <c r="R671">
        <v>0.6</v>
      </c>
      <c r="S671">
        <v>-17.7072</v>
      </c>
      <c r="T671" t="s">
        <v>130</v>
      </c>
      <c r="U671" t="s">
        <v>35</v>
      </c>
    </row>
    <row r="672" spans="1:21" x14ac:dyDescent="0.25">
      <c r="A672" t="s">
        <v>2330</v>
      </c>
      <c r="B672" s="1">
        <v>42618</v>
      </c>
      <c r="C672" s="1">
        <v>42624</v>
      </c>
      <c r="D672" t="s">
        <v>40</v>
      </c>
      <c r="E672" t="s">
        <v>681</v>
      </c>
      <c r="F672" t="s">
        <v>682</v>
      </c>
      <c r="G672" t="s">
        <v>91</v>
      </c>
      <c r="H672" t="s">
        <v>26</v>
      </c>
      <c r="I672" t="s">
        <v>2331</v>
      </c>
      <c r="J672" t="s">
        <v>93</v>
      </c>
      <c r="K672" t="s">
        <v>94</v>
      </c>
      <c r="L672" t="s">
        <v>591</v>
      </c>
      <c r="M672" t="s">
        <v>31</v>
      </c>
      <c r="N672" t="s">
        <v>37</v>
      </c>
      <c r="O672" t="s">
        <v>592</v>
      </c>
      <c r="P672">
        <v>347.80200000000002</v>
      </c>
      <c r="Q672">
        <v>7</v>
      </c>
      <c r="R672">
        <v>0.3</v>
      </c>
      <c r="S672">
        <v>-24.843</v>
      </c>
      <c r="T672" t="s">
        <v>130</v>
      </c>
      <c r="U672" t="s">
        <v>78</v>
      </c>
    </row>
    <row r="673" spans="1:21" x14ac:dyDescent="0.25">
      <c r="A673" t="s">
        <v>2332</v>
      </c>
      <c r="B673" s="1">
        <v>42777</v>
      </c>
      <c r="C673" s="1">
        <v>42779</v>
      </c>
      <c r="D673" t="s">
        <v>22</v>
      </c>
      <c r="E673" t="s">
        <v>2333</v>
      </c>
      <c r="F673" t="s">
        <v>2334</v>
      </c>
      <c r="G673" t="s">
        <v>91</v>
      </c>
      <c r="H673" t="s">
        <v>26</v>
      </c>
      <c r="I673" t="s">
        <v>192</v>
      </c>
      <c r="J673" t="s">
        <v>193</v>
      </c>
      <c r="K673" t="s">
        <v>55</v>
      </c>
      <c r="L673" t="s">
        <v>2335</v>
      </c>
      <c r="M673" t="s">
        <v>31</v>
      </c>
      <c r="N673" t="s">
        <v>37</v>
      </c>
      <c r="O673" t="s">
        <v>2336</v>
      </c>
      <c r="P673">
        <v>963.13599999999997</v>
      </c>
      <c r="Q673">
        <v>4</v>
      </c>
      <c r="R673">
        <v>0.2</v>
      </c>
      <c r="S673">
        <v>108.3528</v>
      </c>
      <c r="T673" t="s">
        <v>71</v>
      </c>
      <c r="U673" t="s">
        <v>298</v>
      </c>
    </row>
    <row r="674" spans="1:21" x14ac:dyDescent="0.25">
      <c r="A674" t="s">
        <v>2337</v>
      </c>
      <c r="B674" s="1">
        <v>42353</v>
      </c>
      <c r="C674" s="1">
        <v>42356</v>
      </c>
      <c r="D674" t="s">
        <v>88</v>
      </c>
      <c r="E674" t="s">
        <v>476</v>
      </c>
      <c r="F674" t="s">
        <v>477</v>
      </c>
      <c r="G674" t="s">
        <v>25</v>
      </c>
      <c r="H674" t="s">
        <v>26</v>
      </c>
      <c r="I674" t="s">
        <v>231</v>
      </c>
      <c r="J674" t="s">
        <v>232</v>
      </c>
      <c r="K674" t="s">
        <v>68</v>
      </c>
      <c r="L674" t="s">
        <v>355</v>
      </c>
      <c r="M674" t="s">
        <v>31</v>
      </c>
      <c r="N674" t="s">
        <v>57</v>
      </c>
      <c r="O674" t="s">
        <v>356</v>
      </c>
      <c r="P674">
        <v>262.86399999999998</v>
      </c>
      <c r="Q674">
        <v>7</v>
      </c>
      <c r="R674">
        <v>0.2</v>
      </c>
      <c r="S674">
        <v>69.001800000000003</v>
      </c>
      <c r="T674" t="s">
        <v>34</v>
      </c>
      <c r="U674" t="s">
        <v>97</v>
      </c>
    </row>
    <row r="675" spans="1:21" x14ac:dyDescent="0.25">
      <c r="A675" t="s">
        <v>2338</v>
      </c>
      <c r="B675" s="1">
        <v>42240</v>
      </c>
      <c r="C675" s="1">
        <v>42244</v>
      </c>
      <c r="D675" t="s">
        <v>40</v>
      </c>
      <c r="E675" t="s">
        <v>1944</v>
      </c>
      <c r="F675" t="s">
        <v>1945</v>
      </c>
      <c r="G675" t="s">
        <v>91</v>
      </c>
      <c r="H675" t="s">
        <v>26</v>
      </c>
      <c r="I675" t="s">
        <v>174</v>
      </c>
      <c r="J675" t="s">
        <v>121</v>
      </c>
      <c r="K675" t="s">
        <v>68</v>
      </c>
      <c r="L675" t="s">
        <v>61</v>
      </c>
      <c r="M675" t="s">
        <v>31</v>
      </c>
      <c r="N675" t="s">
        <v>46</v>
      </c>
      <c r="O675" t="s">
        <v>62</v>
      </c>
      <c r="P675">
        <v>284.36399999999998</v>
      </c>
      <c r="Q675">
        <v>2</v>
      </c>
      <c r="R675">
        <v>0.4</v>
      </c>
      <c r="S675">
        <v>-75.830399999999997</v>
      </c>
      <c r="T675" t="s">
        <v>84</v>
      </c>
      <c r="U675" t="s">
        <v>254</v>
      </c>
    </row>
    <row r="676" spans="1:21" x14ac:dyDescent="0.25">
      <c r="A676" t="s">
        <v>2339</v>
      </c>
      <c r="B676" s="1">
        <v>42672</v>
      </c>
      <c r="C676" s="1">
        <v>42674</v>
      </c>
      <c r="D676" t="s">
        <v>88</v>
      </c>
      <c r="E676" t="s">
        <v>419</v>
      </c>
      <c r="F676" t="s">
        <v>420</v>
      </c>
      <c r="G676" t="s">
        <v>25</v>
      </c>
      <c r="H676" t="s">
        <v>26</v>
      </c>
      <c r="I676" t="s">
        <v>1708</v>
      </c>
      <c r="J676" t="s">
        <v>290</v>
      </c>
      <c r="K676" t="s">
        <v>94</v>
      </c>
      <c r="L676" t="s">
        <v>374</v>
      </c>
      <c r="M676" t="s">
        <v>31</v>
      </c>
      <c r="N676" t="s">
        <v>57</v>
      </c>
      <c r="O676" t="s">
        <v>375</v>
      </c>
      <c r="P676">
        <v>67</v>
      </c>
      <c r="Q676">
        <v>5</v>
      </c>
      <c r="R676">
        <v>0</v>
      </c>
      <c r="S676">
        <v>32.159999999999997</v>
      </c>
      <c r="T676" t="s">
        <v>71</v>
      </c>
      <c r="U676" t="s">
        <v>49</v>
      </c>
    </row>
    <row r="677" spans="1:21" x14ac:dyDescent="0.25">
      <c r="A677" t="s">
        <v>2340</v>
      </c>
      <c r="B677" s="1">
        <v>42518</v>
      </c>
      <c r="C677" s="1">
        <v>42524</v>
      </c>
      <c r="D677" t="s">
        <v>40</v>
      </c>
      <c r="E677" t="s">
        <v>462</v>
      </c>
      <c r="F677" t="s">
        <v>463</v>
      </c>
      <c r="G677" t="s">
        <v>91</v>
      </c>
      <c r="H677" t="s">
        <v>26</v>
      </c>
      <c r="I677" t="s">
        <v>2341</v>
      </c>
      <c r="J677" t="s">
        <v>44</v>
      </c>
      <c r="K677" t="s">
        <v>29</v>
      </c>
      <c r="L677" t="s">
        <v>1657</v>
      </c>
      <c r="M677" t="s">
        <v>31</v>
      </c>
      <c r="N677" t="s">
        <v>37</v>
      </c>
      <c r="O677" t="s">
        <v>1658</v>
      </c>
      <c r="P677">
        <v>390.27199999999999</v>
      </c>
      <c r="Q677">
        <v>8</v>
      </c>
      <c r="R677">
        <v>0.2</v>
      </c>
      <c r="S677">
        <v>-24.391999999999999</v>
      </c>
      <c r="T677" t="s">
        <v>130</v>
      </c>
      <c r="U677" t="s">
        <v>162</v>
      </c>
    </row>
    <row r="678" spans="1:21" x14ac:dyDescent="0.25">
      <c r="A678" t="s">
        <v>2342</v>
      </c>
      <c r="B678" s="1">
        <v>42450</v>
      </c>
      <c r="C678" s="1">
        <v>42457</v>
      </c>
      <c r="D678" t="s">
        <v>40</v>
      </c>
      <c r="E678" t="s">
        <v>1216</v>
      </c>
      <c r="F678" t="s">
        <v>1217</v>
      </c>
      <c r="G678" t="s">
        <v>25</v>
      </c>
      <c r="H678" t="s">
        <v>26</v>
      </c>
      <c r="I678" t="s">
        <v>134</v>
      </c>
      <c r="J678" t="s">
        <v>135</v>
      </c>
      <c r="K678" t="s">
        <v>94</v>
      </c>
      <c r="L678" t="s">
        <v>856</v>
      </c>
      <c r="M678" t="s">
        <v>31</v>
      </c>
      <c r="N678" t="s">
        <v>37</v>
      </c>
      <c r="O678" t="s">
        <v>857</v>
      </c>
      <c r="P678">
        <v>528.42999999999995</v>
      </c>
      <c r="Q678">
        <v>5</v>
      </c>
      <c r="R678">
        <v>0.3</v>
      </c>
      <c r="S678">
        <v>0</v>
      </c>
      <c r="T678" t="s">
        <v>48</v>
      </c>
      <c r="U678" t="s">
        <v>196</v>
      </c>
    </row>
    <row r="679" spans="1:21" x14ac:dyDescent="0.25">
      <c r="A679" t="s">
        <v>2343</v>
      </c>
      <c r="B679" s="1">
        <v>43001</v>
      </c>
      <c r="C679" s="1">
        <v>43007</v>
      </c>
      <c r="D679" t="s">
        <v>40</v>
      </c>
      <c r="E679" t="s">
        <v>1066</v>
      </c>
      <c r="F679" t="s">
        <v>1067</v>
      </c>
      <c r="G679" t="s">
        <v>25</v>
      </c>
      <c r="H679" t="s">
        <v>26</v>
      </c>
      <c r="I679" t="s">
        <v>2344</v>
      </c>
      <c r="J679" t="s">
        <v>181</v>
      </c>
      <c r="K679" t="s">
        <v>55</v>
      </c>
      <c r="L679" t="s">
        <v>1000</v>
      </c>
      <c r="M679" t="s">
        <v>31</v>
      </c>
      <c r="N679" t="s">
        <v>32</v>
      </c>
      <c r="O679" t="s">
        <v>1001</v>
      </c>
      <c r="P679">
        <v>180.58799999999999</v>
      </c>
      <c r="Q679">
        <v>2</v>
      </c>
      <c r="R679">
        <v>0.7</v>
      </c>
      <c r="S679">
        <v>-240.78399999999999</v>
      </c>
      <c r="T679" t="s">
        <v>130</v>
      </c>
      <c r="U679" t="s">
        <v>78</v>
      </c>
    </row>
    <row r="680" spans="1:21" x14ac:dyDescent="0.25">
      <c r="A680" t="s">
        <v>2345</v>
      </c>
      <c r="B680" s="1">
        <v>43074</v>
      </c>
      <c r="C680" s="1">
        <v>43080</v>
      </c>
      <c r="D680" t="s">
        <v>40</v>
      </c>
      <c r="E680" t="s">
        <v>2346</v>
      </c>
      <c r="F680" t="s">
        <v>2347</v>
      </c>
      <c r="G680" t="s">
        <v>91</v>
      </c>
      <c r="H680" t="s">
        <v>26</v>
      </c>
      <c r="I680" t="s">
        <v>174</v>
      </c>
      <c r="J680" t="s">
        <v>121</v>
      </c>
      <c r="K680" t="s">
        <v>68</v>
      </c>
      <c r="L680" t="s">
        <v>56</v>
      </c>
      <c r="M680" t="s">
        <v>31</v>
      </c>
      <c r="N680" t="s">
        <v>57</v>
      </c>
      <c r="O680" t="s">
        <v>58</v>
      </c>
      <c r="P680">
        <v>20.94</v>
      </c>
      <c r="Q680">
        <v>3</v>
      </c>
      <c r="R680">
        <v>0</v>
      </c>
      <c r="S680">
        <v>6.0726000000000004</v>
      </c>
      <c r="T680" t="s">
        <v>130</v>
      </c>
      <c r="U680" t="s">
        <v>97</v>
      </c>
    </row>
    <row r="681" spans="1:21" x14ac:dyDescent="0.25">
      <c r="A681" t="s">
        <v>2345</v>
      </c>
      <c r="B681" s="1">
        <v>43074</v>
      </c>
      <c r="C681" s="1">
        <v>43080</v>
      </c>
      <c r="D681" t="s">
        <v>40</v>
      </c>
      <c r="E681" t="s">
        <v>2346</v>
      </c>
      <c r="F681" t="s">
        <v>2347</v>
      </c>
      <c r="G681" t="s">
        <v>91</v>
      </c>
      <c r="H681" t="s">
        <v>26</v>
      </c>
      <c r="I681" t="s">
        <v>174</v>
      </c>
      <c r="J681" t="s">
        <v>121</v>
      </c>
      <c r="K681" t="s">
        <v>68</v>
      </c>
      <c r="L681" t="s">
        <v>233</v>
      </c>
      <c r="M681" t="s">
        <v>31</v>
      </c>
      <c r="N681" t="s">
        <v>57</v>
      </c>
      <c r="O681" t="s">
        <v>234</v>
      </c>
      <c r="P681">
        <v>58.68</v>
      </c>
      <c r="Q681">
        <v>2</v>
      </c>
      <c r="R681">
        <v>0</v>
      </c>
      <c r="S681">
        <v>18.190799999999999</v>
      </c>
      <c r="T681" t="s">
        <v>130</v>
      </c>
      <c r="U681" t="s">
        <v>97</v>
      </c>
    </row>
    <row r="682" spans="1:21" x14ac:dyDescent="0.25">
      <c r="A682" t="s">
        <v>2348</v>
      </c>
      <c r="B682" s="1">
        <v>41777</v>
      </c>
      <c r="C682" s="1">
        <v>41779</v>
      </c>
      <c r="D682" t="s">
        <v>22</v>
      </c>
      <c r="E682" t="s">
        <v>2349</v>
      </c>
      <c r="F682" t="s">
        <v>2350</v>
      </c>
      <c r="G682" t="s">
        <v>25</v>
      </c>
      <c r="H682" t="s">
        <v>26</v>
      </c>
      <c r="I682" t="s">
        <v>506</v>
      </c>
      <c r="J682" t="s">
        <v>232</v>
      </c>
      <c r="K682" t="s">
        <v>68</v>
      </c>
      <c r="L682" t="s">
        <v>1797</v>
      </c>
      <c r="M682" t="s">
        <v>31</v>
      </c>
      <c r="N682" t="s">
        <v>57</v>
      </c>
      <c r="O682" t="s">
        <v>1798</v>
      </c>
      <c r="P682">
        <v>149.232</v>
      </c>
      <c r="Q682">
        <v>3</v>
      </c>
      <c r="R682">
        <v>0.2</v>
      </c>
      <c r="S682">
        <v>3.7307999999999999</v>
      </c>
      <c r="T682" t="s">
        <v>71</v>
      </c>
      <c r="U682" t="s">
        <v>162</v>
      </c>
    </row>
    <row r="683" spans="1:21" x14ac:dyDescent="0.25">
      <c r="A683" t="s">
        <v>2351</v>
      </c>
      <c r="B683" s="1">
        <v>41953</v>
      </c>
      <c r="C683" s="1">
        <v>41959</v>
      </c>
      <c r="D683" t="s">
        <v>40</v>
      </c>
      <c r="E683" t="s">
        <v>2352</v>
      </c>
      <c r="F683" t="s">
        <v>2353</v>
      </c>
      <c r="G683" t="s">
        <v>25</v>
      </c>
      <c r="H683" t="s">
        <v>26</v>
      </c>
      <c r="I683" t="s">
        <v>640</v>
      </c>
      <c r="J683" t="s">
        <v>54</v>
      </c>
      <c r="K683" t="s">
        <v>55</v>
      </c>
      <c r="L683" t="s">
        <v>128</v>
      </c>
      <c r="M683" t="s">
        <v>31</v>
      </c>
      <c r="N683" t="s">
        <v>57</v>
      </c>
      <c r="O683" t="s">
        <v>129</v>
      </c>
      <c r="P683">
        <v>39.880000000000003</v>
      </c>
      <c r="Q683">
        <v>2</v>
      </c>
      <c r="R683">
        <v>0</v>
      </c>
      <c r="S683">
        <v>11.166399999999999</v>
      </c>
      <c r="T683" t="s">
        <v>130</v>
      </c>
      <c r="U683" t="s">
        <v>35</v>
      </c>
    </row>
    <row r="684" spans="1:21" x14ac:dyDescent="0.25">
      <c r="A684" t="s">
        <v>2351</v>
      </c>
      <c r="B684" s="1">
        <v>41953</v>
      </c>
      <c r="C684" s="1">
        <v>41959</v>
      </c>
      <c r="D684" t="s">
        <v>40</v>
      </c>
      <c r="E684" t="s">
        <v>2352</v>
      </c>
      <c r="F684" t="s">
        <v>2353</v>
      </c>
      <c r="G684" t="s">
        <v>25</v>
      </c>
      <c r="H684" t="s">
        <v>26</v>
      </c>
      <c r="I684" t="s">
        <v>640</v>
      </c>
      <c r="J684" t="s">
        <v>54</v>
      </c>
      <c r="K684" t="s">
        <v>55</v>
      </c>
      <c r="L684" t="s">
        <v>1114</v>
      </c>
      <c r="M684" t="s">
        <v>31</v>
      </c>
      <c r="N684" t="s">
        <v>57</v>
      </c>
      <c r="O684" t="s">
        <v>1115</v>
      </c>
      <c r="P684">
        <v>53.2</v>
      </c>
      <c r="Q684">
        <v>5</v>
      </c>
      <c r="R684">
        <v>0</v>
      </c>
      <c r="S684">
        <v>14.896000000000001</v>
      </c>
      <c r="T684" t="s">
        <v>130</v>
      </c>
      <c r="U684" t="s">
        <v>35</v>
      </c>
    </row>
    <row r="685" spans="1:21" x14ac:dyDescent="0.25">
      <c r="A685" t="s">
        <v>2354</v>
      </c>
      <c r="B685" s="1">
        <v>42979</v>
      </c>
      <c r="C685" s="1">
        <v>42983</v>
      </c>
      <c r="D685" t="s">
        <v>22</v>
      </c>
      <c r="E685" t="s">
        <v>1450</v>
      </c>
      <c r="F685" t="s">
        <v>1451</v>
      </c>
      <c r="G685" t="s">
        <v>25</v>
      </c>
      <c r="H685" t="s">
        <v>26</v>
      </c>
      <c r="I685" t="s">
        <v>174</v>
      </c>
      <c r="J685" t="s">
        <v>121</v>
      </c>
      <c r="K685" t="s">
        <v>68</v>
      </c>
      <c r="L685" t="s">
        <v>1193</v>
      </c>
      <c r="M685" t="s">
        <v>31</v>
      </c>
      <c r="N685" t="s">
        <v>57</v>
      </c>
      <c r="O685" t="s">
        <v>1194</v>
      </c>
      <c r="P685">
        <v>114.9</v>
      </c>
      <c r="Q685">
        <v>5</v>
      </c>
      <c r="R685">
        <v>0</v>
      </c>
      <c r="S685">
        <v>39.066000000000003</v>
      </c>
      <c r="T685" t="s">
        <v>84</v>
      </c>
      <c r="U685" t="s">
        <v>78</v>
      </c>
    </row>
    <row r="686" spans="1:21" x14ac:dyDescent="0.25">
      <c r="A686" t="s">
        <v>2355</v>
      </c>
      <c r="B686" s="1">
        <v>42384</v>
      </c>
      <c r="C686" s="1">
        <v>42384</v>
      </c>
      <c r="D686" t="s">
        <v>426</v>
      </c>
      <c r="E686" t="s">
        <v>1184</v>
      </c>
      <c r="F686" t="s">
        <v>1185</v>
      </c>
      <c r="G686" t="s">
        <v>25</v>
      </c>
      <c r="H686" t="s">
        <v>26</v>
      </c>
      <c r="I686" t="s">
        <v>1581</v>
      </c>
      <c r="J686" t="s">
        <v>430</v>
      </c>
      <c r="K686" t="s">
        <v>68</v>
      </c>
      <c r="L686" t="s">
        <v>343</v>
      </c>
      <c r="M686" t="s">
        <v>31</v>
      </c>
      <c r="N686" t="s">
        <v>46</v>
      </c>
      <c r="O686" t="s">
        <v>344</v>
      </c>
      <c r="P686">
        <v>181.797</v>
      </c>
      <c r="Q686">
        <v>1</v>
      </c>
      <c r="R686">
        <v>0.3</v>
      </c>
      <c r="S686">
        <v>-15.582599999999999</v>
      </c>
      <c r="T686" t="s">
        <v>431</v>
      </c>
      <c r="U686" t="s">
        <v>170</v>
      </c>
    </row>
    <row r="687" spans="1:21" x14ac:dyDescent="0.25">
      <c r="A687" t="s">
        <v>2356</v>
      </c>
      <c r="B687" s="1">
        <v>42694</v>
      </c>
      <c r="C687" s="1">
        <v>42701</v>
      </c>
      <c r="D687" t="s">
        <v>40</v>
      </c>
      <c r="E687" t="s">
        <v>2357</v>
      </c>
      <c r="F687" t="s">
        <v>2358</v>
      </c>
      <c r="G687" t="s">
        <v>91</v>
      </c>
      <c r="H687" t="s">
        <v>26</v>
      </c>
      <c r="I687" t="s">
        <v>102</v>
      </c>
      <c r="J687" t="s">
        <v>93</v>
      </c>
      <c r="K687" t="s">
        <v>94</v>
      </c>
      <c r="L687" t="s">
        <v>1618</v>
      </c>
      <c r="M687" t="s">
        <v>31</v>
      </c>
      <c r="N687" t="s">
        <v>37</v>
      </c>
      <c r="O687" t="s">
        <v>1619</v>
      </c>
      <c r="P687">
        <v>318.43</v>
      </c>
      <c r="Q687">
        <v>5</v>
      </c>
      <c r="R687">
        <v>0.3</v>
      </c>
      <c r="S687">
        <v>-77.332999999999998</v>
      </c>
      <c r="T687" t="s">
        <v>48</v>
      </c>
      <c r="U687" t="s">
        <v>35</v>
      </c>
    </row>
    <row r="688" spans="1:21" x14ac:dyDescent="0.25">
      <c r="A688" t="s">
        <v>2356</v>
      </c>
      <c r="B688" s="1">
        <v>42694</v>
      </c>
      <c r="C688" s="1">
        <v>42701</v>
      </c>
      <c r="D688" t="s">
        <v>40</v>
      </c>
      <c r="E688" t="s">
        <v>2357</v>
      </c>
      <c r="F688" t="s">
        <v>2358</v>
      </c>
      <c r="G688" t="s">
        <v>91</v>
      </c>
      <c r="H688" t="s">
        <v>26</v>
      </c>
      <c r="I688" t="s">
        <v>102</v>
      </c>
      <c r="J688" t="s">
        <v>93</v>
      </c>
      <c r="K688" t="s">
        <v>94</v>
      </c>
      <c r="L688" t="s">
        <v>423</v>
      </c>
      <c r="M688" t="s">
        <v>31</v>
      </c>
      <c r="N688" t="s">
        <v>57</v>
      </c>
      <c r="O688" t="s">
        <v>424</v>
      </c>
      <c r="P688">
        <v>7.0679999999999996</v>
      </c>
      <c r="Q688">
        <v>3</v>
      </c>
      <c r="R688">
        <v>0.6</v>
      </c>
      <c r="S688">
        <v>-2.8271999999999999</v>
      </c>
      <c r="T688" t="s">
        <v>48</v>
      </c>
      <c r="U688" t="s">
        <v>35</v>
      </c>
    </row>
    <row r="689" spans="1:21" x14ac:dyDescent="0.25">
      <c r="A689" t="s">
        <v>2359</v>
      </c>
      <c r="B689" s="1">
        <v>43070</v>
      </c>
      <c r="C689" s="1">
        <v>43074</v>
      </c>
      <c r="D689" t="s">
        <v>40</v>
      </c>
      <c r="E689" t="s">
        <v>2360</v>
      </c>
      <c r="F689" t="s">
        <v>2361</v>
      </c>
      <c r="G689" t="s">
        <v>25</v>
      </c>
      <c r="H689" t="s">
        <v>26</v>
      </c>
      <c r="I689" t="s">
        <v>1718</v>
      </c>
      <c r="J689" t="s">
        <v>93</v>
      </c>
      <c r="K689" t="s">
        <v>94</v>
      </c>
      <c r="L689" t="s">
        <v>395</v>
      </c>
      <c r="M689" t="s">
        <v>31</v>
      </c>
      <c r="N689" t="s">
        <v>37</v>
      </c>
      <c r="O689" t="s">
        <v>396</v>
      </c>
      <c r="P689">
        <v>317.05799999999999</v>
      </c>
      <c r="Q689">
        <v>3</v>
      </c>
      <c r="R689">
        <v>0.3</v>
      </c>
      <c r="S689">
        <v>-18.117599999999999</v>
      </c>
      <c r="T689" t="s">
        <v>84</v>
      </c>
      <c r="U689" t="s">
        <v>97</v>
      </c>
    </row>
    <row r="690" spans="1:21" x14ac:dyDescent="0.25">
      <c r="A690" t="s">
        <v>2362</v>
      </c>
      <c r="B690" s="1">
        <v>42630</v>
      </c>
      <c r="C690" s="1">
        <v>42634</v>
      </c>
      <c r="D690" t="s">
        <v>40</v>
      </c>
      <c r="E690" t="s">
        <v>1783</v>
      </c>
      <c r="F690" t="s">
        <v>1784</v>
      </c>
      <c r="G690" t="s">
        <v>101</v>
      </c>
      <c r="H690" t="s">
        <v>26</v>
      </c>
      <c r="I690" t="s">
        <v>192</v>
      </c>
      <c r="J690" t="s">
        <v>193</v>
      </c>
      <c r="K690" t="s">
        <v>55</v>
      </c>
      <c r="L690" t="s">
        <v>2195</v>
      </c>
      <c r="M690" t="s">
        <v>31</v>
      </c>
      <c r="N690" t="s">
        <v>37</v>
      </c>
      <c r="O690" t="s">
        <v>2196</v>
      </c>
      <c r="P690">
        <v>113.88800000000001</v>
      </c>
      <c r="Q690">
        <v>2</v>
      </c>
      <c r="R690">
        <v>0.2</v>
      </c>
      <c r="S690">
        <v>9.9651999999999994</v>
      </c>
      <c r="T690" t="s">
        <v>84</v>
      </c>
      <c r="U690" t="s">
        <v>78</v>
      </c>
    </row>
    <row r="691" spans="1:21" x14ac:dyDescent="0.25">
      <c r="A691" t="s">
        <v>2363</v>
      </c>
      <c r="B691" s="1">
        <v>42842</v>
      </c>
      <c r="C691" s="1">
        <v>42844</v>
      </c>
      <c r="D691" t="s">
        <v>88</v>
      </c>
      <c r="E691" t="s">
        <v>2364</v>
      </c>
      <c r="F691" t="s">
        <v>2365</v>
      </c>
      <c r="G691" t="s">
        <v>25</v>
      </c>
      <c r="H691" t="s">
        <v>26</v>
      </c>
      <c r="I691" t="s">
        <v>66</v>
      </c>
      <c r="J691" t="s">
        <v>67</v>
      </c>
      <c r="K691" t="s">
        <v>68</v>
      </c>
      <c r="L691" t="s">
        <v>1291</v>
      </c>
      <c r="M691" t="s">
        <v>31</v>
      </c>
      <c r="N691" t="s">
        <v>57</v>
      </c>
      <c r="O691" t="s">
        <v>1759</v>
      </c>
      <c r="P691">
        <v>60.311999999999998</v>
      </c>
      <c r="Q691">
        <v>3</v>
      </c>
      <c r="R691">
        <v>0.2</v>
      </c>
      <c r="S691">
        <v>5.2773000000000003</v>
      </c>
      <c r="T691" t="s">
        <v>71</v>
      </c>
      <c r="U691" t="s">
        <v>114</v>
      </c>
    </row>
    <row r="692" spans="1:21" x14ac:dyDescent="0.25">
      <c r="A692" t="s">
        <v>2366</v>
      </c>
      <c r="B692" s="1">
        <v>42713</v>
      </c>
      <c r="C692" s="1">
        <v>42718</v>
      </c>
      <c r="D692" t="s">
        <v>22</v>
      </c>
      <c r="E692" t="s">
        <v>1305</v>
      </c>
      <c r="F692" t="s">
        <v>1306</v>
      </c>
      <c r="G692" t="s">
        <v>91</v>
      </c>
      <c r="H692" t="s">
        <v>26</v>
      </c>
      <c r="I692" t="s">
        <v>238</v>
      </c>
      <c r="J692" t="s">
        <v>142</v>
      </c>
      <c r="K692" t="s">
        <v>29</v>
      </c>
      <c r="L692" t="s">
        <v>1250</v>
      </c>
      <c r="M692" t="s">
        <v>31</v>
      </c>
      <c r="N692" t="s">
        <v>46</v>
      </c>
      <c r="O692" t="s">
        <v>1251</v>
      </c>
      <c r="P692">
        <v>79.974000000000004</v>
      </c>
      <c r="Q692">
        <v>3</v>
      </c>
      <c r="R692">
        <v>0.4</v>
      </c>
      <c r="S692">
        <v>-29.323799999999999</v>
      </c>
      <c r="T692" t="s">
        <v>59</v>
      </c>
      <c r="U692" t="s">
        <v>97</v>
      </c>
    </row>
    <row r="693" spans="1:21" x14ac:dyDescent="0.25">
      <c r="A693" t="s">
        <v>2367</v>
      </c>
      <c r="B693" s="1">
        <v>42044</v>
      </c>
      <c r="C693" s="1">
        <v>42051</v>
      </c>
      <c r="D693" t="s">
        <v>40</v>
      </c>
      <c r="E693" t="s">
        <v>2360</v>
      </c>
      <c r="F693" t="s">
        <v>2361</v>
      </c>
      <c r="G693" t="s">
        <v>25</v>
      </c>
      <c r="H693" t="s">
        <v>26</v>
      </c>
      <c r="I693" t="s">
        <v>53</v>
      </c>
      <c r="J693" t="s">
        <v>54</v>
      </c>
      <c r="K693" t="s">
        <v>55</v>
      </c>
      <c r="L693" t="s">
        <v>69</v>
      </c>
      <c r="M693" t="s">
        <v>31</v>
      </c>
      <c r="N693" t="s">
        <v>37</v>
      </c>
      <c r="O693" t="s">
        <v>70</v>
      </c>
      <c r="P693">
        <v>203.92</v>
      </c>
      <c r="Q693">
        <v>5</v>
      </c>
      <c r="R693">
        <v>0.2</v>
      </c>
      <c r="S693">
        <v>22.940999999999999</v>
      </c>
      <c r="T693" t="s">
        <v>48</v>
      </c>
      <c r="U693" t="s">
        <v>298</v>
      </c>
    </row>
    <row r="694" spans="1:21" x14ac:dyDescent="0.25">
      <c r="A694" t="s">
        <v>2368</v>
      </c>
      <c r="B694" s="1">
        <v>41912</v>
      </c>
      <c r="C694" s="1">
        <v>41918</v>
      </c>
      <c r="D694" t="s">
        <v>40</v>
      </c>
      <c r="E694" t="s">
        <v>771</v>
      </c>
      <c r="F694" t="s">
        <v>772</v>
      </c>
      <c r="G694" t="s">
        <v>91</v>
      </c>
      <c r="H694" t="s">
        <v>26</v>
      </c>
      <c r="I694" t="s">
        <v>174</v>
      </c>
      <c r="J694" t="s">
        <v>121</v>
      </c>
      <c r="K694" t="s">
        <v>68</v>
      </c>
      <c r="L694" t="s">
        <v>662</v>
      </c>
      <c r="M694" t="s">
        <v>31</v>
      </c>
      <c r="N694" t="s">
        <v>57</v>
      </c>
      <c r="O694" t="s">
        <v>663</v>
      </c>
      <c r="P694">
        <v>15.24</v>
      </c>
      <c r="Q694">
        <v>3</v>
      </c>
      <c r="R694">
        <v>0</v>
      </c>
      <c r="S694">
        <v>5.1816000000000004</v>
      </c>
      <c r="T694" t="s">
        <v>130</v>
      </c>
      <c r="U694" t="s">
        <v>78</v>
      </c>
    </row>
    <row r="695" spans="1:21" x14ac:dyDescent="0.25">
      <c r="A695" t="s">
        <v>2369</v>
      </c>
      <c r="B695" s="1">
        <v>41999</v>
      </c>
      <c r="C695" s="1">
        <v>42003</v>
      </c>
      <c r="D695" t="s">
        <v>40</v>
      </c>
      <c r="E695" t="s">
        <v>1655</v>
      </c>
      <c r="F695" t="s">
        <v>1656</v>
      </c>
      <c r="G695" t="s">
        <v>25</v>
      </c>
      <c r="H695" t="s">
        <v>26</v>
      </c>
      <c r="I695" t="s">
        <v>640</v>
      </c>
      <c r="J695" t="s">
        <v>54</v>
      </c>
      <c r="K695" t="s">
        <v>55</v>
      </c>
      <c r="L695" t="s">
        <v>1072</v>
      </c>
      <c r="M695" t="s">
        <v>31</v>
      </c>
      <c r="N695" t="s">
        <v>57</v>
      </c>
      <c r="O695" t="s">
        <v>1073</v>
      </c>
      <c r="P695">
        <v>3.48</v>
      </c>
      <c r="Q695">
        <v>2</v>
      </c>
      <c r="R695">
        <v>0</v>
      </c>
      <c r="S695">
        <v>1.1135999999999999</v>
      </c>
      <c r="T695" t="s">
        <v>84</v>
      </c>
      <c r="U695" t="s">
        <v>97</v>
      </c>
    </row>
    <row r="696" spans="1:21" x14ac:dyDescent="0.25">
      <c r="A696" t="s">
        <v>2370</v>
      </c>
      <c r="B696" s="1">
        <v>41961</v>
      </c>
      <c r="C696" s="1">
        <v>41965</v>
      </c>
      <c r="D696" t="s">
        <v>40</v>
      </c>
      <c r="E696" t="s">
        <v>629</v>
      </c>
      <c r="F696" t="s">
        <v>630</v>
      </c>
      <c r="G696" t="s">
        <v>25</v>
      </c>
      <c r="H696" t="s">
        <v>26</v>
      </c>
      <c r="I696" t="s">
        <v>66</v>
      </c>
      <c r="J696" t="s">
        <v>67</v>
      </c>
      <c r="K696" t="s">
        <v>68</v>
      </c>
      <c r="L696" t="s">
        <v>1291</v>
      </c>
      <c r="M696" t="s">
        <v>31</v>
      </c>
      <c r="N696" t="s">
        <v>57</v>
      </c>
      <c r="O696" t="s">
        <v>1759</v>
      </c>
      <c r="P696">
        <v>60.311999999999998</v>
      </c>
      <c r="Q696">
        <v>3</v>
      </c>
      <c r="R696">
        <v>0.2</v>
      </c>
      <c r="S696">
        <v>5.2773000000000003</v>
      </c>
      <c r="T696" t="s">
        <v>84</v>
      </c>
      <c r="U696" t="s">
        <v>35</v>
      </c>
    </row>
    <row r="697" spans="1:21" x14ac:dyDescent="0.25">
      <c r="A697" t="s">
        <v>2371</v>
      </c>
      <c r="B697" s="1">
        <v>42449</v>
      </c>
      <c r="C697" s="1">
        <v>42454</v>
      </c>
      <c r="D697" t="s">
        <v>22</v>
      </c>
      <c r="E697" t="s">
        <v>2372</v>
      </c>
      <c r="F697" t="s">
        <v>2373</v>
      </c>
      <c r="G697" t="s">
        <v>91</v>
      </c>
      <c r="H697" t="s">
        <v>26</v>
      </c>
      <c r="I697" t="s">
        <v>2374</v>
      </c>
      <c r="J697" t="s">
        <v>479</v>
      </c>
      <c r="K697" t="s">
        <v>29</v>
      </c>
      <c r="L697" t="s">
        <v>1129</v>
      </c>
      <c r="M697" t="s">
        <v>31</v>
      </c>
      <c r="N697" t="s">
        <v>57</v>
      </c>
      <c r="O697" t="s">
        <v>1130</v>
      </c>
      <c r="P697">
        <v>86.45</v>
      </c>
      <c r="Q697">
        <v>7</v>
      </c>
      <c r="R697">
        <v>0</v>
      </c>
      <c r="S697">
        <v>38.037999999999997</v>
      </c>
      <c r="T697" t="s">
        <v>59</v>
      </c>
      <c r="U697" t="s">
        <v>196</v>
      </c>
    </row>
    <row r="698" spans="1:21" x14ac:dyDescent="0.25">
      <c r="A698" t="s">
        <v>2375</v>
      </c>
      <c r="B698" s="1">
        <v>41909</v>
      </c>
      <c r="C698" s="1">
        <v>41913</v>
      </c>
      <c r="D698" t="s">
        <v>40</v>
      </c>
      <c r="E698" t="s">
        <v>2376</v>
      </c>
      <c r="F698" t="s">
        <v>2377</v>
      </c>
      <c r="G698" t="s">
        <v>25</v>
      </c>
      <c r="H698" t="s">
        <v>26</v>
      </c>
      <c r="I698" t="s">
        <v>640</v>
      </c>
      <c r="J698" t="s">
        <v>54</v>
      </c>
      <c r="K698" t="s">
        <v>55</v>
      </c>
      <c r="L698" t="s">
        <v>395</v>
      </c>
      <c r="M698" t="s">
        <v>31</v>
      </c>
      <c r="N698" t="s">
        <v>37</v>
      </c>
      <c r="O698" t="s">
        <v>396</v>
      </c>
      <c r="P698">
        <v>603.91999999999996</v>
      </c>
      <c r="Q698">
        <v>5</v>
      </c>
      <c r="R698">
        <v>0.2</v>
      </c>
      <c r="S698">
        <v>45.293999999999997</v>
      </c>
      <c r="T698" t="s">
        <v>84</v>
      </c>
      <c r="U698" t="s">
        <v>78</v>
      </c>
    </row>
    <row r="699" spans="1:21" x14ac:dyDescent="0.25">
      <c r="A699" t="s">
        <v>2378</v>
      </c>
      <c r="B699" s="1">
        <v>43093</v>
      </c>
      <c r="C699" s="1">
        <v>43097</v>
      </c>
      <c r="D699" t="s">
        <v>40</v>
      </c>
      <c r="E699" t="s">
        <v>2379</v>
      </c>
      <c r="F699" t="s">
        <v>2380</v>
      </c>
      <c r="G699" t="s">
        <v>25</v>
      </c>
      <c r="H699" t="s">
        <v>26</v>
      </c>
      <c r="I699" t="s">
        <v>762</v>
      </c>
      <c r="J699" t="s">
        <v>121</v>
      </c>
      <c r="K699" t="s">
        <v>68</v>
      </c>
      <c r="L699" t="s">
        <v>395</v>
      </c>
      <c r="M699" t="s">
        <v>31</v>
      </c>
      <c r="N699" t="s">
        <v>37</v>
      </c>
      <c r="O699" t="s">
        <v>396</v>
      </c>
      <c r="P699">
        <v>271.76400000000001</v>
      </c>
      <c r="Q699">
        <v>2</v>
      </c>
      <c r="R699">
        <v>0.1</v>
      </c>
      <c r="S699">
        <v>48.313600000000001</v>
      </c>
      <c r="T699" t="s">
        <v>84</v>
      </c>
      <c r="U699" t="s">
        <v>97</v>
      </c>
    </row>
    <row r="700" spans="1:21" x14ac:dyDescent="0.25">
      <c r="A700" t="s">
        <v>2381</v>
      </c>
      <c r="B700" s="1">
        <v>43049</v>
      </c>
      <c r="C700" s="1">
        <v>43054</v>
      </c>
      <c r="D700" t="s">
        <v>22</v>
      </c>
      <c r="E700" t="s">
        <v>2382</v>
      </c>
      <c r="F700" t="s">
        <v>2383</v>
      </c>
      <c r="G700" t="s">
        <v>91</v>
      </c>
      <c r="H700" t="s">
        <v>26</v>
      </c>
      <c r="I700" t="s">
        <v>932</v>
      </c>
      <c r="J700" t="s">
        <v>93</v>
      </c>
      <c r="K700" t="s">
        <v>94</v>
      </c>
      <c r="L700" t="s">
        <v>1832</v>
      </c>
      <c r="M700" t="s">
        <v>31</v>
      </c>
      <c r="N700" t="s">
        <v>57</v>
      </c>
      <c r="O700" t="s">
        <v>1833</v>
      </c>
      <c r="P700">
        <v>341.96</v>
      </c>
      <c r="Q700">
        <v>5</v>
      </c>
      <c r="R700">
        <v>0.6</v>
      </c>
      <c r="S700">
        <v>-427.45</v>
      </c>
      <c r="T700" t="s">
        <v>59</v>
      </c>
      <c r="U700" t="s">
        <v>35</v>
      </c>
    </row>
    <row r="701" spans="1:21" x14ac:dyDescent="0.25">
      <c r="A701" t="s">
        <v>2384</v>
      </c>
      <c r="B701" s="1">
        <v>41993</v>
      </c>
      <c r="C701" s="1">
        <v>41998</v>
      </c>
      <c r="D701" t="s">
        <v>40</v>
      </c>
      <c r="E701" t="s">
        <v>2385</v>
      </c>
      <c r="F701" t="s">
        <v>2386</v>
      </c>
      <c r="G701" t="s">
        <v>25</v>
      </c>
      <c r="H701" t="s">
        <v>26</v>
      </c>
      <c r="I701" t="s">
        <v>158</v>
      </c>
      <c r="J701" t="s">
        <v>142</v>
      </c>
      <c r="K701" t="s">
        <v>29</v>
      </c>
      <c r="L701" t="s">
        <v>247</v>
      </c>
      <c r="M701" t="s">
        <v>31</v>
      </c>
      <c r="N701" t="s">
        <v>37</v>
      </c>
      <c r="O701" t="s">
        <v>248</v>
      </c>
      <c r="P701">
        <v>662.88</v>
      </c>
      <c r="Q701">
        <v>3</v>
      </c>
      <c r="R701">
        <v>0.2</v>
      </c>
      <c r="S701">
        <v>74.573999999999998</v>
      </c>
      <c r="T701" t="s">
        <v>59</v>
      </c>
      <c r="U701" t="s">
        <v>97</v>
      </c>
    </row>
    <row r="702" spans="1:21" x14ac:dyDescent="0.25">
      <c r="A702" t="s">
        <v>2387</v>
      </c>
      <c r="B702" s="1">
        <v>42208</v>
      </c>
      <c r="C702" s="1">
        <v>42212</v>
      </c>
      <c r="D702" t="s">
        <v>40</v>
      </c>
      <c r="E702" t="s">
        <v>2388</v>
      </c>
      <c r="F702" t="s">
        <v>2389</v>
      </c>
      <c r="G702" t="s">
        <v>101</v>
      </c>
      <c r="H702" t="s">
        <v>26</v>
      </c>
      <c r="I702" t="s">
        <v>174</v>
      </c>
      <c r="J702" t="s">
        <v>121</v>
      </c>
      <c r="K702" t="s">
        <v>68</v>
      </c>
      <c r="L702" t="s">
        <v>746</v>
      </c>
      <c r="M702" t="s">
        <v>31</v>
      </c>
      <c r="N702" t="s">
        <v>57</v>
      </c>
      <c r="O702" t="s">
        <v>747</v>
      </c>
      <c r="P702">
        <v>128.82</v>
      </c>
      <c r="Q702">
        <v>3</v>
      </c>
      <c r="R702">
        <v>0</v>
      </c>
      <c r="S702">
        <v>50.239800000000002</v>
      </c>
      <c r="T702" t="s">
        <v>84</v>
      </c>
      <c r="U702" t="s">
        <v>72</v>
      </c>
    </row>
    <row r="703" spans="1:21" x14ac:dyDescent="0.25">
      <c r="A703" t="s">
        <v>2390</v>
      </c>
      <c r="B703" s="1">
        <v>43083</v>
      </c>
      <c r="C703" s="1">
        <v>43089</v>
      </c>
      <c r="D703" t="s">
        <v>40</v>
      </c>
      <c r="E703" t="s">
        <v>1253</v>
      </c>
      <c r="F703" t="s">
        <v>1254</v>
      </c>
      <c r="G703" t="s">
        <v>101</v>
      </c>
      <c r="H703" t="s">
        <v>26</v>
      </c>
      <c r="I703" t="s">
        <v>134</v>
      </c>
      <c r="J703" t="s">
        <v>135</v>
      </c>
      <c r="K703" t="s">
        <v>94</v>
      </c>
      <c r="L703" t="s">
        <v>2391</v>
      </c>
      <c r="M703" t="s">
        <v>31</v>
      </c>
      <c r="N703" t="s">
        <v>57</v>
      </c>
      <c r="O703" t="s">
        <v>2392</v>
      </c>
      <c r="P703">
        <v>2.032</v>
      </c>
      <c r="Q703">
        <v>1</v>
      </c>
      <c r="R703">
        <v>0.6</v>
      </c>
      <c r="S703">
        <v>-1.3208</v>
      </c>
      <c r="T703" t="s">
        <v>130</v>
      </c>
      <c r="U703" t="s">
        <v>97</v>
      </c>
    </row>
    <row r="704" spans="1:21" x14ac:dyDescent="0.25">
      <c r="A704" t="s">
        <v>2393</v>
      </c>
      <c r="B704" s="1">
        <v>42968</v>
      </c>
      <c r="C704" s="1">
        <v>42969</v>
      </c>
      <c r="D704" t="s">
        <v>88</v>
      </c>
      <c r="E704" t="s">
        <v>2394</v>
      </c>
      <c r="F704" t="s">
        <v>2395</v>
      </c>
      <c r="G704" t="s">
        <v>25</v>
      </c>
      <c r="H704" t="s">
        <v>26</v>
      </c>
      <c r="I704" t="s">
        <v>1471</v>
      </c>
      <c r="J704" t="s">
        <v>54</v>
      </c>
      <c r="K704" t="s">
        <v>55</v>
      </c>
      <c r="L704" t="s">
        <v>2396</v>
      </c>
      <c r="M704" t="s">
        <v>31</v>
      </c>
      <c r="N704" t="s">
        <v>57</v>
      </c>
      <c r="O704" t="s">
        <v>2397</v>
      </c>
      <c r="P704">
        <v>129.91999999999999</v>
      </c>
      <c r="Q704">
        <v>4</v>
      </c>
      <c r="R704">
        <v>0</v>
      </c>
      <c r="S704">
        <v>10.393599999999999</v>
      </c>
      <c r="T704" t="s">
        <v>124</v>
      </c>
      <c r="U704" t="s">
        <v>254</v>
      </c>
    </row>
    <row r="705" spans="1:21" x14ac:dyDescent="0.25">
      <c r="A705" t="s">
        <v>2393</v>
      </c>
      <c r="B705" s="1">
        <v>42968</v>
      </c>
      <c r="C705" s="1">
        <v>42969</v>
      </c>
      <c r="D705" t="s">
        <v>88</v>
      </c>
      <c r="E705" t="s">
        <v>2394</v>
      </c>
      <c r="F705" t="s">
        <v>2395</v>
      </c>
      <c r="G705" t="s">
        <v>25</v>
      </c>
      <c r="H705" t="s">
        <v>26</v>
      </c>
      <c r="I705" t="s">
        <v>1471</v>
      </c>
      <c r="J705" t="s">
        <v>54</v>
      </c>
      <c r="K705" t="s">
        <v>55</v>
      </c>
      <c r="L705" t="s">
        <v>61</v>
      </c>
      <c r="M705" t="s">
        <v>31</v>
      </c>
      <c r="N705" t="s">
        <v>46</v>
      </c>
      <c r="O705" t="s">
        <v>62</v>
      </c>
      <c r="P705">
        <v>568.72799999999995</v>
      </c>
      <c r="Q705">
        <v>3</v>
      </c>
      <c r="R705">
        <v>0.2</v>
      </c>
      <c r="S705">
        <v>28.436399999999999</v>
      </c>
      <c r="T705" t="s">
        <v>124</v>
      </c>
      <c r="U705" t="s">
        <v>254</v>
      </c>
    </row>
    <row r="706" spans="1:21" x14ac:dyDescent="0.25">
      <c r="A706" t="s">
        <v>2398</v>
      </c>
      <c r="B706" s="1">
        <v>42609</v>
      </c>
      <c r="C706" s="1">
        <v>42614</v>
      </c>
      <c r="D706" t="s">
        <v>22</v>
      </c>
      <c r="E706" t="s">
        <v>118</v>
      </c>
      <c r="F706" t="s">
        <v>119</v>
      </c>
      <c r="G706" t="s">
        <v>25</v>
      </c>
      <c r="H706" t="s">
        <v>26</v>
      </c>
      <c r="I706" t="s">
        <v>2399</v>
      </c>
      <c r="J706" t="s">
        <v>435</v>
      </c>
      <c r="K706" t="s">
        <v>68</v>
      </c>
      <c r="L706" t="s">
        <v>1462</v>
      </c>
      <c r="M706" t="s">
        <v>31</v>
      </c>
      <c r="N706" t="s">
        <v>46</v>
      </c>
      <c r="O706" t="s">
        <v>1463</v>
      </c>
      <c r="P706">
        <v>244.61500000000001</v>
      </c>
      <c r="Q706">
        <v>1</v>
      </c>
      <c r="R706">
        <v>0.3</v>
      </c>
      <c r="S706">
        <v>20.966999999999999</v>
      </c>
      <c r="T706" t="s">
        <v>59</v>
      </c>
      <c r="U706" t="s">
        <v>254</v>
      </c>
    </row>
    <row r="707" spans="1:21" x14ac:dyDescent="0.25">
      <c r="A707" t="s">
        <v>2400</v>
      </c>
      <c r="B707" s="1">
        <v>41905</v>
      </c>
      <c r="C707" s="1">
        <v>41910</v>
      </c>
      <c r="D707" t="s">
        <v>40</v>
      </c>
      <c r="E707" t="s">
        <v>859</v>
      </c>
      <c r="F707" t="s">
        <v>860</v>
      </c>
      <c r="G707" t="s">
        <v>91</v>
      </c>
      <c r="H707" t="s">
        <v>26</v>
      </c>
      <c r="I707" t="s">
        <v>640</v>
      </c>
      <c r="J707" t="s">
        <v>54</v>
      </c>
      <c r="K707" t="s">
        <v>55</v>
      </c>
      <c r="L707" t="s">
        <v>2401</v>
      </c>
      <c r="M707" t="s">
        <v>31</v>
      </c>
      <c r="N707" t="s">
        <v>32</v>
      </c>
      <c r="O707" t="s">
        <v>2402</v>
      </c>
      <c r="P707">
        <v>435.99900000000002</v>
      </c>
      <c r="Q707">
        <v>3</v>
      </c>
      <c r="R707">
        <v>0.15</v>
      </c>
      <c r="S707">
        <v>20.517600000000002</v>
      </c>
      <c r="T707" t="s">
        <v>59</v>
      </c>
      <c r="U707" t="s">
        <v>78</v>
      </c>
    </row>
    <row r="708" spans="1:21" x14ac:dyDescent="0.25">
      <c r="A708" t="s">
        <v>2403</v>
      </c>
      <c r="B708" s="1">
        <v>41839</v>
      </c>
      <c r="C708" s="1">
        <v>41844</v>
      </c>
      <c r="D708" t="s">
        <v>40</v>
      </c>
      <c r="E708" t="s">
        <v>2404</v>
      </c>
      <c r="F708" t="s">
        <v>2405</v>
      </c>
      <c r="G708" t="s">
        <v>91</v>
      </c>
      <c r="H708" t="s">
        <v>26</v>
      </c>
      <c r="I708" t="s">
        <v>2406</v>
      </c>
      <c r="J708" t="s">
        <v>430</v>
      </c>
      <c r="K708" t="s">
        <v>68</v>
      </c>
      <c r="L708" t="s">
        <v>2407</v>
      </c>
      <c r="M708" t="s">
        <v>31</v>
      </c>
      <c r="N708" t="s">
        <v>46</v>
      </c>
      <c r="O708" t="s">
        <v>2408</v>
      </c>
      <c r="P708">
        <v>70.56</v>
      </c>
      <c r="Q708">
        <v>1</v>
      </c>
      <c r="R708">
        <v>0.3</v>
      </c>
      <c r="S708">
        <v>-4.032</v>
      </c>
      <c r="T708" t="s">
        <v>59</v>
      </c>
      <c r="U708" t="s">
        <v>72</v>
      </c>
    </row>
    <row r="709" spans="1:21" x14ac:dyDescent="0.25">
      <c r="A709" t="s">
        <v>2409</v>
      </c>
      <c r="B709" s="1">
        <v>42159</v>
      </c>
      <c r="C709" s="1">
        <v>42163</v>
      </c>
      <c r="D709" t="s">
        <v>22</v>
      </c>
      <c r="E709" t="s">
        <v>1174</v>
      </c>
      <c r="F709" t="s">
        <v>1175</v>
      </c>
      <c r="G709" t="s">
        <v>101</v>
      </c>
      <c r="H709" t="s">
        <v>26</v>
      </c>
      <c r="I709" t="s">
        <v>174</v>
      </c>
      <c r="J709" t="s">
        <v>121</v>
      </c>
      <c r="K709" t="s">
        <v>68</v>
      </c>
      <c r="L709" t="s">
        <v>2410</v>
      </c>
      <c r="M709" t="s">
        <v>31</v>
      </c>
      <c r="N709" t="s">
        <v>57</v>
      </c>
      <c r="O709" t="s">
        <v>2411</v>
      </c>
      <c r="P709">
        <v>35.28</v>
      </c>
      <c r="Q709">
        <v>3</v>
      </c>
      <c r="R709">
        <v>0</v>
      </c>
      <c r="S709">
        <v>11.995200000000001</v>
      </c>
      <c r="T709" t="s">
        <v>84</v>
      </c>
      <c r="U709" t="s">
        <v>60</v>
      </c>
    </row>
    <row r="710" spans="1:21" x14ac:dyDescent="0.25">
      <c r="A710" t="s">
        <v>2412</v>
      </c>
      <c r="B710" s="1">
        <v>42567</v>
      </c>
      <c r="C710" s="1">
        <v>42569</v>
      </c>
      <c r="D710" t="s">
        <v>22</v>
      </c>
      <c r="E710" t="s">
        <v>2413</v>
      </c>
      <c r="F710" t="s">
        <v>2414</v>
      </c>
      <c r="G710" t="s">
        <v>91</v>
      </c>
      <c r="H710" t="s">
        <v>26</v>
      </c>
      <c r="I710" t="s">
        <v>102</v>
      </c>
      <c r="J710" t="s">
        <v>93</v>
      </c>
      <c r="K710" t="s">
        <v>94</v>
      </c>
      <c r="L710" t="s">
        <v>928</v>
      </c>
      <c r="M710" t="s">
        <v>31</v>
      </c>
      <c r="N710" t="s">
        <v>57</v>
      </c>
      <c r="O710" t="s">
        <v>317</v>
      </c>
      <c r="P710">
        <v>9.5519999999999996</v>
      </c>
      <c r="Q710">
        <v>3</v>
      </c>
      <c r="R710">
        <v>0.6</v>
      </c>
      <c r="S710">
        <v>-3.8208000000000002</v>
      </c>
      <c r="T710" t="s">
        <v>71</v>
      </c>
      <c r="U710" t="s">
        <v>72</v>
      </c>
    </row>
    <row r="711" spans="1:21" x14ac:dyDescent="0.25">
      <c r="A711" t="s">
        <v>2415</v>
      </c>
      <c r="B711" s="1">
        <v>41670</v>
      </c>
      <c r="C711" s="1">
        <v>41672</v>
      </c>
      <c r="D711" t="s">
        <v>88</v>
      </c>
      <c r="E711" t="s">
        <v>2416</v>
      </c>
      <c r="F711" t="s">
        <v>2417</v>
      </c>
      <c r="G711" t="s">
        <v>25</v>
      </c>
      <c r="H711" t="s">
        <v>26</v>
      </c>
      <c r="I711" t="s">
        <v>2418</v>
      </c>
      <c r="J711" t="s">
        <v>54</v>
      </c>
      <c r="K711" t="s">
        <v>55</v>
      </c>
      <c r="L711" t="s">
        <v>1457</v>
      </c>
      <c r="M711" t="s">
        <v>31</v>
      </c>
      <c r="N711" t="s">
        <v>32</v>
      </c>
      <c r="O711" t="s">
        <v>1458</v>
      </c>
      <c r="P711">
        <v>290.666</v>
      </c>
      <c r="Q711">
        <v>2</v>
      </c>
      <c r="R711">
        <v>0.15</v>
      </c>
      <c r="S711">
        <v>3.4196</v>
      </c>
      <c r="T711" t="s">
        <v>71</v>
      </c>
      <c r="U711" t="s">
        <v>170</v>
      </c>
    </row>
    <row r="712" spans="1:21" x14ac:dyDescent="0.25">
      <c r="A712" t="s">
        <v>2419</v>
      </c>
      <c r="B712" s="1">
        <v>42329</v>
      </c>
      <c r="C712" s="1">
        <v>42333</v>
      </c>
      <c r="D712" t="s">
        <v>40</v>
      </c>
      <c r="E712" t="s">
        <v>2236</v>
      </c>
      <c r="F712" t="s">
        <v>2237</v>
      </c>
      <c r="G712" t="s">
        <v>25</v>
      </c>
      <c r="H712" t="s">
        <v>26</v>
      </c>
      <c r="I712" t="s">
        <v>2420</v>
      </c>
      <c r="J712" t="s">
        <v>1341</v>
      </c>
      <c r="K712" t="s">
        <v>55</v>
      </c>
      <c r="L712" t="s">
        <v>2421</v>
      </c>
      <c r="M712" t="s">
        <v>31</v>
      </c>
      <c r="N712" t="s">
        <v>32</v>
      </c>
      <c r="O712" t="s">
        <v>2422</v>
      </c>
      <c r="P712">
        <v>141.96</v>
      </c>
      <c r="Q712">
        <v>2</v>
      </c>
      <c r="R712">
        <v>0</v>
      </c>
      <c r="S712">
        <v>41.168399999999998</v>
      </c>
      <c r="T712" t="s">
        <v>84</v>
      </c>
      <c r="U712" t="s">
        <v>35</v>
      </c>
    </row>
    <row r="713" spans="1:21" x14ac:dyDescent="0.25">
      <c r="A713" t="s">
        <v>2423</v>
      </c>
      <c r="B713" s="1">
        <v>42342</v>
      </c>
      <c r="C713" s="1">
        <v>42348</v>
      </c>
      <c r="D713" t="s">
        <v>40</v>
      </c>
      <c r="E713" t="s">
        <v>41</v>
      </c>
      <c r="F713" t="s">
        <v>42</v>
      </c>
      <c r="G713" t="s">
        <v>25</v>
      </c>
      <c r="H713" t="s">
        <v>26</v>
      </c>
      <c r="I713" t="s">
        <v>2424</v>
      </c>
      <c r="J713" t="s">
        <v>121</v>
      </c>
      <c r="K713" t="s">
        <v>68</v>
      </c>
      <c r="L713" t="s">
        <v>2205</v>
      </c>
      <c r="M713" t="s">
        <v>31</v>
      </c>
      <c r="N713" t="s">
        <v>57</v>
      </c>
      <c r="O713" t="s">
        <v>2206</v>
      </c>
      <c r="P713">
        <v>28.44</v>
      </c>
      <c r="Q713">
        <v>3</v>
      </c>
      <c r="R713">
        <v>0</v>
      </c>
      <c r="S713">
        <v>11.375999999999999</v>
      </c>
      <c r="T713" t="s">
        <v>130</v>
      </c>
      <c r="U713" t="s">
        <v>97</v>
      </c>
    </row>
    <row r="714" spans="1:21" x14ac:dyDescent="0.25">
      <c r="A714" t="s">
        <v>2423</v>
      </c>
      <c r="B714" s="1">
        <v>42342</v>
      </c>
      <c r="C714" s="1">
        <v>42348</v>
      </c>
      <c r="D714" t="s">
        <v>40</v>
      </c>
      <c r="E714" t="s">
        <v>41</v>
      </c>
      <c r="F714" t="s">
        <v>42</v>
      </c>
      <c r="G714" t="s">
        <v>25</v>
      </c>
      <c r="H714" t="s">
        <v>26</v>
      </c>
      <c r="I714" t="s">
        <v>2424</v>
      </c>
      <c r="J714" t="s">
        <v>121</v>
      </c>
      <c r="K714" t="s">
        <v>68</v>
      </c>
      <c r="L714" t="s">
        <v>496</v>
      </c>
      <c r="M714" t="s">
        <v>31</v>
      </c>
      <c r="N714" t="s">
        <v>37</v>
      </c>
      <c r="O714" t="s">
        <v>497</v>
      </c>
      <c r="P714">
        <v>364.41</v>
      </c>
      <c r="Q714">
        <v>5</v>
      </c>
      <c r="R714">
        <v>0.1</v>
      </c>
      <c r="S714">
        <v>8.0980000000000008</v>
      </c>
      <c r="T714" t="s">
        <v>130</v>
      </c>
      <c r="U714" t="s">
        <v>97</v>
      </c>
    </row>
    <row r="715" spans="1:21" x14ac:dyDescent="0.25">
      <c r="A715" t="s">
        <v>2423</v>
      </c>
      <c r="B715" s="1">
        <v>42342</v>
      </c>
      <c r="C715" s="1">
        <v>42348</v>
      </c>
      <c r="D715" t="s">
        <v>40</v>
      </c>
      <c r="E715" t="s">
        <v>41</v>
      </c>
      <c r="F715" t="s">
        <v>42</v>
      </c>
      <c r="G715" t="s">
        <v>25</v>
      </c>
      <c r="H715" t="s">
        <v>26</v>
      </c>
      <c r="I715" t="s">
        <v>2424</v>
      </c>
      <c r="J715" t="s">
        <v>121</v>
      </c>
      <c r="K715" t="s">
        <v>68</v>
      </c>
      <c r="L715" t="s">
        <v>330</v>
      </c>
      <c r="M715" t="s">
        <v>31</v>
      </c>
      <c r="N715" t="s">
        <v>37</v>
      </c>
      <c r="O715" t="s">
        <v>331</v>
      </c>
      <c r="P715">
        <v>361.76400000000001</v>
      </c>
      <c r="Q715">
        <v>2</v>
      </c>
      <c r="R715">
        <v>0.1</v>
      </c>
      <c r="S715">
        <v>68.333200000000005</v>
      </c>
      <c r="T715" t="s">
        <v>130</v>
      </c>
      <c r="U715" t="s">
        <v>97</v>
      </c>
    </row>
    <row r="716" spans="1:21" x14ac:dyDescent="0.25">
      <c r="A716" t="s">
        <v>2425</v>
      </c>
      <c r="B716" s="1">
        <v>43062</v>
      </c>
      <c r="C716" s="1">
        <v>43063</v>
      </c>
      <c r="D716" t="s">
        <v>88</v>
      </c>
      <c r="E716" t="s">
        <v>2147</v>
      </c>
      <c r="F716" t="s">
        <v>2148</v>
      </c>
      <c r="G716" t="s">
        <v>25</v>
      </c>
      <c r="H716" t="s">
        <v>26</v>
      </c>
      <c r="I716" t="s">
        <v>66</v>
      </c>
      <c r="J716" t="s">
        <v>67</v>
      </c>
      <c r="K716" t="s">
        <v>68</v>
      </c>
      <c r="L716" t="s">
        <v>2426</v>
      </c>
      <c r="M716" t="s">
        <v>31</v>
      </c>
      <c r="N716" t="s">
        <v>57</v>
      </c>
      <c r="O716" t="s">
        <v>2427</v>
      </c>
      <c r="P716">
        <v>24.047999999999998</v>
      </c>
      <c r="Q716">
        <v>9</v>
      </c>
      <c r="R716">
        <v>0.2</v>
      </c>
      <c r="S716">
        <v>7.2144000000000004</v>
      </c>
      <c r="T716" t="s">
        <v>124</v>
      </c>
      <c r="U716" t="s">
        <v>35</v>
      </c>
    </row>
    <row r="717" spans="1:21" x14ac:dyDescent="0.25">
      <c r="A717" t="s">
        <v>2428</v>
      </c>
      <c r="B717" s="1">
        <v>42342</v>
      </c>
      <c r="C717" s="1">
        <v>42347</v>
      </c>
      <c r="D717" t="s">
        <v>22</v>
      </c>
      <c r="E717" t="s">
        <v>1682</v>
      </c>
      <c r="F717" t="s">
        <v>1683</v>
      </c>
      <c r="G717" t="s">
        <v>25</v>
      </c>
      <c r="H717" t="s">
        <v>26</v>
      </c>
      <c r="I717" t="s">
        <v>174</v>
      </c>
      <c r="J717" t="s">
        <v>121</v>
      </c>
      <c r="K717" t="s">
        <v>68</v>
      </c>
      <c r="L717" t="s">
        <v>2429</v>
      </c>
      <c r="M717" t="s">
        <v>31</v>
      </c>
      <c r="N717" t="s">
        <v>37</v>
      </c>
      <c r="O717" t="s">
        <v>2430</v>
      </c>
      <c r="P717">
        <v>384.17399999999998</v>
      </c>
      <c r="Q717">
        <v>7</v>
      </c>
      <c r="R717">
        <v>0.1</v>
      </c>
      <c r="S717">
        <v>29.880199999999999</v>
      </c>
      <c r="T717" t="s">
        <v>59</v>
      </c>
      <c r="U717" t="s">
        <v>97</v>
      </c>
    </row>
    <row r="718" spans="1:21" x14ac:dyDescent="0.25">
      <c r="A718" t="s">
        <v>2431</v>
      </c>
      <c r="B718" s="1">
        <v>43015</v>
      </c>
      <c r="C718" s="1">
        <v>43019</v>
      </c>
      <c r="D718" t="s">
        <v>40</v>
      </c>
      <c r="E718" t="s">
        <v>2432</v>
      </c>
      <c r="F718" t="s">
        <v>2433</v>
      </c>
      <c r="G718" t="s">
        <v>101</v>
      </c>
      <c r="H718" t="s">
        <v>26</v>
      </c>
      <c r="I718" t="s">
        <v>1528</v>
      </c>
      <c r="J718" t="s">
        <v>1037</v>
      </c>
      <c r="K718" t="s">
        <v>29</v>
      </c>
      <c r="L718" t="s">
        <v>1260</v>
      </c>
      <c r="M718" t="s">
        <v>31</v>
      </c>
      <c r="N718" t="s">
        <v>46</v>
      </c>
      <c r="O718" t="s">
        <v>1064</v>
      </c>
      <c r="P718">
        <v>154.76400000000001</v>
      </c>
      <c r="Q718">
        <v>3</v>
      </c>
      <c r="R718">
        <v>0.4</v>
      </c>
      <c r="S718">
        <v>-36.111600000000003</v>
      </c>
      <c r="T718" t="s">
        <v>84</v>
      </c>
      <c r="U718" t="s">
        <v>49</v>
      </c>
    </row>
    <row r="719" spans="1:21" x14ac:dyDescent="0.25">
      <c r="A719" t="s">
        <v>2434</v>
      </c>
      <c r="B719" s="1">
        <v>42128</v>
      </c>
      <c r="C719" s="1">
        <v>42129</v>
      </c>
      <c r="D719" t="s">
        <v>88</v>
      </c>
      <c r="E719" t="s">
        <v>985</v>
      </c>
      <c r="F719" t="s">
        <v>986</v>
      </c>
      <c r="G719" t="s">
        <v>91</v>
      </c>
      <c r="H719" t="s">
        <v>26</v>
      </c>
      <c r="I719" t="s">
        <v>2435</v>
      </c>
      <c r="J719" t="s">
        <v>135</v>
      </c>
      <c r="K719" t="s">
        <v>94</v>
      </c>
      <c r="L719" t="s">
        <v>928</v>
      </c>
      <c r="M719" t="s">
        <v>31</v>
      </c>
      <c r="N719" t="s">
        <v>57</v>
      </c>
      <c r="O719" t="s">
        <v>317</v>
      </c>
      <c r="P719">
        <v>22.288</v>
      </c>
      <c r="Q719">
        <v>7</v>
      </c>
      <c r="R719">
        <v>0.6</v>
      </c>
      <c r="S719">
        <v>-8.9152000000000005</v>
      </c>
      <c r="T719" t="s">
        <v>124</v>
      </c>
      <c r="U719" t="s">
        <v>162</v>
      </c>
    </row>
    <row r="720" spans="1:21" x14ac:dyDescent="0.25">
      <c r="A720" t="s">
        <v>2436</v>
      </c>
      <c r="B720" s="1">
        <v>42884</v>
      </c>
      <c r="C720" s="1">
        <v>42891</v>
      </c>
      <c r="D720" t="s">
        <v>40</v>
      </c>
      <c r="E720" t="s">
        <v>1432</v>
      </c>
      <c r="F720" t="s">
        <v>1433</v>
      </c>
      <c r="G720" t="s">
        <v>25</v>
      </c>
      <c r="H720" t="s">
        <v>26</v>
      </c>
      <c r="I720" t="s">
        <v>102</v>
      </c>
      <c r="J720" t="s">
        <v>93</v>
      </c>
      <c r="K720" t="s">
        <v>94</v>
      </c>
      <c r="L720" t="s">
        <v>2437</v>
      </c>
      <c r="M720" t="s">
        <v>31</v>
      </c>
      <c r="N720" t="s">
        <v>57</v>
      </c>
      <c r="O720" t="s">
        <v>2438</v>
      </c>
      <c r="P720">
        <v>65.424000000000007</v>
      </c>
      <c r="Q720">
        <v>4</v>
      </c>
      <c r="R720">
        <v>0.6</v>
      </c>
      <c r="S720">
        <v>-52.339199999999998</v>
      </c>
      <c r="T720" t="s">
        <v>48</v>
      </c>
      <c r="U720" t="s">
        <v>162</v>
      </c>
    </row>
    <row r="721" spans="1:21" x14ac:dyDescent="0.25">
      <c r="A721" t="s">
        <v>2439</v>
      </c>
      <c r="B721" s="1">
        <v>41752</v>
      </c>
      <c r="C721" s="1">
        <v>41756</v>
      </c>
      <c r="D721" t="s">
        <v>40</v>
      </c>
      <c r="E721" t="s">
        <v>2440</v>
      </c>
      <c r="F721" t="s">
        <v>2441</v>
      </c>
      <c r="G721" t="s">
        <v>101</v>
      </c>
      <c r="H721" t="s">
        <v>26</v>
      </c>
      <c r="I721" t="s">
        <v>348</v>
      </c>
      <c r="J721" t="s">
        <v>232</v>
      </c>
      <c r="K721" t="s">
        <v>68</v>
      </c>
      <c r="L721" t="s">
        <v>330</v>
      </c>
      <c r="M721" t="s">
        <v>31</v>
      </c>
      <c r="N721" t="s">
        <v>37</v>
      </c>
      <c r="O721" t="s">
        <v>331</v>
      </c>
      <c r="P721">
        <v>281.37200000000001</v>
      </c>
      <c r="Q721">
        <v>2</v>
      </c>
      <c r="R721">
        <v>0.3</v>
      </c>
      <c r="S721">
        <v>-12.0588</v>
      </c>
      <c r="T721" t="s">
        <v>84</v>
      </c>
      <c r="U721" t="s">
        <v>114</v>
      </c>
    </row>
    <row r="722" spans="1:21" x14ac:dyDescent="0.25">
      <c r="A722" t="s">
        <v>2439</v>
      </c>
      <c r="B722" s="1">
        <v>41752</v>
      </c>
      <c r="C722" s="1">
        <v>41756</v>
      </c>
      <c r="D722" t="s">
        <v>40</v>
      </c>
      <c r="E722" t="s">
        <v>2440</v>
      </c>
      <c r="F722" t="s">
        <v>2441</v>
      </c>
      <c r="G722" t="s">
        <v>101</v>
      </c>
      <c r="H722" t="s">
        <v>26</v>
      </c>
      <c r="I722" t="s">
        <v>348</v>
      </c>
      <c r="J722" t="s">
        <v>232</v>
      </c>
      <c r="K722" t="s">
        <v>68</v>
      </c>
      <c r="L722" t="s">
        <v>330</v>
      </c>
      <c r="M722" t="s">
        <v>31</v>
      </c>
      <c r="N722" t="s">
        <v>37</v>
      </c>
      <c r="O722" t="s">
        <v>331</v>
      </c>
      <c r="P722">
        <v>281.37200000000001</v>
      </c>
      <c r="Q722">
        <v>2</v>
      </c>
      <c r="R722">
        <v>0.3</v>
      </c>
      <c r="S722">
        <v>-12.0588</v>
      </c>
      <c r="T722" t="s">
        <v>84</v>
      </c>
      <c r="U722" t="s">
        <v>114</v>
      </c>
    </row>
    <row r="723" spans="1:21" x14ac:dyDescent="0.25">
      <c r="A723" t="s">
        <v>2439</v>
      </c>
      <c r="B723" s="1">
        <v>41752</v>
      </c>
      <c r="C723" s="1">
        <v>41756</v>
      </c>
      <c r="D723" t="s">
        <v>40</v>
      </c>
      <c r="E723" t="s">
        <v>2440</v>
      </c>
      <c r="F723" t="s">
        <v>2441</v>
      </c>
      <c r="G723" t="s">
        <v>101</v>
      </c>
      <c r="H723" t="s">
        <v>26</v>
      </c>
      <c r="I723" t="s">
        <v>348</v>
      </c>
      <c r="J723" t="s">
        <v>232</v>
      </c>
      <c r="K723" t="s">
        <v>68</v>
      </c>
      <c r="L723" t="s">
        <v>978</v>
      </c>
      <c r="M723" t="s">
        <v>31</v>
      </c>
      <c r="N723" t="s">
        <v>57</v>
      </c>
      <c r="O723" t="s">
        <v>979</v>
      </c>
      <c r="P723">
        <v>22.335999999999999</v>
      </c>
      <c r="Q723">
        <v>4</v>
      </c>
      <c r="R723">
        <v>0.2</v>
      </c>
      <c r="S723">
        <v>7.8175999999999997</v>
      </c>
      <c r="T723" t="s">
        <v>84</v>
      </c>
      <c r="U723" t="s">
        <v>114</v>
      </c>
    </row>
    <row r="724" spans="1:21" x14ac:dyDescent="0.25">
      <c r="A724" t="s">
        <v>2442</v>
      </c>
      <c r="B724" s="1">
        <v>42253</v>
      </c>
      <c r="C724" s="1">
        <v>42260</v>
      </c>
      <c r="D724" t="s">
        <v>40</v>
      </c>
      <c r="E724" t="s">
        <v>883</v>
      </c>
      <c r="F724" t="s">
        <v>884</v>
      </c>
      <c r="G724" t="s">
        <v>101</v>
      </c>
      <c r="H724" t="s">
        <v>26</v>
      </c>
      <c r="I724" t="s">
        <v>174</v>
      </c>
      <c r="J724" t="s">
        <v>121</v>
      </c>
      <c r="K724" t="s">
        <v>68</v>
      </c>
      <c r="L724" t="s">
        <v>856</v>
      </c>
      <c r="M724" t="s">
        <v>31</v>
      </c>
      <c r="N724" t="s">
        <v>37</v>
      </c>
      <c r="O724" t="s">
        <v>857</v>
      </c>
      <c r="P724">
        <v>271.76400000000001</v>
      </c>
      <c r="Q724">
        <v>2</v>
      </c>
      <c r="R724">
        <v>0.1</v>
      </c>
      <c r="S724">
        <v>60.392000000000003</v>
      </c>
      <c r="T724" t="s">
        <v>48</v>
      </c>
      <c r="U724" t="s">
        <v>78</v>
      </c>
    </row>
    <row r="725" spans="1:21" x14ac:dyDescent="0.25">
      <c r="A725" t="s">
        <v>2443</v>
      </c>
      <c r="B725" s="1">
        <v>42271</v>
      </c>
      <c r="C725" s="1">
        <v>42275</v>
      </c>
      <c r="D725" t="s">
        <v>40</v>
      </c>
      <c r="E725" t="s">
        <v>2444</v>
      </c>
      <c r="F725" t="s">
        <v>2445</v>
      </c>
      <c r="G725" t="s">
        <v>101</v>
      </c>
      <c r="H725" t="s">
        <v>26</v>
      </c>
      <c r="I725" t="s">
        <v>2446</v>
      </c>
      <c r="J725" t="s">
        <v>802</v>
      </c>
      <c r="K725" t="s">
        <v>94</v>
      </c>
      <c r="L725" t="s">
        <v>1533</v>
      </c>
      <c r="M725" t="s">
        <v>31</v>
      </c>
      <c r="N725" t="s">
        <v>37</v>
      </c>
      <c r="O725" t="s">
        <v>1534</v>
      </c>
      <c r="P725">
        <v>1408.1</v>
      </c>
      <c r="Q725">
        <v>10</v>
      </c>
      <c r="R725">
        <v>0</v>
      </c>
      <c r="S725">
        <v>394.26799999999997</v>
      </c>
      <c r="T725" t="s">
        <v>84</v>
      </c>
      <c r="U725" t="s">
        <v>78</v>
      </c>
    </row>
    <row r="726" spans="1:21" x14ac:dyDescent="0.25">
      <c r="A726" t="s">
        <v>2447</v>
      </c>
      <c r="B726" s="1">
        <v>42919</v>
      </c>
      <c r="C726" s="1">
        <v>42922</v>
      </c>
      <c r="D726" t="s">
        <v>22</v>
      </c>
      <c r="E726" t="s">
        <v>1225</v>
      </c>
      <c r="F726" t="s">
        <v>1226</v>
      </c>
      <c r="G726" t="s">
        <v>101</v>
      </c>
      <c r="H726" t="s">
        <v>26</v>
      </c>
      <c r="I726" t="s">
        <v>816</v>
      </c>
      <c r="J726" t="s">
        <v>232</v>
      </c>
      <c r="K726" t="s">
        <v>68</v>
      </c>
      <c r="L726" t="s">
        <v>455</v>
      </c>
      <c r="M726" t="s">
        <v>31</v>
      </c>
      <c r="N726" t="s">
        <v>46</v>
      </c>
      <c r="O726" t="s">
        <v>456</v>
      </c>
      <c r="P726">
        <v>215.148</v>
      </c>
      <c r="Q726">
        <v>2</v>
      </c>
      <c r="R726">
        <v>0.4</v>
      </c>
      <c r="S726">
        <v>-103.98820000000001</v>
      </c>
      <c r="T726" t="s">
        <v>34</v>
      </c>
      <c r="U726" t="s">
        <v>72</v>
      </c>
    </row>
    <row r="727" spans="1:21" x14ac:dyDescent="0.25">
      <c r="A727" t="s">
        <v>2448</v>
      </c>
      <c r="B727" s="1">
        <v>43077</v>
      </c>
      <c r="C727" s="1">
        <v>43078</v>
      </c>
      <c r="D727" t="s">
        <v>88</v>
      </c>
      <c r="E727" t="s">
        <v>1575</v>
      </c>
      <c r="F727" t="s">
        <v>1576</v>
      </c>
      <c r="G727" t="s">
        <v>25</v>
      </c>
      <c r="H727" t="s">
        <v>26</v>
      </c>
      <c r="I727" t="s">
        <v>2449</v>
      </c>
      <c r="J727" t="s">
        <v>54</v>
      </c>
      <c r="K727" t="s">
        <v>55</v>
      </c>
      <c r="L727" t="s">
        <v>2450</v>
      </c>
      <c r="M727" t="s">
        <v>31</v>
      </c>
      <c r="N727" t="s">
        <v>57</v>
      </c>
      <c r="O727" t="s">
        <v>2451</v>
      </c>
      <c r="P727">
        <v>128.9</v>
      </c>
      <c r="Q727">
        <v>2</v>
      </c>
      <c r="R727">
        <v>0</v>
      </c>
      <c r="S727">
        <v>15.468</v>
      </c>
      <c r="T727" t="s">
        <v>124</v>
      </c>
      <c r="U727" t="s">
        <v>97</v>
      </c>
    </row>
    <row r="728" spans="1:21" x14ac:dyDescent="0.25">
      <c r="A728" t="s">
        <v>2452</v>
      </c>
      <c r="B728" s="1">
        <v>42274</v>
      </c>
      <c r="C728" s="1">
        <v>42276</v>
      </c>
      <c r="D728" t="s">
        <v>88</v>
      </c>
      <c r="E728" t="s">
        <v>1310</v>
      </c>
      <c r="F728" t="s">
        <v>1311</v>
      </c>
      <c r="G728" t="s">
        <v>25</v>
      </c>
      <c r="H728" t="s">
        <v>26</v>
      </c>
      <c r="I728" t="s">
        <v>134</v>
      </c>
      <c r="J728" t="s">
        <v>135</v>
      </c>
      <c r="K728" t="s">
        <v>94</v>
      </c>
      <c r="L728" t="s">
        <v>649</v>
      </c>
      <c r="M728" t="s">
        <v>31</v>
      </c>
      <c r="N728" t="s">
        <v>57</v>
      </c>
      <c r="O728" t="s">
        <v>650</v>
      </c>
      <c r="P728">
        <v>24.288</v>
      </c>
      <c r="Q728">
        <v>3</v>
      </c>
      <c r="R728">
        <v>0.6</v>
      </c>
      <c r="S728">
        <v>-12.751200000000001</v>
      </c>
      <c r="T728" t="s">
        <v>71</v>
      </c>
      <c r="U728" t="s">
        <v>78</v>
      </c>
    </row>
    <row r="729" spans="1:21" x14ac:dyDescent="0.25">
      <c r="A729" t="s">
        <v>2453</v>
      </c>
      <c r="B729" s="1">
        <v>43038</v>
      </c>
      <c r="C729" s="1">
        <v>43038</v>
      </c>
      <c r="D729" t="s">
        <v>426</v>
      </c>
      <c r="E729" t="s">
        <v>1583</v>
      </c>
      <c r="F729" t="s">
        <v>1584</v>
      </c>
      <c r="G729" t="s">
        <v>25</v>
      </c>
      <c r="H729" t="s">
        <v>26</v>
      </c>
      <c r="I729" t="s">
        <v>1740</v>
      </c>
      <c r="J729" t="s">
        <v>93</v>
      </c>
      <c r="K729" t="s">
        <v>94</v>
      </c>
      <c r="L729" t="s">
        <v>649</v>
      </c>
      <c r="M729" t="s">
        <v>31</v>
      </c>
      <c r="N729" t="s">
        <v>57</v>
      </c>
      <c r="O729" t="s">
        <v>650</v>
      </c>
      <c r="P729">
        <v>16.192</v>
      </c>
      <c r="Q729">
        <v>2</v>
      </c>
      <c r="R729">
        <v>0.6</v>
      </c>
      <c r="S729">
        <v>-8.5007999999999999</v>
      </c>
      <c r="T729" t="s">
        <v>431</v>
      </c>
      <c r="U729" t="s">
        <v>49</v>
      </c>
    </row>
    <row r="730" spans="1:21" x14ac:dyDescent="0.25">
      <c r="A730" t="s">
        <v>2453</v>
      </c>
      <c r="B730" s="1">
        <v>43038</v>
      </c>
      <c r="C730" s="1">
        <v>43038</v>
      </c>
      <c r="D730" t="s">
        <v>426</v>
      </c>
      <c r="E730" t="s">
        <v>1583</v>
      </c>
      <c r="F730" t="s">
        <v>1584</v>
      </c>
      <c r="G730" t="s">
        <v>25</v>
      </c>
      <c r="H730" t="s">
        <v>26</v>
      </c>
      <c r="I730" t="s">
        <v>1740</v>
      </c>
      <c r="J730" t="s">
        <v>93</v>
      </c>
      <c r="K730" t="s">
        <v>94</v>
      </c>
      <c r="L730" t="s">
        <v>455</v>
      </c>
      <c r="M730" t="s">
        <v>31</v>
      </c>
      <c r="N730" t="s">
        <v>46</v>
      </c>
      <c r="O730" t="s">
        <v>456</v>
      </c>
      <c r="P730">
        <v>251.006</v>
      </c>
      <c r="Q730">
        <v>2</v>
      </c>
      <c r="R730">
        <v>0.3</v>
      </c>
      <c r="S730">
        <v>-68.130200000000002</v>
      </c>
      <c r="T730" t="s">
        <v>431</v>
      </c>
      <c r="U730" t="s">
        <v>49</v>
      </c>
    </row>
    <row r="731" spans="1:21" x14ac:dyDescent="0.25">
      <c r="A731" t="s">
        <v>2454</v>
      </c>
      <c r="B731" s="1">
        <v>42994</v>
      </c>
      <c r="C731" s="1">
        <v>42996</v>
      </c>
      <c r="D731" t="s">
        <v>88</v>
      </c>
      <c r="E731" t="s">
        <v>1626</v>
      </c>
      <c r="F731" t="s">
        <v>1627</v>
      </c>
      <c r="G731" t="s">
        <v>25</v>
      </c>
      <c r="H731" t="s">
        <v>26</v>
      </c>
      <c r="I731" t="s">
        <v>66</v>
      </c>
      <c r="J731" t="s">
        <v>67</v>
      </c>
      <c r="K731" t="s">
        <v>68</v>
      </c>
      <c r="L731" t="s">
        <v>2127</v>
      </c>
      <c r="M731" t="s">
        <v>31</v>
      </c>
      <c r="N731" t="s">
        <v>57</v>
      </c>
      <c r="O731" t="s">
        <v>2128</v>
      </c>
      <c r="P731">
        <v>22.512</v>
      </c>
      <c r="Q731">
        <v>3</v>
      </c>
      <c r="R731">
        <v>0.2</v>
      </c>
      <c r="S731">
        <v>2.2511999999999999</v>
      </c>
      <c r="T731" t="s">
        <v>71</v>
      </c>
      <c r="U731" t="s">
        <v>78</v>
      </c>
    </row>
    <row r="732" spans="1:21" x14ac:dyDescent="0.25">
      <c r="A732" t="s">
        <v>2455</v>
      </c>
      <c r="B732" s="1">
        <v>42257</v>
      </c>
      <c r="C732" s="1">
        <v>42261</v>
      </c>
      <c r="D732" t="s">
        <v>40</v>
      </c>
      <c r="E732" t="s">
        <v>1599</v>
      </c>
      <c r="F732" t="s">
        <v>1600</v>
      </c>
      <c r="G732" t="s">
        <v>91</v>
      </c>
      <c r="H732" t="s">
        <v>26</v>
      </c>
      <c r="I732" t="s">
        <v>2456</v>
      </c>
      <c r="J732" t="s">
        <v>435</v>
      </c>
      <c r="K732" t="s">
        <v>68</v>
      </c>
      <c r="L732" t="s">
        <v>278</v>
      </c>
      <c r="M732" t="s">
        <v>31</v>
      </c>
      <c r="N732" t="s">
        <v>32</v>
      </c>
      <c r="O732" t="s">
        <v>279</v>
      </c>
      <c r="P732">
        <v>361.96</v>
      </c>
      <c r="Q732">
        <v>2</v>
      </c>
      <c r="R732">
        <v>0</v>
      </c>
      <c r="S732">
        <v>83.250799999999998</v>
      </c>
      <c r="T732" t="s">
        <v>84</v>
      </c>
      <c r="U732" t="s">
        <v>78</v>
      </c>
    </row>
    <row r="733" spans="1:21" x14ac:dyDescent="0.25">
      <c r="A733" t="s">
        <v>2457</v>
      </c>
      <c r="B733" s="1">
        <v>42718</v>
      </c>
      <c r="C733" s="1">
        <v>42723</v>
      </c>
      <c r="D733" t="s">
        <v>40</v>
      </c>
      <c r="E733" t="s">
        <v>1338</v>
      </c>
      <c r="F733" t="s">
        <v>1339</v>
      </c>
      <c r="G733" t="s">
        <v>25</v>
      </c>
      <c r="H733" t="s">
        <v>26</v>
      </c>
      <c r="I733" t="s">
        <v>478</v>
      </c>
      <c r="J733" t="s">
        <v>479</v>
      </c>
      <c r="K733" t="s">
        <v>29</v>
      </c>
      <c r="L733" t="s">
        <v>1984</v>
      </c>
      <c r="M733" t="s">
        <v>31</v>
      </c>
      <c r="N733" t="s">
        <v>57</v>
      </c>
      <c r="O733" t="s">
        <v>1985</v>
      </c>
      <c r="P733">
        <v>133.38</v>
      </c>
      <c r="Q733">
        <v>6</v>
      </c>
      <c r="R733">
        <v>0</v>
      </c>
      <c r="S733">
        <v>58.687199999999997</v>
      </c>
      <c r="T733" t="s">
        <v>59</v>
      </c>
      <c r="U733" t="s">
        <v>97</v>
      </c>
    </row>
    <row r="734" spans="1:21" x14ac:dyDescent="0.25">
      <c r="A734" t="s">
        <v>2458</v>
      </c>
      <c r="B734" s="1">
        <v>42705</v>
      </c>
      <c r="C734" s="1">
        <v>42709</v>
      </c>
      <c r="D734" t="s">
        <v>40</v>
      </c>
      <c r="E734" t="s">
        <v>1356</v>
      </c>
      <c r="F734" t="s">
        <v>1357</v>
      </c>
      <c r="G734" t="s">
        <v>25</v>
      </c>
      <c r="H734" t="s">
        <v>26</v>
      </c>
      <c r="I734" t="s">
        <v>329</v>
      </c>
      <c r="J734" t="s">
        <v>54</v>
      </c>
      <c r="K734" t="s">
        <v>55</v>
      </c>
      <c r="L734" t="s">
        <v>1148</v>
      </c>
      <c r="M734" t="s">
        <v>31</v>
      </c>
      <c r="N734" t="s">
        <v>57</v>
      </c>
      <c r="O734" t="s">
        <v>1149</v>
      </c>
      <c r="P734">
        <v>16.739999999999998</v>
      </c>
      <c r="Q734">
        <v>2</v>
      </c>
      <c r="R734">
        <v>0</v>
      </c>
      <c r="S734">
        <v>4.3524000000000003</v>
      </c>
      <c r="T734" t="s">
        <v>84</v>
      </c>
      <c r="U734" t="s">
        <v>97</v>
      </c>
    </row>
    <row r="735" spans="1:21" x14ac:dyDescent="0.25">
      <c r="A735" t="s">
        <v>2459</v>
      </c>
      <c r="B735" s="1">
        <v>42797</v>
      </c>
      <c r="C735" s="1">
        <v>42804</v>
      </c>
      <c r="D735" t="s">
        <v>40</v>
      </c>
      <c r="E735" t="s">
        <v>2064</v>
      </c>
      <c r="F735" t="s">
        <v>2065</v>
      </c>
      <c r="G735" t="s">
        <v>25</v>
      </c>
      <c r="H735" t="s">
        <v>26</v>
      </c>
      <c r="I735" t="s">
        <v>2460</v>
      </c>
      <c r="J735" t="s">
        <v>290</v>
      </c>
      <c r="K735" t="s">
        <v>94</v>
      </c>
      <c r="L735" t="s">
        <v>421</v>
      </c>
      <c r="M735" t="s">
        <v>31</v>
      </c>
      <c r="N735" t="s">
        <v>37</v>
      </c>
      <c r="O735" t="s">
        <v>422</v>
      </c>
      <c r="P735">
        <v>180.98</v>
      </c>
      <c r="Q735">
        <v>1</v>
      </c>
      <c r="R735">
        <v>0</v>
      </c>
      <c r="S735">
        <v>47.0548</v>
      </c>
      <c r="T735" t="s">
        <v>48</v>
      </c>
      <c r="U735" t="s">
        <v>196</v>
      </c>
    </row>
    <row r="736" spans="1:21" x14ac:dyDescent="0.25">
      <c r="A736" t="s">
        <v>2461</v>
      </c>
      <c r="B736" s="1">
        <v>42712</v>
      </c>
      <c r="C736" s="1">
        <v>42718</v>
      </c>
      <c r="D736" t="s">
        <v>40</v>
      </c>
      <c r="E736" t="s">
        <v>1112</v>
      </c>
      <c r="F736" t="s">
        <v>1113</v>
      </c>
      <c r="G736" t="s">
        <v>91</v>
      </c>
      <c r="H736" t="s">
        <v>26</v>
      </c>
      <c r="I736" t="s">
        <v>329</v>
      </c>
      <c r="J736" t="s">
        <v>54</v>
      </c>
      <c r="K736" t="s">
        <v>55</v>
      </c>
      <c r="L736" t="s">
        <v>1672</v>
      </c>
      <c r="M736" t="s">
        <v>31</v>
      </c>
      <c r="N736" t="s">
        <v>46</v>
      </c>
      <c r="O736" t="s">
        <v>1673</v>
      </c>
      <c r="P736">
        <v>1421.664</v>
      </c>
      <c r="Q736">
        <v>6</v>
      </c>
      <c r="R736">
        <v>0.2</v>
      </c>
      <c r="S736">
        <v>-195.47880000000001</v>
      </c>
      <c r="T736" t="s">
        <v>130</v>
      </c>
      <c r="U736" t="s">
        <v>97</v>
      </c>
    </row>
    <row r="737" spans="1:21" x14ac:dyDescent="0.25">
      <c r="A737" t="s">
        <v>2462</v>
      </c>
      <c r="B737" s="1">
        <v>41736</v>
      </c>
      <c r="C737" s="1">
        <v>41739</v>
      </c>
      <c r="D737" t="s">
        <v>88</v>
      </c>
      <c r="E737" t="s">
        <v>848</v>
      </c>
      <c r="F737" t="s">
        <v>849</v>
      </c>
      <c r="G737" t="s">
        <v>25</v>
      </c>
      <c r="H737" t="s">
        <v>26</v>
      </c>
      <c r="I737" t="s">
        <v>2463</v>
      </c>
      <c r="J737" t="s">
        <v>1277</v>
      </c>
      <c r="K737" t="s">
        <v>29</v>
      </c>
      <c r="L737" t="s">
        <v>1409</v>
      </c>
      <c r="M737" t="s">
        <v>31</v>
      </c>
      <c r="N737" t="s">
        <v>57</v>
      </c>
      <c r="O737" t="s">
        <v>1410</v>
      </c>
      <c r="P737">
        <v>8.9600000000000009</v>
      </c>
      <c r="Q737">
        <v>2</v>
      </c>
      <c r="R737">
        <v>0</v>
      </c>
      <c r="S737">
        <v>2.7776000000000001</v>
      </c>
      <c r="T737" t="s">
        <v>34</v>
      </c>
      <c r="U737" t="s">
        <v>114</v>
      </c>
    </row>
    <row r="738" spans="1:21" x14ac:dyDescent="0.25">
      <c r="A738" t="s">
        <v>2464</v>
      </c>
      <c r="B738" s="1">
        <v>41878</v>
      </c>
      <c r="C738" s="1">
        <v>41880</v>
      </c>
      <c r="D738" t="s">
        <v>88</v>
      </c>
      <c r="E738" t="s">
        <v>2465</v>
      </c>
      <c r="F738" t="s">
        <v>2466</v>
      </c>
      <c r="G738" t="s">
        <v>91</v>
      </c>
      <c r="H738" t="s">
        <v>26</v>
      </c>
      <c r="I738" t="s">
        <v>879</v>
      </c>
      <c r="J738" t="s">
        <v>717</v>
      </c>
      <c r="K738" t="s">
        <v>29</v>
      </c>
      <c r="L738" t="s">
        <v>1349</v>
      </c>
      <c r="M738" t="s">
        <v>31</v>
      </c>
      <c r="N738" t="s">
        <v>57</v>
      </c>
      <c r="O738" t="s">
        <v>1350</v>
      </c>
      <c r="P738">
        <v>29.12</v>
      </c>
      <c r="Q738">
        <v>4</v>
      </c>
      <c r="R738">
        <v>0</v>
      </c>
      <c r="S738">
        <v>12.521599999999999</v>
      </c>
      <c r="T738" t="s">
        <v>71</v>
      </c>
      <c r="U738" t="s">
        <v>254</v>
      </c>
    </row>
    <row r="739" spans="1:21" x14ac:dyDescent="0.25">
      <c r="A739" t="s">
        <v>2464</v>
      </c>
      <c r="B739" s="1">
        <v>41878</v>
      </c>
      <c r="C739" s="1">
        <v>41880</v>
      </c>
      <c r="D739" t="s">
        <v>88</v>
      </c>
      <c r="E739" t="s">
        <v>2465</v>
      </c>
      <c r="F739" t="s">
        <v>2466</v>
      </c>
      <c r="G739" t="s">
        <v>91</v>
      </c>
      <c r="H739" t="s">
        <v>26</v>
      </c>
      <c r="I739" t="s">
        <v>879</v>
      </c>
      <c r="J739" t="s">
        <v>717</v>
      </c>
      <c r="K739" t="s">
        <v>29</v>
      </c>
      <c r="L739" t="s">
        <v>1992</v>
      </c>
      <c r="M739" t="s">
        <v>31</v>
      </c>
      <c r="N739" t="s">
        <v>46</v>
      </c>
      <c r="O739" t="s">
        <v>1993</v>
      </c>
      <c r="P739">
        <v>1202.94</v>
      </c>
      <c r="Q739">
        <v>3</v>
      </c>
      <c r="R739">
        <v>0</v>
      </c>
      <c r="S739">
        <v>300.73500000000001</v>
      </c>
      <c r="T739" t="s">
        <v>71</v>
      </c>
      <c r="U739" t="s">
        <v>254</v>
      </c>
    </row>
    <row r="740" spans="1:21" x14ac:dyDescent="0.25">
      <c r="A740" t="s">
        <v>2467</v>
      </c>
      <c r="B740" s="1">
        <v>42187</v>
      </c>
      <c r="C740" s="1">
        <v>42191</v>
      </c>
      <c r="D740" t="s">
        <v>40</v>
      </c>
      <c r="E740" t="s">
        <v>2468</v>
      </c>
      <c r="F740" t="s">
        <v>2469</v>
      </c>
      <c r="G740" t="s">
        <v>25</v>
      </c>
      <c r="H740" t="s">
        <v>26</v>
      </c>
      <c r="I740" t="s">
        <v>2470</v>
      </c>
      <c r="J740" t="s">
        <v>135</v>
      </c>
      <c r="K740" t="s">
        <v>94</v>
      </c>
      <c r="L740" t="s">
        <v>382</v>
      </c>
      <c r="M740" t="s">
        <v>31</v>
      </c>
      <c r="N740" t="s">
        <v>37</v>
      </c>
      <c r="O740" t="s">
        <v>383</v>
      </c>
      <c r="P740">
        <v>408.42200000000003</v>
      </c>
      <c r="Q740">
        <v>2</v>
      </c>
      <c r="R740">
        <v>0.3</v>
      </c>
      <c r="S740">
        <v>-5.8346</v>
      </c>
      <c r="T740" t="s">
        <v>84</v>
      </c>
      <c r="U740" t="s">
        <v>72</v>
      </c>
    </row>
    <row r="741" spans="1:21" x14ac:dyDescent="0.25">
      <c r="A741" t="s">
        <v>2467</v>
      </c>
      <c r="B741" s="1">
        <v>42187</v>
      </c>
      <c r="C741" s="1">
        <v>42191</v>
      </c>
      <c r="D741" t="s">
        <v>40</v>
      </c>
      <c r="E741" t="s">
        <v>2468</v>
      </c>
      <c r="F741" t="s">
        <v>2469</v>
      </c>
      <c r="G741" t="s">
        <v>25</v>
      </c>
      <c r="H741" t="s">
        <v>26</v>
      </c>
      <c r="I741" t="s">
        <v>2470</v>
      </c>
      <c r="J741" t="s">
        <v>135</v>
      </c>
      <c r="K741" t="s">
        <v>94</v>
      </c>
      <c r="L741" t="s">
        <v>1618</v>
      </c>
      <c r="M741" t="s">
        <v>31</v>
      </c>
      <c r="N741" t="s">
        <v>37</v>
      </c>
      <c r="O741" t="s">
        <v>1619</v>
      </c>
      <c r="P741">
        <v>382.11599999999999</v>
      </c>
      <c r="Q741">
        <v>6</v>
      </c>
      <c r="R741">
        <v>0.3</v>
      </c>
      <c r="S741">
        <v>-92.799599999999998</v>
      </c>
      <c r="T741" t="s">
        <v>84</v>
      </c>
      <c r="U741" t="s">
        <v>72</v>
      </c>
    </row>
    <row r="742" spans="1:21" x14ac:dyDescent="0.25">
      <c r="A742" t="s">
        <v>2471</v>
      </c>
      <c r="B742" s="1">
        <v>43002</v>
      </c>
      <c r="C742" s="1">
        <v>43006</v>
      </c>
      <c r="D742" t="s">
        <v>40</v>
      </c>
      <c r="E742" t="s">
        <v>579</v>
      </c>
      <c r="F742" t="s">
        <v>580</v>
      </c>
      <c r="G742" t="s">
        <v>91</v>
      </c>
      <c r="H742" t="s">
        <v>26</v>
      </c>
      <c r="I742" t="s">
        <v>2472</v>
      </c>
      <c r="J742" t="s">
        <v>167</v>
      </c>
      <c r="K742" t="s">
        <v>94</v>
      </c>
      <c r="L742" t="s">
        <v>856</v>
      </c>
      <c r="M742" t="s">
        <v>31</v>
      </c>
      <c r="N742" t="s">
        <v>37</v>
      </c>
      <c r="O742" t="s">
        <v>857</v>
      </c>
      <c r="P742">
        <v>603.91999999999996</v>
      </c>
      <c r="Q742">
        <v>4</v>
      </c>
      <c r="R742">
        <v>0</v>
      </c>
      <c r="S742">
        <v>181.17599999999999</v>
      </c>
      <c r="T742" t="s">
        <v>84</v>
      </c>
      <c r="U742" t="s">
        <v>78</v>
      </c>
    </row>
    <row r="743" spans="1:21" x14ac:dyDescent="0.25">
      <c r="A743" t="s">
        <v>2473</v>
      </c>
      <c r="B743" s="1">
        <v>42590</v>
      </c>
      <c r="C743" s="1">
        <v>42597</v>
      </c>
      <c r="D743" t="s">
        <v>40</v>
      </c>
      <c r="E743" t="s">
        <v>2474</v>
      </c>
      <c r="F743" t="s">
        <v>2475</v>
      </c>
      <c r="G743" t="s">
        <v>101</v>
      </c>
      <c r="H743" t="s">
        <v>26</v>
      </c>
      <c r="I743" t="s">
        <v>53</v>
      </c>
      <c r="J743" t="s">
        <v>54</v>
      </c>
      <c r="K743" t="s">
        <v>55</v>
      </c>
      <c r="L743" t="s">
        <v>1078</v>
      </c>
      <c r="M743" t="s">
        <v>31</v>
      </c>
      <c r="N743" t="s">
        <v>46</v>
      </c>
      <c r="O743" t="s">
        <v>1079</v>
      </c>
      <c r="P743">
        <v>513.024</v>
      </c>
      <c r="Q743">
        <v>2</v>
      </c>
      <c r="R743">
        <v>0.2</v>
      </c>
      <c r="S743">
        <v>12.8256</v>
      </c>
      <c r="T743" t="s">
        <v>48</v>
      </c>
      <c r="U743" t="s">
        <v>254</v>
      </c>
    </row>
    <row r="744" spans="1:21" x14ac:dyDescent="0.25">
      <c r="A744" t="s">
        <v>2476</v>
      </c>
      <c r="B744" s="1">
        <v>41810</v>
      </c>
      <c r="C744" s="1">
        <v>41814</v>
      </c>
      <c r="D744" t="s">
        <v>40</v>
      </c>
      <c r="E744" t="s">
        <v>2477</v>
      </c>
      <c r="F744" t="s">
        <v>2478</v>
      </c>
      <c r="G744" t="s">
        <v>25</v>
      </c>
      <c r="H744" t="s">
        <v>26</v>
      </c>
      <c r="I744" t="s">
        <v>2479</v>
      </c>
      <c r="J744" t="s">
        <v>93</v>
      </c>
      <c r="K744" t="s">
        <v>94</v>
      </c>
      <c r="L744" t="s">
        <v>2480</v>
      </c>
      <c r="M744" t="s">
        <v>31</v>
      </c>
      <c r="N744" t="s">
        <v>32</v>
      </c>
      <c r="O744" t="s">
        <v>2481</v>
      </c>
      <c r="P744">
        <v>193.06559999999999</v>
      </c>
      <c r="Q744">
        <v>4</v>
      </c>
      <c r="R744">
        <v>0.32</v>
      </c>
      <c r="S744">
        <v>-19.874400000000001</v>
      </c>
      <c r="T744" t="s">
        <v>84</v>
      </c>
      <c r="U744" t="s">
        <v>60</v>
      </c>
    </row>
    <row r="745" spans="1:21" x14ac:dyDescent="0.25">
      <c r="A745" t="s">
        <v>2482</v>
      </c>
      <c r="B745" s="1">
        <v>42982</v>
      </c>
      <c r="C745" s="1">
        <v>42984</v>
      </c>
      <c r="D745" t="s">
        <v>88</v>
      </c>
      <c r="E745" t="s">
        <v>829</v>
      </c>
      <c r="F745" t="s">
        <v>830</v>
      </c>
      <c r="G745" t="s">
        <v>91</v>
      </c>
      <c r="H745" t="s">
        <v>26</v>
      </c>
      <c r="I745" t="s">
        <v>134</v>
      </c>
      <c r="J745" t="s">
        <v>135</v>
      </c>
      <c r="K745" t="s">
        <v>94</v>
      </c>
      <c r="L745" t="s">
        <v>2483</v>
      </c>
      <c r="M745" t="s">
        <v>31</v>
      </c>
      <c r="N745" t="s">
        <v>32</v>
      </c>
      <c r="O745" t="s">
        <v>2484</v>
      </c>
      <c r="P745">
        <v>825.17399999999998</v>
      </c>
      <c r="Q745">
        <v>9</v>
      </c>
      <c r="R745">
        <v>0.3</v>
      </c>
      <c r="S745">
        <v>-117.88200000000001</v>
      </c>
      <c r="T745" t="s">
        <v>71</v>
      </c>
      <c r="U745" t="s">
        <v>78</v>
      </c>
    </row>
    <row r="746" spans="1:21" x14ac:dyDescent="0.25">
      <c r="A746" t="s">
        <v>2485</v>
      </c>
      <c r="B746" s="1">
        <v>42177</v>
      </c>
      <c r="C746" s="1">
        <v>42180</v>
      </c>
      <c r="D746" t="s">
        <v>88</v>
      </c>
      <c r="E746" t="s">
        <v>2486</v>
      </c>
      <c r="F746" t="s">
        <v>2487</v>
      </c>
      <c r="G746" t="s">
        <v>101</v>
      </c>
      <c r="H746" t="s">
        <v>26</v>
      </c>
      <c r="I746" t="s">
        <v>180</v>
      </c>
      <c r="J746" t="s">
        <v>135</v>
      </c>
      <c r="K746" t="s">
        <v>94</v>
      </c>
      <c r="L746" t="s">
        <v>1884</v>
      </c>
      <c r="M746" t="s">
        <v>31</v>
      </c>
      <c r="N746" t="s">
        <v>46</v>
      </c>
      <c r="O746" t="s">
        <v>1885</v>
      </c>
      <c r="P746">
        <v>796.42499999999995</v>
      </c>
      <c r="Q746">
        <v>7</v>
      </c>
      <c r="R746">
        <v>0.5</v>
      </c>
      <c r="S746">
        <v>-525.64049999999997</v>
      </c>
      <c r="T746" t="s">
        <v>34</v>
      </c>
      <c r="U746" t="s">
        <v>60</v>
      </c>
    </row>
    <row r="747" spans="1:21" x14ac:dyDescent="0.25">
      <c r="A747" t="s">
        <v>2488</v>
      </c>
      <c r="B747" s="1">
        <v>42631</v>
      </c>
      <c r="C747" s="1">
        <v>42633</v>
      </c>
      <c r="D747" t="s">
        <v>88</v>
      </c>
      <c r="E747" t="s">
        <v>740</v>
      </c>
      <c r="F747" t="s">
        <v>741</v>
      </c>
      <c r="G747" t="s">
        <v>25</v>
      </c>
      <c r="H747" t="s">
        <v>26</v>
      </c>
      <c r="I747" t="s">
        <v>348</v>
      </c>
      <c r="J747" t="s">
        <v>232</v>
      </c>
      <c r="K747" t="s">
        <v>68</v>
      </c>
      <c r="L747" t="s">
        <v>1913</v>
      </c>
      <c r="M747" t="s">
        <v>31</v>
      </c>
      <c r="N747" t="s">
        <v>57</v>
      </c>
      <c r="O747" t="s">
        <v>1914</v>
      </c>
      <c r="P747">
        <v>5.3520000000000003</v>
      </c>
      <c r="Q747">
        <v>3</v>
      </c>
      <c r="R747">
        <v>0.2</v>
      </c>
      <c r="S747">
        <v>1.6055999999999999</v>
      </c>
      <c r="T747" t="s">
        <v>71</v>
      </c>
      <c r="U747" t="s">
        <v>78</v>
      </c>
    </row>
    <row r="748" spans="1:21" x14ac:dyDescent="0.25">
      <c r="A748" t="s">
        <v>2488</v>
      </c>
      <c r="B748" s="1">
        <v>42631</v>
      </c>
      <c r="C748" s="1">
        <v>42633</v>
      </c>
      <c r="D748" t="s">
        <v>88</v>
      </c>
      <c r="E748" t="s">
        <v>740</v>
      </c>
      <c r="F748" t="s">
        <v>741</v>
      </c>
      <c r="G748" t="s">
        <v>25</v>
      </c>
      <c r="H748" t="s">
        <v>26</v>
      </c>
      <c r="I748" t="s">
        <v>348</v>
      </c>
      <c r="J748" t="s">
        <v>232</v>
      </c>
      <c r="K748" t="s">
        <v>68</v>
      </c>
      <c r="L748" t="s">
        <v>591</v>
      </c>
      <c r="M748" t="s">
        <v>31</v>
      </c>
      <c r="N748" t="s">
        <v>37</v>
      </c>
      <c r="O748" t="s">
        <v>592</v>
      </c>
      <c r="P748">
        <v>99.372</v>
      </c>
      <c r="Q748">
        <v>2</v>
      </c>
      <c r="R748">
        <v>0.3</v>
      </c>
      <c r="S748">
        <v>-7.0979999999999999</v>
      </c>
      <c r="T748" t="s">
        <v>71</v>
      </c>
      <c r="U748" t="s">
        <v>78</v>
      </c>
    </row>
    <row r="749" spans="1:21" x14ac:dyDescent="0.25">
      <c r="A749" t="s">
        <v>2489</v>
      </c>
      <c r="B749" s="1">
        <v>43038</v>
      </c>
      <c r="C749" s="1">
        <v>43040</v>
      </c>
      <c r="D749" t="s">
        <v>88</v>
      </c>
      <c r="E749" t="s">
        <v>2490</v>
      </c>
      <c r="F749" t="s">
        <v>2491</v>
      </c>
      <c r="G749" t="s">
        <v>101</v>
      </c>
      <c r="H749" t="s">
        <v>26</v>
      </c>
      <c r="I749" t="s">
        <v>636</v>
      </c>
      <c r="J749" t="s">
        <v>28</v>
      </c>
      <c r="K749" t="s">
        <v>29</v>
      </c>
      <c r="L749" t="s">
        <v>1766</v>
      </c>
      <c r="M749" t="s">
        <v>31</v>
      </c>
      <c r="N749" t="s">
        <v>37</v>
      </c>
      <c r="O749" t="s">
        <v>1767</v>
      </c>
      <c r="P749">
        <v>33.94</v>
      </c>
      <c r="Q749">
        <v>1</v>
      </c>
      <c r="R749">
        <v>0</v>
      </c>
      <c r="S749">
        <v>9.1638000000000002</v>
      </c>
      <c r="T749" t="s">
        <v>71</v>
      </c>
      <c r="U749" t="s">
        <v>49</v>
      </c>
    </row>
    <row r="750" spans="1:21" x14ac:dyDescent="0.25">
      <c r="A750" t="s">
        <v>2492</v>
      </c>
      <c r="B750" s="1">
        <v>42458</v>
      </c>
      <c r="C750" s="1">
        <v>42462</v>
      </c>
      <c r="D750" t="s">
        <v>22</v>
      </c>
      <c r="E750" t="s">
        <v>1283</v>
      </c>
      <c r="F750" t="s">
        <v>1284</v>
      </c>
      <c r="G750" t="s">
        <v>101</v>
      </c>
      <c r="H750" t="s">
        <v>26</v>
      </c>
      <c r="I750" t="s">
        <v>134</v>
      </c>
      <c r="J750" t="s">
        <v>135</v>
      </c>
      <c r="K750" t="s">
        <v>94</v>
      </c>
      <c r="L750" t="s">
        <v>330</v>
      </c>
      <c r="M750" t="s">
        <v>31</v>
      </c>
      <c r="N750" t="s">
        <v>37</v>
      </c>
      <c r="O750" t="s">
        <v>331</v>
      </c>
      <c r="P750">
        <v>844.11599999999999</v>
      </c>
      <c r="Q750">
        <v>6</v>
      </c>
      <c r="R750">
        <v>0.3</v>
      </c>
      <c r="S750">
        <v>-36.176400000000001</v>
      </c>
      <c r="T750" t="s">
        <v>84</v>
      </c>
      <c r="U750" t="s">
        <v>196</v>
      </c>
    </row>
    <row r="751" spans="1:21" x14ac:dyDescent="0.25">
      <c r="A751" t="s">
        <v>2493</v>
      </c>
      <c r="B751" s="1">
        <v>42622</v>
      </c>
      <c r="C751" s="1">
        <v>42627</v>
      </c>
      <c r="D751" t="s">
        <v>22</v>
      </c>
      <c r="E751" t="s">
        <v>2302</v>
      </c>
      <c r="F751" t="s">
        <v>2303</v>
      </c>
      <c r="G751" t="s">
        <v>101</v>
      </c>
      <c r="H751" t="s">
        <v>26</v>
      </c>
      <c r="I751" t="s">
        <v>1740</v>
      </c>
      <c r="J751" t="s">
        <v>93</v>
      </c>
      <c r="K751" t="s">
        <v>94</v>
      </c>
      <c r="L751" t="s">
        <v>2127</v>
      </c>
      <c r="M751" t="s">
        <v>31</v>
      </c>
      <c r="N751" t="s">
        <v>57</v>
      </c>
      <c r="O751" t="s">
        <v>2128</v>
      </c>
      <c r="P751">
        <v>15.007999999999999</v>
      </c>
      <c r="Q751">
        <v>4</v>
      </c>
      <c r="R751">
        <v>0.6</v>
      </c>
      <c r="S751">
        <v>-12.006399999999999</v>
      </c>
      <c r="T751" t="s">
        <v>59</v>
      </c>
      <c r="U751" t="s">
        <v>78</v>
      </c>
    </row>
    <row r="752" spans="1:21" x14ac:dyDescent="0.25">
      <c r="A752" t="s">
        <v>2494</v>
      </c>
      <c r="B752" s="1">
        <v>42576</v>
      </c>
      <c r="C752" s="1">
        <v>42580</v>
      </c>
      <c r="D752" t="s">
        <v>40</v>
      </c>
      <c r="E752" t="s">
        <v>2495</v>
      </c>
      <c r="F752" t="s">
        <v>2496</v>
      </c>
      <c r="G752" t="s">
        <v>25</v>
      </c>
      <c r="H752" t="s">
        <v>26</v>
      </c>
      <c r="I752" t="s">
        <v>478</v>
      </c>
      <c r="J752" t="s">
        <v>479</v>
      </c>
      <c r="K752" t="s">
        <v>29</v>
      </c>
      <c r="L752" t="s">
        <v>436</v>
      </c>
      <c r="M752" t="s">
        <v>31</v>
      </c>
      <c r="N752" t="s">
        <v>46</v>
      </c>
      <c r="O752" t="s">
        <v>437</v>
      </c>
      <c r="P752">
        <v>2430.08</v>
      </c>
      <c r="Q752">
        <v>8</v>
      </c>
      <c r="R752">
        <v>0</v>
      </c>
      <c r="S752">
        <v>388.81279999999998</v>
      </c>
      <c r="T752" t="s">
        <v>84</v>
      </c>
      <c r="U752" t="s">
        <v>72</v>
      </c>
    </row>
    <row r="753" spans="1:21" x14ac:dyDescent="0.25">
      <c r="A753" t="s">
        <v>2497</v>
      </c>
      <c r="B753" s="1">
        <v>42348</v>
      </c>
      <c r="C753" s="1">
        <v>42354</v>
      </c>
      <c r="D753" t="s">
        <v>40</v>
      </c>
      <c r="E753" t="s">
        <v>2498</v>
      </c>
      <c r="F753" t="s">
        <v>2499</v>
      </c>
      <c r="G753" t="s">
        <v>91</v>
      </c>
      <c r="H753" t="s">
        <v>26</v>
      </c>
      <c r="I753" t="s">
        <v>478</v>
      </c>
      <c r="J753" t="s">
        <v>290</v>
      </c>
      <c r="K753" t="s">
        <v>94</v>
      </c>
      <c r="L753" t="s">
        <v>1992</v>
      </c>
      <c r="M753" t="s">
        <v>31</v>
      </c>
      <c r="N753" t="s">
        <v>46</v>
      </c>
      <c r="O753" t="s">
        <v>1993</v>
      </c>
      <c r="P753">
        <v>801.96</v>
      </c>
      <c r="Q753">
        <v>2</v>
      </c>
      <c r="R753">
        <v>0</v>
      </c>
      <c r="S753">
        <v>200.49</v>
      </c>
      <c r="T753" t="s">
        <v>130</v>
      </c>
      <c r="U753" t="s">
        <v>97</v>
      </c>
    </row>
    <row r="754" spans="1:21" x14ac:dyDescent="0.25">
      <c r="A754" t="s">
        <v>2497</v>
      </c>
      <c r="B754" s="1">
        <v>42348</v>
      </c>
      <c r="C754" s="1">
        <v>42354</v>
      </c>
      <c r="D754" t="s">
        <v>40</v>
      </c>
      <c r="E754" t="s">
        <v>2498</v>
      </c>
      <c r="F754" t="s">
        <v>2499</v>
      </c>
      <c r="G754" t="s">
        <v>91</v>
      </c>
      <c r="H754" t="s">
        <v>26</v>
      </c>
      <c r="I754" t="s">
        <v>478</v>
      </c>
      <c r="J754" t="s">
        <v>290</v>
      </c>
      <c r="K754" t="s">
        <v>94</v>
      </c>
      <c r="L754" t="s">
        <v>1280</v>
      </c>
      <c r="M754" t="s">
        <v>31</v>
      </c>
      <c r="N754" t="s">
        <v>37</v>
      </c>
      <c r="O754" t="s">
        <v>1281</v>
      </c>
      <c r="P754">
        <v>191.96</v>
      </c>
      <c r="Q754">
        <v>2</v>
      </c>
      <c r="R754">
        <v>0</v>
      </c>
      <c r="S754">
        <v>32.633200000000002</v>
      </c>
      <c r="T754" t="s">
        <v>130</v>
      </c>
      <c r="U754" t="s">
        <v>97</v>
      </c>
    </row>
    <row r="755" spans="1:21" x14ac:dyDescent="0.25">
      <c r="A755" t="s">
        <v>2500</v>
      </c>
      <c r="B755" s="1">
        <v>41891</v>
      </c>
      <c r="C755" s="1">
        <v>41896</v>
      </c>
      <c r="D755" t="s">
        <v>22</v>
      </c>
      <c r="E755" t="s">
        <v>1171</v>
      </c>
      <c r="F755" t="s">
        <v>1172</v>
      </c>
      <c r="G755" t="s">
        <v>25</v>
      </c>
      <c r="H755" t="s">
        <v>26</v>
      </c>
      <c r="I755" t="s">
        <v>66</v>
      </c>
      <c r="J755" t="s">
        <v>67</v>
      </c>
      <c r="K755" t="s">
        <v>68</v>
      </c>
      <c r="L755" t="s">
        <v>1349</v>
      </c>
      <c r="M755" t="s">
        <v>31</v>
      </c>
      <c r="N755" t="s">
        <v>57</v>
      </c>
      <c r="O755" t="s">
        <v>1350</v>
      </c>
      <c r="P755">
        <v>17.472000000000001</v>
      </c>
      <c r="Q755">
        <v>3</v>
      </c>
      <c r="R755">
        <v>0.2</v>
      </c>
      <c r="S755">
        <v>5.0232000000000001</v>
      </c>
      <c r="T755" t="s">
        <v>59</v>
      </c>
      <c r="U755" t="s">
        <v>78</v>
      </c>
    </row>
    <row r="756" spans="1:21" x14ac:dyDescent="0.25">
      <c r="A756" t="s">
        <v>2501</v>
      </c>
      <c r="B756" s="1">
        <v>41960</v>
      </c>
      <c r="C756" s="1">
        <v>41967</v>
      </c>
      <c r="D756" t="s">
        <v>40</v>
      </c>
      <c r="E756" t="s">
        <v>2502</v>
      </c>
      <c r="F756" t="s">
        <v>2503</v>
      </c>
      <c r="G756" t="s">
        <v>25</v>
      </c>
      <c r="H756" t="s">
        <v>26</v>
      </c>
      <c r="I756" t="s">
        <v>66</v>
      </c>
      <c r="J756" t="s">
        <v>67</v>
      </c>
      <c r="K756" t="s">
        <v>68</v>
      </c>
      <c r="L756" t="s">
        <v>626</v>
      </c>
      <c r="M756" t="s">
        <v>31</v>
      </c>
      <c r="N756" t="s">
        <v>37</v>
      </c>
      <c r="O756" t="s">
        <v>627</v>
      </c>
      <c r="P756">
        <v>657.93</v>
      </c>
      <c r="Q756">
        <v>5</v>
      </c>
      <c r="R756">
        <v>0.3</v>
      </c>
      <c r="S756">
        <v>-93.99</v>
      </c>
      <c r="T756" t="s">
        <v>48</v>
      </c>
      <c r="U756" t="s">
        <v>35</v>
      </c>
    </row>
    <row r="757" spans="1:21" x14ac:dyDescent="0.25">
      <c r="A757" t="s">
        <v>2504</v>
      </c>
      <c r="B757" s="1">
        <v>42968</v>
      </c>
      <c r="C757" s="1">
        <v>42974</v>
      </c>
      <c r="D757" t="s">
        <v>40</v>
      </c>
      <c r="E757" t="s">
        <v>2388</v>
      </c>
      <c r="F757" t="s">
        <v>2389</v>
      </c>
      <c r="G757" t="s">
        <v>101</v>
      </c>
      <c r="H757" t="s">
        <v>26</v>
      </c>
      <c r="I757" t="s">
        <v>158</v>
      </c>
      <c r="J757" t="s">
        <v>1090</v>
      </c>
      <c r="K757" t="s">
        <v>68</v>
      </c>
      <c r="L757" t="s">
        <v>1269</v>
      </c>
      <c r="M757" t="s">
        <v>31</v>
      </c>
      <c r="N757" t="s">
        <v>57</v>
      </c>
      <c r="O757" t="s">
        <v>1270</v>
      </c>
      <c r="P757">
        <v>25.16</v>
      </c>
      <c r="Q757">
        <v>2</v>
      </c>
      <c r="R757">
        <v>0</v>
      </c>
      <c r="S757">
        <v>8.5543999999999993</v>
      </c>
      <c r="T757" t="s">
        <v>130</v>
      </c>
      <c r="U757" t="s">
        <v>254</v>
      </c>
    </row>
    <row r="758" spans="1:21" x14ac:dyDescent="0.25">
      <c r="A758" t="s">
        <v>2504</v>
      </c>
      <c r="B758" s="1">
        <v>42968</v>
      </c>
      <c r="C758" s="1">
        <v>42974</v>
      </c>
      <c r="D758" t="s">
        <v>40</v>
      </c>
      <c r="E758" t="s">
        <v>2388</v>
      </c>
      <c r="F758" t="s">
        <v>2389</v>
      </c>
      <c r="G758" t="s">
        <v>101</v>
      </c>
      <c r="H758" t="s">
        <v>26</v>
      </c>
      <c r="I758" t="s">
        <v>158</v>
      </c>
      <c r="J758" t="s">
        <v>1090</v>
      </c>
      <c r="K758" t="s">
        <v>68</v>
      </c>
      <c r="L758" t="s">
        <v>1193</v>
      </c>
      <c r="M758" t="s">
        <v>31</v>
      </c>
      <c r="N758" t="s">
        <v>57</v>
      </c>
      <c r="O758" t="s">
        <v>1194</v>
      </c>
      <c r="P758">
        <v>91.92</v>
      </c>
      <c r="Q758">
        <v>4</v>
      </c>
      <c r="R758">
        <v>0</v>
      </c>
      <c r="S758">
        <v>31.252800000000001</v>
      </c>
      <c r="T758" t="s">
        <v>130</v>
      </c>
      <c r="U758" t="s">
        <v>254</v>
      </c>
    </row>
    <row r="759" spans="1:21" x14ac:dyDescent="0.25">
      <c r="A759" t="s">
        <v>2505</v>
      </c>
      <c r="B759" s="1">
        <v>43058</v>
      </c>
      <c r="C759" s="1">
        <v>43060</v>
      </c>
      <c r="D759" t="s">
        <v>88</v>
      </c>
      <c r="E759" t="s">
        <v>2074</v>
      </c>
      <c r="F759" t="s">
        <v>2075</v>
      </c>
      <c r="G759" t="s">
        <v>91</v>
      </c>
      <c r="H759" t="s">
        <v>26</v>
      </c>
      <c r="I759" t="s">
        <v>246</v>
      </c>
      <c r="J759" t="s">
        <v>93</v>
      </c>
      <c r="K759" t="s">
        <v>94</v>
      </c>
      <c r="L759" t="s">
        <v>1255</v>
      </c>
      <c r="M759" t="s">
        <v>31</v>
      </c>
      <c r="N759" t="s">
        <v>46</v>
      </c>
      <c r="O759" t="s">
        <v>1256</v>
      </c>
      <c r="P759">
        <v>718.11599999999999</v>
      </c>
      <c r="Q759">
        <v>6</v>
      </c>
      <c r="R759">
        <v>0.3</v>
      </c>
      <c r="S759">
        <v>-71.811599999999999</v>
      </c>
      <c r="T759" t="s">
        <v>71</v>
      </c>
      <c r="U759" t="s">
        <v>35</v>
      </c>
    </row>
    <row r="760" spans="1:21" x14ac:dyDescent="0.25">
      <c r="A760" t="s">
        <v>2506</v>
      </c>
      <c r="B760" s="1">
        <v>41896</v>
      </c>
      <c r="C760" s="1">
        <v>41901</v>
      </c>
      <c r="D760" t="s">
        <v>40</v>
      </c>
      <c r="E760" t="s">
        <v>2507</v>
      </c>
      <c r="F760" t="s">
        <v>2508</v>
      </c>
      <c r="G760" t="s">
        <v>25</v>
      </c>
      <c r="H760" t="s">
        <v>26</v>
      </c>
      <c r="I760" t="s">
        <v>2509</v>
      </c>
      <c r="J760" t="s">
        <v>668</v>
      </c>
      <c r="K760" t="s">
        <v>29</v>
      </c>
      <c r="L760" t="s">
        <v>1519</v>
      </c>
      <c r="M760" t="s">
        <v>31</v>
      </c>
      <c r="N760" t="s">
        <v>57</v>
      </c>
      <c r="O760" t="s">
        <v>1520</v>
      </c>
      <c r="P760">
        <v>142.4</v>
      </c>
      <c r="Q760">
        <v>5</v>
      </c>
      <c r="R760">
        <v>0</v>
      </c>
      <c r="S760">
        <v>52.688000000000002</v>
      </c>
      <c r="T760" t="s">
        <v>59</v>
      </c>
      <c r="U760" t="s">
        <v>78</v>
      </c>
    </row>
    <row r="761" spans="1:21" x14ac:dyDescent="0.25">
      <c r="A761" t="s">
        <v>2510</v>
      </c>
      <c r="B761" s="1">
        <v>42874</v>
      </c>
      <c r="C761" s="1">
        <v>42876</v>
      </c>
      <c r="D761" t="s">
        <v>22</v>
      </c>
      <c r="E761" t="s">
        <v>1821</v>
      </c>
      <c r="F761" t="s">
        <v>1822</v>
      </c>
      <c r="G761" t="s">
        <v>101</v>
      </c>
      <c r="H761" t="s">
        <v>26</v>
      </c>
      <c r="I761" t="s">
        <v>329</v>
      </c>
      <c r="J761" t="s">
        <v>54</v>
      </c>
      <c r="K761" t="s">
        <v>55</v>
      </c>
      <c r="L761" t="s">
        <v>591</v>
      </c>
      <c r="M761" t="s">
        <v>31</v>
      </c>
      <c r="N761" t="s">
        <v>37</v>
      </c>
      <c r="O761" t="s">
        <v>592</v>
      </c>
      <c r="P761">
        <v>681.40800000000002</v>
      </c>
      <c r="Q761">
        <v>12</v>
      </c>
      <c r="R761">
        <v>0.2</v>
      </c>
      <c r="S761">
        <v>42.588000000000001</v>
      </c>
      <c r="T761" t="s">
        <v>71</v>
      </c>
      <c r="U761" t="s">
        <v>162</v>
      </c>
    </row>
    <row r="762" spans="1:21" x14ac:dyDescent="0.25">
      <c r="A762" t="s">
        <v>2511</v>
      </c>
      <c r="B762" s="1">
        <v>42684</v>
      </c>
      <c r="C762" s="1">
        <v>42688</v>
      </c>
      <c r="D762" t="s">
        <v>40</v>
      </c>
      <c r="E762" t="s">
        <v>1241</v>
      </c>
      <c r="F762" t="s">
        <v>1242</v>
      </c>
      <c r="G762" t="s">
        <v>101</v>
      </c>
      <c r="H762" t="s">
        <v>26</v>
      </c>
      <c r="I762" t="s">
        <v>879</v>
      </c>
      <c r="J762" t="s">
        <v>232</v>
      </c>
      <c r="K762" t="s">
        <v>68</v>
      </c>
      <c r="L762" t="s">
        <v>1422</v>
      </c>
      <c r="M762" t="s">
        <v>31</v>
      </c>
      <c r="N762" t="s">
        <v>57</v>
      </c>
      <c r="O762" t="s">
        <v>1423</v>
      </c>
      <c r="P762">
        <v>148.28800000000001</v>
      </c>
      <c r="Q762">
        <v>7</v>
      </c>
      <c r="R762">
        <v>0.2</v>
      </c>
      <c r="S762">
        <v>29.657599999999999</v>
      </c>
      <c r="T762" t="s">
        <v>84</v>
      </c>
      <c r="U762" t="s">
        <v>35</v>
      </c>
    </row>
    <row r="763" spans="1:21" x14ac:dyDescent="0.25">
      <c r="A763" t="s">
        <v>2512</v>
      </c>
      <c r="B763" s="1">
        <v>42075</v>
      </c>
      <c r="C763" s="1">
        <v>42080</v>
      </c>
      <c r="D763" t="s">
        <v>40</v>
      </c>
      <c r="E763" t="s">
        <v>2382</v>
      </c>
      <c r="F763" t="s">
        <v>2383</v>
      </c>
      <c r="G763" t="s">
        <v>91</v>
      </c>
      <c r="H763" t="s">
        <v>26</v>
      </c>
      <c r="I763" t="s">
        <v>2513</v>
      </c>
      <c r="J763" t="s">
        <v>44</v>
      </c>
      <c r="K763" t="s">
        <v>29</v>
      </c>
      <c r="L763" t="s">
        <v>153</v>
      </c>
      <c r="M763" t="s">
        <v>31</v>
      </c>
      <c r="N763" t="s">
        <v>57</v>
      </c>
      <c r="O763" t="s">
        <v>154</v>
      </c>
      <c r="P763">
        <v>30.88</v>
      </c>
      <c r="Q763">
        <v>4</v>
      </c>
      <c r="R763">
        <v>0.2</v>
      </c>
      <c r="S763">
        <v>3.86</v>
      </c>
      <c r="T763" t="s">
        <v>59</v>
      </c>
      <c r="U763" t="s">
        <v>196</v>
      </c>
    </row>
    <row r="764" spans="1:21" x14ac:dyDescent="0.25">
      <c r="A764" t="s">
        <v>2512</v>
      </c>
      <c r="B764" s="1">
        <v>42075</v>
      </c>
      <c r="C764" s="1">
        <v>42080</v>
      </c>
      <c r="D764" t="s">
        <v>40</v>
      </c>
      <c r="E764" t="s">
        <v>2382</v>
      </c>
      <c r="F764" t="s">
        <v>2383</v>
      </c>
      <c r="G764" t="s">
        <v>91</v>
      </c>
      <c r="H764" t="s">
        <v>26</v>
      </c>
      <c r="I764" t="s">
        <v>2513</v>
      </c>
      <c r="J764" t="s">
        <v>44</v>
      </c>
      <c r="K764" t="s">
        <v>29</v>
      </c>
      <c r="L764" t="s">
        <v>2514</v>
      </c>
      <c r="M764" t="s">
        <v>31</v>
      </c>
      <c r="N764" t="s">
        <v>57</v>
      </c>
      <c r="O764" t="s">
        <v>2515</v>
      </c>
      <c r="P764">
        <v>6.4080000000000004</v>
      </c>
      <c r="Q764">
        <v>3</v>
      </c>
      <c r="R764">
        <v>0.2</v>
      </c>
      <c r="S764">
        <v>1.4418</v>
      </c>
      <c r="T764" t="s">
        <v>59</v>
      </c>
      <c r="U764" t="s">
        <v>196</v>
      </c>
    </row>
    <row r="765" spans="1:21" x14ac:dyDescent="0.25">
      <c r="A765" t="s">
        <v>2516</v>
      </c>
      <c r="B765" s="1">
        <v>43045</v>
      </c>
      <c r="C765" s="1">
        <v>43050</v>
      </c>
      <c r="D765" t="s">
        <v>40</v>
      </c>
      <c r="E765" t="s">
        <v>2517</v>
      </c>
      <c r="F765" t="s">
        <v>2518</v>
      </c>
      <c r="G765" t="s">
        <v>25</v>
      </c>
      <c r="H765" t="s">
        <v>26</v>
      </c>
      <c r="I765" t="s">
        <v>66</v>
      </c>
      <c r="J765" t="s">
        <v>67</v>
      </c>
      <c r="K765" t="s">
        <v>68</v>
      </c>
      <c r="L765" t="s">
        <v>1618</v>
      </c>
      <c r="M765" t="s">
        <v>31</v>
      </c>
      <c r="N765" t="s">
        <v>37</v>
      </c>
      <c r="O765" t="s">
        <v>1619</v>
      </c>
      <c r="P765">
        <v>127.372</v>
      </c>
      <c r="Q765">
        <v>2</v>
      </c>
      <c r="R765">
        <v>0.3</v>
      </c>
      <c r="S765">
        <v>-30.933199999999999</v>
      </c>
      <c r="T765" t="s">
        <v>59</v>
      </c>
      <c r="U765" t="s">
        <v>35</v>
      </c>
    </row>
    <row r="766" spans="1:21" x14ac:dyDescent="0.25">
      <c r="A766" t="s">
        <v>2519</v>
      </c>
      <c r="B766" s="1">
        <v>42343</v>
      </c>
      <c r="C766" s="1">
        <v>42347</v>
      </c>
      <c r="D766" t="s">
        <v>40</v>
      </c>
      <c r="E766" t="s">
        <v>2520</v>
      </c>
      <c r="F766" t="s">
        <v>2521</v>
      </c>
      <c r="G766" t="s">
        <v>91</v>
      </c>
      <c r="H766" t="s">
        <v>26</v>
      </c>
      <c r="I766" t="s">
        <v>640</v>
      </c>
      <c r="J766" t="s">
        <v>54</v>
      </c>
      <c r="K766" t="s">
        <v>55</v>
      </c>
      <c r="L766" t="s">
        <v>831</v>
      </c>
      <c r="M766" t="s">
        <v>31</v>
      </c>
      <c r="N766" t="s">
        <v>57</v>
      </c>
      <c r="O766" t="s">
        <v>832</v>
      </c>
      <c r="P766">
        <v>44.46</v>
      </c>
      <c r="Q766">
        <v>2</v>
      </c>
      <c r="R766">
        <v>0</v>
      </c>
      <c r="S766">
        <v>14.671799999999999</v>
      </c>
      <c r="T766" t="s">
        <v>84</v>
      </c>
      <c r="U766" t="s">
        <v>97</v>
      </c>
    </row>
    <row r="767" spans="1:21" x14ac:dyDescent="0.25">
      <c r="A767" t="s">
        <v>2522</v>
      </c>
      <c r="B767" s="1">
        <v>42194</v>
      </c>
      <c r="C767" s="1">
        <v>42199</v>
      </c>
      <c r="D767" t="s">
        <v>40</v>
      </c>
      <c r="E767" t="s">
        <v>1503</v>
      </c>
      <c r="F767" t="s">
        <v>1504</v>
      </c>
      <c r="G767" t="s">
        <v>25</v>
      </c>
      <c r="H767" t="s">
        <v>26</v>
      </c>
      <c r="I767" t="s">
        <v>2523</v>
      </c>
      <c r="J767" t="s">
        <v>1090</v>
      </c>
      <c r="K767" t="s">
        <v>68</v>
      </c>
      <c r="L767" t="s">
        <v>359</v>
      </c>
      <c r="M767" t="s">
        <v>31</v>
      </c>
      <c r="N767" t="s">
        <v>57</v>
      </c>
      <c r="O767" t="s">
        <v>360</v>
      </c>
      <c r="P767">
        <v>181.96</v>
      </c>
      <c r="Q767">
        <v>2</v>
      </c>
      <c r="R767">
        <v>0</v>
      </c>
      <c r="S767">
        <v>20.015599999999999</v>
      </c>
      <c r="T767" t="s">
        <v>59</v>
      </c>
      <c r="U767" t="s">
        <v>72</v>
      </c>
    </row>
    <row r="768" spans="1:21" x14ac:dyDescent="0.25">
      <c r="A768" t="s">
        <v>2524</v>
      </c>
      <c r="B768" s="1">
        <v>42307</v>
      </c>
      <c r="C768" s="1">
        <v>42310</v>
      </c>
      <c r="D768" t="s">
        <v>22</v>
      </c>
      <c r="E768" t="s">
        <v>1536</v>
      </c>
      <c r="F768" t="s">
        <v>1537</v>
      </c>
      <c r="G768" t="s">
        <v>91</v>
      </c>
      <c r="H768" t="s">
        <v>26</v>
      </c>
      <c r="I768" t="s">
        <v>266</v>
      </c>
      <c r="J768" t="s">
        <v>181</v>
      </c>
      <c r="K768" t="s">
        <v>55</v>
      </c>
      <c r="L768" t="s">
        <v>2525</v>
      </c>
      <c r="M768" t="s">
        <v>31</v>
      </c>
      <c r="N768" t="s">
        <v>57</v>
      </c>
      <c r="O768" t="s">
        <v>2526</v>
      </c>
      <c r="P768">
        <v>15.488</v>
      </c>
      <c r="Q768">
        <v>4</v>
      </c>
      <c r="R768">
        <v>0.2</v>
      </c>
      <c r="S768">
        <v>3.6783999999999999</v>
      </c>
      <c r="T768" t="s">
        <v>34</v>
      </c>
      <c r="U768" t="s">
        <v>49</v>
      </c>
    </row>
    <row r="769" spans="1:21" x14ac:dyDescent="0.25">
      <c r="A769" t="s">
        <v>2527</v>
      </c>
      <c r="B769" s="1">
        <v>42327</v>
      </c>
      <c r="C769" s="1">
        <v>42329</v>
      </c>
      <c r="D769" t="s">
        <v>22</v>
      </c>
      <c r="E769" t="s">
        <v>2277</v>
      </c>
      <c r="F769" t="s">
        <v>2278</v>
      </c>
      <c r="G769" t="s">
        <v>101</v>
      </c>
      <c r="H769" t="s">
        <v>26</v>
      </c>
      <c r="I769" t="s">
        <v>192</v>
      </c>
      <c r="J769" t="s">
        <v>193</v>
      </c>
      <c r="K769" t="s">
        <v>55</v>
      </c>
      <c r="L769" t="s">
        <v>2197</v>
      </c>
      <c r="M769" t="s">
        <v>31</v>
      </c>
      <c r="N769" t="s">
        <v>57</v>
      </c>
      <c r="O769" t="s">
        <v>2198</v>
      </c>
      <c r="P769">
        <v>141.96</v>
      </c>
      <c r="Q769">
        <v>2</v>
      </c>
      <c r="R769">
        <v>0</v>
      </c>
      <c r="S769">
        <v>22.7136</v>
      </c>
      <c r="T769" t="s">
        <v>71</v>
      </c>
      <c r="U769" t="s">
        <v>35</v>
      </c>
    </row>
    <row r="770" spans="1:21" x14ac:dyDescent="0.25">
      <c r="A770" t="s">
        <v>2528</v>
      </c>
      <c r="B770" s="1">
        <v>43093</v>
      </c>
      <c r="C770" s="1">
        <v>43098</v>
      </c>
      <c r="D770" t="s">
        <v>40</v>
      </c>
      <c r="E770" t="s">
        <v>1614</v>
      </c>
      <c r="F770" t="s">
        <v>1615</v>
      </c>
      <c r="G770" t="s">
        <v>91</v>
      </c>
      <c r="H770" t="s">
        <v>26</v>
      </c>
      <c r="I770" t="s">
        <v>895</v>
      </c>
      <c r="J770" t="s">
        <v>121</v>
      </c>
      <c r="K770" t="s">
        <v>68</v>
      </c>
      <c r="L770" t="s">
        <v>968</v>
      </c>
      <c r="M770" t="s">
        <v>31</v>
      </c>
      <c r="N770" t="s">
        <v>57</v>
      </c>
      <c r="O770" t="s">
        <v>969</v>
      </c>
      <c r="P770">
        <v>37.93</v>
      </c>
      <c r="Q770">
        <v>1</v>
      </c>
      <c r="R770">
        <v>0</v>
      </c>
      <c r="S770">
        <v>6.8273999999999999</v>
      </c>
      <c r="T770" t="s">
        <v>59</v>
      </c>
      <c r="U770" t="s">
        <v>97</v>
      </c>
    </row>
    <row r="771" spans="1:21" x14ac:dyDescent="0.25">
      <c r="A771" t="s">
        <v>2529</v>
      </c>
      <c r="B771" s="1">
        <v>42378</v>
      </c>
      <c r="C771" s="1">
        <v>42382</v>
      </c>
      <c r="D771" t="s">
        <v>22</v>
      </c>
      <c r="E771" t="s">
        <v>2530</v>
      </c>
      <c r="F771" t="s">
        <v>2531</v>
      </c>
      <c r="G771" t="s">
        <v>91</v>
      </c>
      <c r="H771" t="s">
        <v>26</v>
      </c>
      <c r="I771" t="s">
        <v>2532</v>
      </c>
      <c r="J771" t="s">
        <v>232</v>
      </c>
      <c r="K771" t="s">
        <v>68</v>
      </c>
      <c r="L771" t="s">
        <v>2205</v>
      </c>
      <c r="M771" t="s">
        <v>31</v>
      </c>
      <c r="N771" t="s">
        <v>57</v>
      </c>
      <c r="O771" t="s">
        <v>2206</v>
      </c>
      <c r="P771">
        <v>15.167999999999999</v>
      </c>
      <c r="Q771">
        <v>2</v>
      </c>
      <c r="R771">
        <v>0.2</v>
      </c>
      <c r="S771">
        <v>3.7919999999999998</v>
      </c>
      <c r="T771" t="s">
        <v>84</v>
      </c>
      <c r="U771" t="s">
        <v>170</v>
      </c>
    </row>
    <row r="772" spans="1:21" x14ac:dyDescent="0.25">
      <c r="A772" t="s">
        <v>2533</v>
      </c>
      <c r="B772" s="1">
        <v>41966</v>
      </c>
      <c r="C772" s="1">
        <v>41970</v>
      </c>
      <c r="D772" t="s">
        <v>40</v>
      </c>
      <c r="E772" t="s">
        <v>2088</v>
      </c>
      <c r="F772" t="s">
        <v>2089</v>
      </c>
      <c r="G772" t="s">
        <v>91</v>
      </c>
      <c r="H772" t="s">
        <v>26</v>
      </c>
      <c r="I772" t="s">
        <v>2534</v>
      </c>
      <c r="J772" t="s">
        <v>93</v>
      </c>
      <c r="K772" t="s">
        <v>94</v>
      </c>
      <c r="L772" t="s">
        <v>928</v>
      </c>
      <c r="M772" t="s">
        <v>31</v>
      </c>
      <c r="N772" t="s">
        <v>57</v>
      </c>
      <c r="O772" t="s">
        <v>317</v>
      </c>
      <c r="P772">
        <v>6.3680000000000003</v>
      </c>
      <c r="Q772">
        <v>2</v>
      </c>
      <c r="R772">
        <v>0.6</v>
      </c>
      <c r="S772">
        <v>-2.5472000000000001</v>
      </c>
      <c r="T772" t="s">
        <v>84</v>
      </c>
      <c r="U772" t="s">
        <v>35</v>
      </c>
    </row>
    <row r="773" spans="1:21" x14ac:dyDescent="0.25">
      <c r="A773" t="s">
        <v>2535</v>
      </c>
      <c r="B773" s="1">
        <v>43023</v>
      </c>
      <c r="C773" s="1">
        <v>43025</v>
      </c>
      <c r="D773" t="s">
        <v>88</v>
      </c>
      <c r="E773" t="s">
        <v>2536</v>
      </c>
      <c r="F773" t="s">
        <v>2537</v>
      </c>
      <c r="G773" t="s">
        <v>91</v>
      </c>
      <c r="H773" t="s">
        <v>26</v>
      </c>
      <c r="I773" t="s">
        <v>53</v>
      </c>
      <c r="J773" t="s">
        <v>54</v>
      </c>
      <c r="K773" t="s">
        <v>55</v>
      </c>
      <c r="L773" t="s">
        <v>305</v>
      </c>
      <c r="M773" t="s">
        <v>31</v>
      </c>
      <c r="N773" t="s">
        <v>46</v>
      </c>
      <c r="O773" t="s">
        <v>306</v>
      </c>
      <c r="P773">
        <v>510.24</v>
      </c>
      <c r="Q773">
        <v>3</v>
      </c>
      <c r="R773">
        <v>0.2</v>
      </c>
      <c r="S773">
        <v>6.3780000000000001</v>
      </c>
      <c r="T773" t="s">
        <v>71</v>
      </c>
      <c r="U773" t="s">
        <v>49</v>
      </c>
    </row>
    <row r="774" spans="1:21" x14ac:dyDescent="0.25">
      <c r="A774" t="s">
        <v>2538</v>
      </c>
      <c r="B774" s="1">
        <v>42846</v>
      </c>
      <c r="C774" s="1">
        <v>42849</v>
      </c>
      <c r="D774" t="s">
        <v>88</v>
      </c>
      <c r="E774" t="s">
        <v>1469</v>
      </c>
      <c r="F774" t="s">
        <v>1470</v>
      </c>
      <c r="G774" t="s">
        <v>25</v>
      </c>
      <c r="H774" t="s">
        <v>26</v>
      </c>
      <c r="I774" t="s">
        <v>192</v>
      </c>
      <c r="J774" t="s">
        <v>193</v>
      </c>
      <c r="K774" t="s">
        <v>55</v>
      </c>
      <c r="L774" t="s">
        <v>1018</v>
      </c>
      <c r="M774" t="s">
        <v>31</v>
      </c>
      <c r="N774" t="s">
        <v>57</v>
      </c>
      <c r="O774" t="s">
        <v>1019</v>
      </c>
      <c r="P774">
        <v>162.6</v>
      </c>
      <c r="Q774">
        <v>3</v>
      </c>
      <c r="R774">
        <v>0</v>
      </c>
      <c r="S774">
        <v>34.146000000000001</v>
      </c>
      <c r="T774" t="s">
        <v>34</v>
      </c>
      <c r="U774" t="s">
        <v>114</v>
      </c>
    </row>
    <row r="775" spans="1:21" x14ac:dyDescent="0.25">
      <c r="A775" t="s">
        <v>2539</v>
      </c>
      <c r="B775" s="1">
        <v>41981</v>
      </c>
      <c r="C775" s="1">
        <v>41983</v>
      </c>
      <c r="D775" t="s">
        <v>22</v>
      </c>
      <c r="E775" t="s">
        <v>1807</v>
      </c>
      <c r="F775" t="s">
        <v>1808</v>
      </c>
      <c r="G775" t="s">
        <v>25</v>
      </c>
      <c r="H775" t="s">
        <v>26</v>
      </c>
      <c r="I775" t="s">
        <v>971</v>
      </c>
      <c r="J775" t="s">
        <v>193</v>
      </c>
      <c r="K775" t="s">
        <v>55</v>
      </c>
      <c r="L775" t="s">
        <v>395</v>
      </c>
      <c r="M775" t="s">
        <v>31</v>
      </c>
      <c r="N775" t="s">
        <v>37</v>
      </c>
      <c r="O775" t="s">
        <v>396</v>
      </c>
      <c r="P775">
        <v>603.91999999999996</v>
      </c>
      <c r="Q775">
        <v>5</v>
      </c>
      <c r="R775">
        <v>0.2</v>
      </c>
      <c r="S775">
        <v>45.293999999999997</v>
      </c>
      <c r="T775" t="s">
        <v>71</v>
      </c>
      <c r="U775" t="s">
        <v>97</v>
      </c>
    </row>
    <row r="776" spans="1:21" x14ac:dyDescent="0.25">
      <c r="A776" t="s">
        <v>2540</v>
      </c>
      <c r="B776" s="1">
        <v>42724</v>
      </c>
      <c r="C776" s="1">
        <v>42728</v>
      </c>
      <c r="D776" t="s">
        <v>40</v>
      </c>
      <c r="E776" t="s">
        <v>2541</v>
      </c>
      <c r="F776" t="s">
        <v>2542</v>
      </c>
      <c r="G776" t="s">
        <v>101</v>
      </c>
      <c r="H776" t="s">
        <v>26</v>
      </c>
      <c r="I776" t="s">
        <v>478</v>
      </c>
      <c r="J776" t="s">
        <v>479</v>
      </c>
      <c r="K776" t="s">
        <v>29</v>
      </c>
      <c r="L776" t="s">
        <v>380</v>
      </c>
      <c r="M776" t="s">
        <v>31</v>
      </c>
      <c r="N776" t="s">
        <v>57</v>
      </c>
      <c r="O776" t="s">
        <v>381</v>
      </c>
      <c r="P776">
        <v>18.920000000000002</v>
      </c>
      <c r="Q776">
        <v>4</v>
      </c>
      <c r="R776">
        <v>0</v>
      </c>
      <c r="S776">
        <v>7.3788</v>
      </c>
      <c r="T776" t="s">
        <v>84</v>
      </c>
      <c r="U776" t="s">
        <v>97</v>
      </c>
    </row>
    <row r="777" spans="1:21" x14ac:dyDescent="0.25">
      <c r="A777" t="s">
        <v>2543</v>
      </c>
      <c r="B777" s="1">
        <v>42800</v>
      </c>
      <c r="C777" s="1">
        <v>42805</v>
      </c>
      <c r="D777" t="s">
        <v>22</v>
      </c>
      <c r="E777" t="s">
        <v>2544</v>
      </c>
      <c r="F777" t="s">
        <v>2545</v>
      </c>
      <c r="G777" t="s">
        <v>25</v>
      </c>
      <c r="H777" t="s">
        <v>26</v>
      </c>
      <c r="I777" t="s">
        <v>174</v>
      </c>
      <c r="J777" t="s">
        <v>121</v>
      </c>
      <c r="K777" t="s">
        <v>68</v>
      </c>
      <c r="L777" t="s">
        <v>1181</v>
      </c>
      <c r="M777" t="s">
        <v>31</v>
      </c>
      <c r="N777" t="s">
        <v>57</v>
      </c>
      <c r="O777" t="s">
        <v>1182</v>
      </c>
      <c r="P777">
        <v>71.97</v>
      </c>
      <c r="Q777">
        <v>3</v>
      </c>
      <c r="R777">
        <v>0</v>
      </c>
      <c r="S777">
        <v>16.553100000000001</v>
      </c>
      <c r="T777" t="s">
        <v>59</v>
      </c>
      <c r="U777" t="s">
        <v>196</v>
      </c>
    </row>
    <row r="778" spans="1:21" x14ac:dyDescent="0.25">
      <c r="A778" t="s">
        <v>2546</v>
      </c>
      <c r="B778" s="1">
        <v>42636</v>
      </c>
      <c r="C778" s="1">
        <v>42641</v>
      </c>
      <c r="D778" t="s">
        <v>22</v>
      </c>
      <c r="E778" t="s">
        <v>1050</v>
      </c>
      <c r="F778" t="s">
        <v>1051</v>
      </c>
      <c r="G778" t="s">
        <v>25</v>
      </c>
      <c r="H778" t="s">
        <v>26</v>
      </c>
      <c r="I778" t="s">
        <v>348</v>
      </c>
      <c r="J778" t="s">
        <v>668</v>
      </c>
      <c r="K778" t="s">
        <v>29</v>
      </c>
      <c r="L778" t="s">
        <v>1748</v>
      </c>
      <c r="M778" t="s">
        <v>31</v>
      </c>
      <c r="N778" t="s">
        <v>37</v>
      </c>
      <c r="O778" t="s">
        <v>1749</v>
      </c>
      <c r="P778">
        <v>368.97</v>
      </c>
      <c r="Q778">
        <v>3</v>
      </c>
      <c r="R778">
        <v>0</v>
      </c>
      <c r="S778">
        <v>81.173400000000001</v>
      </c>
      <c r="T778" t="s">
        <v>59</v>
      </c>
      <c r="U778" t="s">
        <v>78</v>
      </c>
    </row>
    <row r="779" spans="1:21" x14ac:dyDescent="0.25">
      <c r="A779" t="s">
        <v>2547</v>
      </c>
      <c r="B779" s="1">
        <v>42974</v>
      </c>
      <c r="C779" s="1">
        <v>42976</v>
      </c>
      <c r="D779" t="s">
        <v>22</v>
      </c>
      <c r="E779" t="s">
        <v>333</v>
      </c>
      <c r="F779" t="s">
        <v>334</v>
      </c>
      <c r="G779" t="s">
        <v>91</v>
      </c>
      <c r="H779" t="s">
        <v>26</v>
      </c>
      <c r="I779" t="s">
        <v>2449</v>
      </c>
      <c r="J779" t="s">
        <v>54</v>
      </c>
      <c r="K779" t="s">
        <v>55</v>
      </c>
      <c r="L779" t="s">
        <v>1401</v>
      </c>
      <c r="M779" t="s">
        <v>31</v>
      </c>
      <c r="N779" t="s">
        <v>57</v>
      </c>
      <c r="O779" t="s">
        <v>1402</v>
      </c>
      <c r="P779">
        <v>198.46</v>
      </c>
      <c r="Q779">
        <v>2</v>
      </c>
      <c r="R779">
        <v>0</v>
      </c>
      <c r="S779">
        <v>99.23</v>
      </c>
      <c r="T779" t="s">
        <v>71</v>
      </c>
      <c r="U779" t="s">
        <v>254</v>
      </c>
    </row>
    <row r="780" spans="1:21" x14ac:dyDescent="0.25">
      <c r="A780" t="s">
        <v>2547</v>
      </c>
      <c r="B780" s="1">
        <v>42974</v>
      </c>
      <c r="C780" s="1">
        <v>42976</v>
      </c>
      <c r="D780" t="s">
        <v>22</v>
      </c>
      <c r="E780" t="s">
        <v>333</v>
      </c>
      <c r="F780" t="s">
        <v>334</v>
      </c>
      <c r="G780" t="s">
        <v>91</v>
      </c>
      <c r="H780" t="s">
        <v>26</v>
      </c>
      <c r="I780" t="s">
        <v>2449</v>
      </c>
      <c r="J780" t="s">
        <v>54</v>
      </c>
      <c r="K780" t="s">
        <v>55</v>
      </c>
      <c r="L780" t="s">
        <v>467</v>
      </c>
      <c r="M780" t="s">
        <v>31</v>
      </c>
      <c r="N780" t="s">
        <v>37</v>
      </c>
      <c r="O780" t="s">
        <v>468</v>
      </c>
      <c r="P780">
        <v>230.28</v>
      </c>
      <c r="Q780">
        <v>3</v>
      </c>
      <c r="R780">
        <v>0.2</v>
      </c>
      <c r="S780">
        <v>23.027999999999999</v>
      </c>
      <c r="T780" t="s">
        <v>71</v>
      </c>
      <c r="U780" t="s">
        <v>254</v>
      </c>
    </row>
    <row r="781" spans="1:21" x14ac:dyDescent="0.25">
      <c r="A781" t="s">
        <v>2548</v>
      </c>
      <c r="B781" s="1">
        <v>42432</v>
      </c>
      <c r="C781" s="1">
        <v>42435</v>
      </c>
      <c r="D781" t="s">
        <v>88</v>
      </c>
      <c r="E781" t="s">
        <v>2309</v>
      </c>
      <c r="F781" t="s">
        <v>2310</v>
      </c>
      <c r="G781" t="s">
        <v>91</v>
      </c>
      <c r="H781" t="s">
        <v>26</v>
      </c>
      <c r="I781" t="s">
        <v>2549</v>
      </c>
      <c r="J781" t="s">
        <v>93</v>
      </c>
      <c r="K781" t="s">
        <v>94</v>
      </c>
      <c r="L781" t="s">
        <v>2550</v>
      </c>
      <c r="M781" t="s">
        <v>31</v>
      </c>
      <c r="N781" t="s">
        <v>37</v>
      </c>
      <c r="O781" t="s">
        <v>2551</v>
      </c>
      <c r="P781">
        <v>563.42999999999995</v>
      </c>
      <c r="Q781">
        <v>5</v>
      </c>
      <c r="R781">
        <v>0.3</v>
      </c>
      <c r="S781">
        <v>-56.343000000000004</v>
      </c>
      <c r="T781" t="s">
        <v>34</v>
      </c>
      <c r="U781" t="s">
        <v>196</v>
      </c>
    </row>
    <row r="782" spans="1:21" x14ac:dyDescent="0.25">
      <c r="A782" t="s">
        <v>2552</v>
      </c>
      <c r="B782" s="1">
        <v>42265</v>
      </c>
      <c r="C782" s="1">
        <v>42270</v>
      </c>
      <c r="D782" t="s">
        <v>40</v>
      </c>
      <c r="E782" t="s">
        <v>1081</v>
      </c>
      <c r="F782" t="s">
        <v>1082</v>
      </c>
      <c r="G782" t="s">
        <v>91</v>
      </c>
      <c r="H782" t="s">
        <v>26</v>
      </c>
      <c r="I782" t="s">
        <v>53</v>
      </c>
      <c r="J782" t="s">
        <v>54</v>
      </c>
      <c r="K782" t="s">
        <v>55</v>
      </c>
      <c r="L782" t="s">
        <v>1483</v>
      </c>
      <c r="M782" t="s">
        <v>31</v>
      </c>
      <c r="N782" t="s">
        <v>57</v>
      </c>
      <c r="O782" t="s">
        <v>1484</v>
      </c>
      <c r="P782">
        <v>24.4</v>
      </c>
      <c r="Q782">
        <v>2</v>
      </c>
      <c r="R782">
        <v>0</v>
      </c>
      <c r="S782">
        <v>10.247999999999999</v>
      </c>
      <c r="T782" t="s">
        <v>59</v>
      </c>
      <c r="U782" t="s">
        <v>78</v>
      </c>
    </row>
    <row r="783" spans="1:21" x14ac:dyDescent="0.25">
      <c r="A783" t="s">
        <v>2553</v>
      </c>
      <c r="B783" s="1">
        <v>42595</v>
      </c>
      <c r="C783" s="1">
        <v>42600</v>
      </c>
      <c r="D783" t="s">
        <v>22</v>
      </c>
      <c r="E783" t="s">
        <v>1727</v>
      </c>
      <c r="F783" t="s">
        <v>1728</v>
      </c>
      <c r="G783" t="s">
        <v>91</v>
      </c>
      <c r="H783" t="s">
        <v>26</v>
      </c>
      <c r="I783" t="s">
        <v>2554</v>
      </c>
      <c r="J783" t="s">
        <v>239</v>
      </c>
      <c r="K783" t="s">
        <v>94</v>
      </c>
      <c r="L783" t="s">
        <v>543</v>
      </c>
      <c r="M783" t="s">
        <v>31</v>
      </c>
      <c r="N783" t="s">
        <v>32</v>
      </c>
      <c r="O783" t="s">
        <v>544</v>
      </c>
      <c r="P783">
        <v>241.96</v>
      </c>
      <c r="Q783">
        <v>2</v>
      </c>
      <c r="R783">
        <v>0</v>
      </c>
      <c r="S783">
        <v>24.196000000000002</v>
      </c>
      <c r="T783" t="s">
        <v>59</v>
      </c>
      <c r="U783" t="s">
        <v>254</v>
      </c>
    </row>
    <row r="784" spans="1:21" x14ac:dyDescent="0.25">
      <c r="A784" t="s">
        <v>2555</v>
      </c>
      <c r="B784" s="1">
        <v>42450</v>
      </c>
      <c r="C784" s="1">
        <v>42454</v>
      </c>
      <c r="D784" t="s">
        <v>40</v>
      </c>
      <c r="E784" t="s">
        <v>2254</v>
      </c>
      <c r="F784" t="s">
        <v>2255</v>
      </c>
      <c r="G784" t="s">
        <v>91</v>
      </c>
      <c r="H784" t="s">
        <v>26</v>
      </c>
      <c r="I784" t="s">
        <v>102</v>
      </c>
      <c r="J784" t="s">
        <v>93</v>
      </c>
      <c r="K784" t="s">
        <v>94</v>
      </c>
      <c r="L784" t="s">
        <v>1568</v>
      </c>
      <c r="M784" t="s">
        <v>31</v>
      </c>
      <c r="N784" t="s">
        <v>46</v>
      </c>
      <c r="O784" t="s">
        <v>1569</v>
      </c>
      <c r="P784">
        <v>99.372</v>
      </c>
      <c r="Q784">
        <v>2</v>
      </c>
      <c r="R784">
        <v>0.3</v>
      </c>
      <c r="S784">
        <v>-1.4196</v>
      </c>
      <c r="T784" t="s">
        <v>84</v>
      </c>
      <c r="U784" t="s">
        <v>196</v>
      </c>
    </row>
    <row r="785" spans="1:21" x14ac:dyDescent="0.25">
      <c r="A785" t="s">
        <v>2556</v>
      </c>
      <c r="B785" s="1">
        <v>41989</v>
      </c>
      <c r="C785" s="1">
        <v>41993</v>
      </c>
      <c r="D785" t="s">
        <v>22</v>
      </c>
      <c r="E785" t="s">
        <v>2557</v>
      </c>
      <c r="F785" t="s">
        <v>2558</v>
      </c>
      <c r="G785" t="s">
        <v>91</v>
      </c>
      <c r="H785" t="s">
        <v>26</v>
      </c>
      <c r="I785" t="s">
        <v>2051</v>
      </c>
      <c r="J785" t="s">
        <v>44</v>
      </c>
      <c r="K785" t="s">
        <v>29</v>
      </c>
      <c r="L785" t="s">
        <v>1533</v>
      </c>
      <c r="M785" t="s">
        <v>31</v>
      </c>
      <c r="N785" t="s">
        <v>37</v>
      </c>
      <c r="O785" t="s">
        <v>1534</v>
      </c>
      <c r="P785">
        <v>1013.832</v>
      </c>
      <c r="Q785">
        <v>9</v>
      </c>
      <c r="R785">
        <v>0.2</v>
      </c>
      <c r="S785">
        <v>101.3832</v>
      </c>
      <c r="T785" t="s">
        <v>84</v>
      </c>
      <c r="U785" t="s">
        <v>97</v>
      </c>
    </row>
    <row r="786" spans="1:21" x14ac:dyDescent="0.25">
      <c r="A786" t="s">
        <v>2559</v>
      </c>
      <c r="B786" s="1">
        <v>42721</v>
      </c>
      <c r="C786" s="1">
        <v>42725</v>
      </c>
      <c r="D786" t="s">
        <v>40</v>
      </c>
      <c r="E786" t="s">
        <v>2560</v>
      </c>
      <c r="F786" t="s">
        <v>2561</v>
      </c>
      <c r="G786" t="s">
        <v>25</v>
      </c>
      <c r="H786" t="s">
        <v>26</v>
      </c>
      <c r="I786" t="s">
        <v>329</v>
      </c>
      <c r="J786" t="s">
        <v>54</v>
      </c>
      <c r="K786" t="s">
        <v>55</v>
      </c>
      <c r="L786" t="s">
        <v>613</v>
      </c>
      <c r="M786" t="s">
        <v>31</v>
      </c>
      <c r="N786" t="s">
        <v>46</v>
      </c>
      <c r="O786" t="s">
        <v>614</v>
      </c>
      <c r="P786">
        <v>2003.52</v>
      </c>
      <c r="Q786">
        <v>6</v>
      </c>
      <c r="R786">
        <v>0.2</v>
      </c>
      <c r="S786">
        <v>-325.572</v>
      </c>
      <c r="T786" t="s">
        <v>84</v>
      </c>
      <c r="U786" t="s">
        <v>97</v>
      </c>
    </row>
    <row r="787" spans="1:21" x14ac:dyDescent="0.25">
      <c r="A787" t="s">
        <v>2562</v>
      </c>
      <c r="B787" s="1">
        <v>42127</v>
      </c>
      <c r="C787" s="1">
        <v>42132</v>
      </c>
      <c r="D787" t="s">
        <v>40</v>
      </c>
      <c r="E787" t="s">
        <v>2231</v>
      </c>
      <c r="F787" t="s">
        <v>2232</v>
      </c>
      <c r="G787" t="s">
        <v>101</v>
      </c>
      <c r="H787" t="s">
        <v>26</v>
      </c>
      <c r="I787" t="s">
        <v>2563</v>
      </c>
      <c r="J787" t="s">
        <v>54</v>
      </c>
      <c r="K787" t="s">
        <v>55</v>
      </c>
      <c r="L787" t="s">
        <v>1854</v>
      </c>
      <c r="M787" t="s">
        <v>31</v>
      </c>
      <c r="N787" t="s">
        <v>57</v>
      </c>
      <c r="O787" t="s">
        <v>1855</v>
      </c>
      <c r="P787">
        <v>665.88</v>
      </c>
      <c r="Q787">
        <v>6</v>
      </c>
      <c r="R787">
        <v>0</v>
      </c>
      <c r="S787">
        <v>106.5408</v>
      </c>
      <c r="T787" t="s">
        <v>59</v>
      </c>
      <c r="U787" t="s">
        <v>162</v>
      </c>
    </row>
    <row r="788" spans="1:21" x14ac:dyDescent="0.25">
      <c r="A788" t="s">
        <v>2564</v>
      </c>
      <c r="B788" s="1">
        <v>41666</v>
      </c>
      <c r="C788" s="1">
        <v>41672</v>
      </c>
      <c r="D788" t="s">
        <v>40</v>
      </c>
      <c r="E788" t="s">
        <v>2565</v>
      </c>
      <c r="F788" t="s">
        <v>2566</v>
      </c>
      <c r="G788" t="s">
        <v>25</v>
      </c>
      <c r="H788" t="s">
        <v>26</v>
      </c>
      <c r="I788" t="s">
        <v>640</v>
      </c>
      <c r="J788" t="s">
        <v>54</v>
      </c>
      <c r="K788" t="s">
        <v>55</v>
      </c>
      <c r="L788" t="s">
        <v>2567</v>
      </c>
      <c r="M788" t="s">
        <v>31</v>
      </c>
      <c r="N788" t="s">
        <v>46</v>
      </c>
      <c r="O788" t="s">
        <v>2568</v>
      </c>
      <c r="P788">
        <v>333</v>
      </c>
      <c r="Q788">
        <v>3</v>
      </c>
      <c r="R788">
        <v>0.2</v>
      </c>
      <c r="S788">
        <v>-16.649999999999999</v>
      </c>
      <c r="T788" t="s">
        <v>130</v>
      </c>
      <c r="U788" t="s">
        <v>170</v>
      </c>
    </row>
    <row r="789" spans="1:21" x14ac:dyDescent="0.25">
      <c r="A789" t="s">
        <v>2569</v>
      </c>
      <c r="B789" s="1">
        <v>43043</v>
      </c>
      <c r="C789" s="1">
        <v>43044</v>
      </c>
      <c r="D789" t="s">
        <v>88</v>
      </c>
      <c r="E789" t="s">
        <v>352</v>
      </c>
      <c r="F789" t="s">
        <v>353</v>
      </c>
      <c r="G789" t="s">
        <v>91</v>
      </c>
      <c r="H789" t="s">
        <v>26</v>
      </c>
      <c r="I789" t="s">
        <v>2570</v>
      </c>
      <c r="J789" t="s">
        <v>1037</v>
      </c>
      <c r="K789" t="s">
        <v>29</v>
      </c>
      <c r="L789" t="s">
        <v>411</v>
      </c>
      <c r="M789" t="s">
        <v>31</v>
      </c>
      <c r="N789" t="s">
        <v>46</v>
      </c>
      <c r="O789" t="s">
        <v>412</v>
      </c>
      <c r="P789">
        <v>523.76400000000001</v>
      </c>
      <c r="Q789">
        <v>3</v>
      </c>
      <c r="R789">
        <v>0.4</v>
      </c>
      <c r="S789">
        <v>-192.04679999999999</v>
      </c>
      <c r="T789" t="s">
        <v>124</v>
      </c>
      <c r="U789" t="s">
        <v>35</v>
      </c>
    </row>
    <row r="790" spans="1:21" x14ac:dyDescent="0.25">
      <c r="A790" t="s">
        <v>2571</v>
      </c>
      <c r="B790" s="1">
        <v>42657</v>
      </c>
      <c r="C790" s="1">
        <v>42663</v>
      </c>
      <c r="D790" t="s">
        <v>40</v>
      </c>
      <c r="E790" t="s">
        <v>2572</v>
      </c>
      <c r="F790" t="s">
        <v>2573</v>
      </c>
      <c r="G790" t="s">
        <v>25</v>
      </c>
      <c r="H790" t="s">
        <v>26</v>
      </c>
      <c r="I790" t="s">
        <v>607</v>
      </c>
      <c r="J790" t="s">
        <v>1037</v>
      </c>
      <c r="K790" t="s">
        <v>29</v>
      </c>
      <c r="L790" t="s">
        <v>2574</v>
      </c>
      <c r="M790" t="s">
        <v>31</v>
      </c>
      <c r="N790" t="s">
        <v>37</v>
      </c>
      <c r="O790" t="s">
        <v>2575</v>
      </c>
      <c r="P790">
        <v>102.592</v>
      </c>
      <c r="Q790">
        <v>1</v>
      </c>
      <c r="R790">
        <v>0.2</v>
      </c>
      <c r="S790">
        <v>10.2592</v>
      </c>
      <c r="T790" t="s">
        <v>130</v>
      </c>
      <c r="U790" t="s">
        <v>49</v>
      </c>
    </row>
    <row r="791" spans="1:21" x14ac:dyDescent="0.25">
      <c r="A791" t="s">
        <v>2576</v>
      </c>
      <c r="B791" s="1">
        <v>42320</v>
      </c>
      <c r="C791" s="1">
        <v>42327</v>
      </c>
      <c r="D791" t="s">
        <v>40</v>
      </c>
      <c r="E791" t="s">
        <v>2577</v>
      </c>
      <c r="F791" t="s">
        <v>2578</v>
      </c>
      <c r="G791" t="s">
        <v>91</v>
      </c>
      <c r="H791" t="s">
        <v>26</v>
      </c>
      <c r="I791" t="s">
        <v>2513</v>
      </c>
      <c r="J791" t="s">
        <v>44</v>
      </c>
      <c r="K791" t="s">
        <v>29</v>
      </c>
      <c r="L791" t="s">
        <v>2579</v>
      </c>
      <c r="M791" t="s">
        <v>31</v>
      </c>
      <c r="N791" t="s">
        <v>37</v>
      </c>
      <c r="O791" t="s">
        <v>2580</v>
      </c>
      <c r="P791">
        <v>523.91999999999996</v>
      </c>
      <c r="Q791">
        <v>5</v>
      </c>
      <c r="R791">
        <v>0.2</v>
      </c>
      <c r="S791">
        <v>-72.039000000000001</v>
      </c>
      <c r="T791" t="s">
        <v>48</v>
      </c>
      <c r="U791" t="s">
        <v>35</v>
      </c>
    </row>
    <row r="792" spans="1:21" x14ac:dyDescent="0.25">
      <c r="A792" t="s">
        <v>2576</v>
      </c>
      <c r="B792" s="1">
        <v>42320</v>
      </c>
      <c r="C792" s="1">
        <v>42327</v>
      </c>
      <c r="D792" t="s">
        <v>40</v>
      </c>
      <c r="E792" t="s">
        <v>2577</v>
      </c>
      <c r="F792" t="s">
        <v>2578</v>
      </c>
      <c r="G792" t="s">
        <v>91</v>
      </c>
      <c r="H792" t="s">
        <v>26</v>
      </c>
      <c r="I792" t="s">
        <v>2513</v>
      </c>
      <c r="J792" t="s">
        <v>44</v>
      </c>
      <c r="K792" t="s">
        <v>29</v>
      </c>
      <c r="L792" t="s">
        <v>299</v>
      </c>
      <c r="M792" t="s">
        <v>31</v>
      </c>
      <c r="N792" t="s">
        <v>37</v>
      </c>
      <c r="O792" t="s">
        <v>300</v>
      </c>
      <c r="P792">
        <v>146.136</v>
      </c>
      <c r="Q792">
        <v>3</v>
      </c>
      <c r="R792">
        <v>0.2</v>
      </c>
      <c r="S792">
        <v>16.440300000000001</v>
      </c>
      <c r="T792" t="s">
        <v>48</v>
      </c>
      <c r="U792" t="s">
        <v>35</v>
      </c>
    </row>
    <row r="793" spans="1:21" x14ac:dyDescent="0.25">
      <c r="A793" t="s">
        <v>2581</v>
      </c>
      <c r="B793" s="1">
        <v>42262</v>
      </c>
      <c r="C793" s="1">
        <v>42266</v>
      </c>
      <c r="D793" t="s">
        <v>40</v>
      </c>
      <c r="E793" t="s">
        <v>2236</v>
      </c>
      <c r="F793" t="s">
        <v>2237</v>
      </c>
      <c r="G793" t="s">
        <v>25</v>
      </c>
      <c r="H793" t="s">
        <v>26</v>
      </c>
      <c r="I793" t="s">
        <v>2463</v>
      </c>
      <c r="J793" t="s">
        <v>1277</v>
      </c>
      <c r="K793" t="s">
        <v>29</v>
      </c>
      <c r="L793" t="s">
        <v>1992</v>
      </c>
      <c r="M793" t="s">
        <v>31</v>
      </c>
      <c r="N793" t="s">
        <v>46</v>
      </c>
      <c r="O793" t="s">
        <v>1993</v>
      </c>
      <c r="P793">
        <v>801.96</v>
      </c>
      <c r="Q793">
        <v>2</v>
      </c>
      <c r="R793">
        <v>0</v>
      </c>
      <c r="S793">
        <v>200.49</v>
      </c>
      <c r="T793" t="s">
        <v>84</v>
      </c>
      <c r="U793" t="s">
        <v>78</v>
      </c>
    </row>
    <row r="794" spans="1:21" x14ac:dyDescent="0.25">
      <c r="A794" t="s">
        <v>2581</v>
      </c>
      <c r="B794" s="1">
        <v>42262</v>
      </c>
      <c r="C794" s="1">
        <v>42266</v>
      </c>
      <c r="D794" t="s">
        <v>40</v>
      </c>
      <c r="E794" t="s">
        <v>2236</v>
      </c>
      <c r="F794" t="s">
        <v>2237</v>
      </c>
      <c r="G794" t="s">
        <v>25</v>
      </c>
      <c r="H794" t="s">
        <v>26</v>
      </c>
      <c r="I794" t="s">
        <v>2463</v>
      </c>
      <c r="J794" t="s">
        <v>1277</v>
      </c>
      <c r="K794" t="s">
        <v>29</v>
      </c>
      <c r="L794" t="s">
        <v>657</v>
      </c>
      <c r="M794" t="s">
        <v>31</v>
      </c>
      <c r="N794" t="s">
        <v>37</v>
      </c>
      <c r="O794" t="s">
        <v>658</v>
      </c>
      <c r="P794">
        <v>1056.8599999999999</v>
      </c>
      <c r="Q794">
        <v>7</v>
      </c>
      <c r="R794">
        <v>0</v>
      </c>
      <c r="S794">
        <v>306.48939999999999</v>
      </c>
      <c r="T794" t="s">
        <v>84</v>
      </c>
      <c r="U794" t="s">
        <v>78</v>
      </c>
    </row>
    <row r="795" spans="1:21" x14ac:dyDescent="0.25">
      <c r="A795" t="s">
        <v>2582</v>
      </c>
      <c r="B795" s="1">
        <v>43017</v>
      </c>
      <c r="C795" s="1">
        <v>43022</v>
      </c>
      <c r="D795" t="s">
        <v>40</v>
      </c>
      <c r="E795" t="s">
        <v>2155</v>
      </c>
      <c r="F795" t="s">
        <v>2156</v>
      </c>
      <c r="G795" t="s">
        <v>25</v>
      </c>
      <c r="H795" t="s">
        <v>26</v>
      </c>
      <c r="I795" t="s">
        <v>174</v>
      </c>
      <c r="J795" t="s">
        <v>121</v>
      </c>
      <c r="K795" t="s">
        <v>68</v>
      </c>
      <c r="L795" t="s">
        <v>1637</v>
      </c>
      <c r="M795" t="s">
        <v>31</v>
      </c>
      <c r="N795" t="s">
        <v>32</v>
      </c>
      <c r="O795" t="s">
        <v>1638</v>
      </c>
      <c r="P795">
        <v>314.35199999999998</v>
      </c>
      <c r="Q795">
        <v>3</v>
      </c>
      <c r="R795">
        <v>0.2</v>
      </c>
      <c r="S795">
        <v>-15.717599999999999</v>
      </c>
      <c r="T795" t="s">
        <v>59</v>
      </c>
      <c r="U795" t="s">
        <v>49</v>
      </c>
    </row>
    <row r="796" spans="1:21" x14ac:dyDescent="0.25">
      <c r="A796" t="s">
        <v>2583</v>
      </c>
      <c r="B796" s="1">
        <v>42862</v>
      </c>
      <c r="C796" s="1">
        <v>42866</v>
      </c>
      <c r="D796" t="s">
        <v>40</v>
      </c>
      <c r="E796" t="s">
        <v>1589</v>
      </c>
      <c r="F796" t="s">
        <v>1590</v>
      </c>
      <c r="G796" t="s">
        <v>91</v>
      </c>
      <c r="H796" t="s">
        <v>26</v>
      </c>
      <c r="I796" t="s">
        <v>289</v>
      </c>
      <c r="J796" t="s">
        <v>290</v>
      </c>
      <c r="K796" t="s">
        <v>94</v>
      </c>
      <c r="L796" t="s">
        <v>382</v>
      </c>
      <c r="M796" t="s">
        <v>31</v>
      </c>
      <c r="N796" t="s">
        <v>37</v>
      </c>
      <c r="O796" t="s">
        <v>383</v>
      </c>
      <c r="P796">
        <v>1458.65</v>
      </c>
      <c r="Q796">
        <v>5</v>
      </c>
      <c r="R796">
        <v>0</v>
      </c>
      <c r="S796">
        <v>423.00850000000003</v>
      </c>
      <c r="T796" t="s">
        <v>84</v>
      </c>
      <c r="U796" t="s">
        <v>162</v>
      </c>
    </row>
    <row r="797" spans="1:21" x14ac:dyDescent="0.25">
      <c r="A797" t="s">
        <v>2583</v>
      </c>
      <c r="B797" s="1">
        <v>42862</v>
      </c>
      <c r="C797" s="1">
        <v>42866</v>
      </c>
      <c r="D797" t="s">
        <v>40</v>
      </c>
      <c r="E797" t="s">
        <v>1589</v>
      </c>
      <c r="F797" t="s">
        <v>1590</v>
      </c>
      <c r="G797" t="s">
        <v>91</v>
      </c>
      <c r="H797" t="s">
        <v>26</v>
      </c>
      <c r="I797" t="s">
        <v>289</v>
      </c>
      <c r="J797" t="s">
        <v>290</v>
      </c>
      <c r="K797" t="s">
        <v>94</v>
      </c>
      <c r="L797" t="s">
        <v>2009</v>
      </c>
      <c r="M797" t="s">
        <v>31</v>
      </c>
      <c r="N797" t="s">
        <v>37</v>
      </c>
      <c r="O797" t="s">
        <v>2010</v>
      </c>
      <c r="P797">
        <v>26.64</v>
      </c>
      <c r="Q797">
        <v>1</v>
      </c>
      <c r="R797">
        <v>0</v>
      </c>
      <c r="S797">
        <v>7.4592000000000001</v>
      </c>
      <c r="T797" t="s">
        <v>84</v>
      </c>
      <c r="U797" t="s">
        <v>162</v>
      </c>
    </row>
    <row r="798" spans="1:21" x14ac:dyDescent="0.25">
      <c r="A798" t="s">
        <v>2583</v>
      </c>
      <c r="B798" s="1">
        <v>42862</v>
      </c>
      <c r="C798" s="1">
        <v>42866</v>
      </c>
      <c r="D798" t="s">
        <v>40</v>
      </c>
      <c r="E798" t="s">
        <v>1589</v>
      </c>
      <c r="F798" t="s">
        <v>1590</v>
      </c>
      <c r="G798" t="s">
        <v>91</v>
      </c>
      <c r="H798" t="s">
        <v>26</v>
      </c>
      <c r="I798" t="s">
        <v>289</v>
      </c>
      <c r="J798" t="s">
        <v>290</v>
      </c>
      <c r="K798" t="s">
        <v>94</v>
      </c>
      <c r="L798" t="s">
        <v>581</v>
      </c>
      <c r="M798" t="s">
        <v>31</v>
      </c>
      <c r="N798" t="s">
        <v>37</v>
      </c>
      <c r="O798" t="s">
        <v>582</v>
      </c>
      <c r="P798">
        <v>476.8</v>
      </c>
      <c r="Q798">
        <v>2</v>
      </c>
      <c r="R798">
        <v>0</v>
      </c>
      <c r="S798">
        <v>119.2</v>
      </c>
      <c r="T798" t="s">
        <v>84</v>
      </c>
      <c r="U798" t="s">
        <v>162</v>
      </c>
    </row>
    <row r="799" spans="1:21" x14ac:dyDescent="0.25">
      <c r="A799" t="s">
        <v>2584</v>
      </c>
      <c r="B799" s="1">
        <v>42322</v>
      </c>
      <c r="C799" s="1">
        <v>42327</v>
      </c>
      <c r="D799" t="s">
        <v>40</v>
      </c>
      <c r="E799" t="s">
        <v>2585</v>
      </c>
      <c r="F799" t="s">
        <v>2586</v>
      </c>
      <c r="G799" t="s">
        <v>25</v>
      </c>
      <c r="H799" t="s">
        <v>26</v>
      </c>
      <c r="I799" t="s">
        <v>742</v>
      </c>
      <c r="J799" t="s">
        <v>201</v>
      </c>
      <c r="K799" t="s">
        <v>68</v>
      </c>
      <c r="L799" t="s">
        <v>309</v>
      </c>
      <c r="M799" t="s">
        <v>31</v>
      </c>
      <c r="N799" t="s">
        <v>57</v>
      </c>
      <c r="O799" t="s">
        <v>2587</v>
      </c>
      <c r="P799">
        <v>76.14</v>
      </c>
      <c r="Q799">
        <v>3</v>
      </c>
      <c r="R799">
        <v>0</v>
      </c>
      <c r="S799">
        <v>26.649000000000001</v>
      </c>
      <c r="T799" t="s">
        <v>59</v>
      </c>
      <c r="U799" t="s">
        <v>35</v>
      </c>
    </row>
    <row r="800" spans="1:21" x14ac:dyDescent="0.25">
      <c r="A800" t="s">
        <v>2588</v>
      </c>
      <c r="B800" s="1">
        <v>41967</v>
      </c>
      <c r="C800" s="1">
        <v>41967</v>
      </c>
      <c r="D800" t="s">
        <v>426</v>
      </c>
      <c r="E800" t="s">
        <v>2589</v>
      </c>
      <c r="F800" t="s">
        <v>2590</v>
      </c>
      <c r="G800" t="s">
        <v>91</v>
      </c>
      <c r="H800" t="s">
        <v>26</v>
      </c>
      <c r="I800" t="s">
        <v>348</v>
      </c>
      <c r="J800" t="s">
        <v>232</v>
      </c>
      <c r="K800" t="s">
        <v>68</v>
      </c>
      <c r="L800" t="s">
        <v>1307</v>
      </c>
      <c r="M800" t="s">
        <v>31</v>
      </c>
      <c r="N800" t="s">
        <v>37</v>
      </c>
      <c r="O800" t="s">
        <v>1308</v>
      </c>
      <c r="P800">
        <v>611.05799999999999</v>
      </c>
      <c r="Q800">
        <v>3</v>
      </c>
      <c r="R800">
        <v>0.3</v>
      </c>
      <c r="S800">
        <v>-34.9176</v>
      </c>
      <c r="T800" t="s">
        <v>431</v>
      </c>
      <c r="U800" t="s">
        <v>35</v>
      </c>
    </row>
    <row r="801" spans="1:21" x14ac:dyDescent="0.25">
      <c r="A801" t="s">
        <v>2591</v>
      </c>
      <c r="B801" s="1">
        <v>41846</v>
      </c>
      <c r="C801" s="1">
        <v>41853</v>
      </c>
      <c r="D801" t="s">
        <v>40</v>
      </c>
      <c r="E801" t="s">
        <v>126</v>
      </c>
      <c r="F801" t="s">
        <v>127</v>
      </c>
      <c r="G801" t="s">
        <v>25</v>
      </c>
      <c r="H801" t="s">
        <v>26</v>
      </c>
      <c r="I801" t="s">
        <v>1340</v>
      </c>
      <c r="J801" t="s">
        <v>1341</v>
      </c>
      <c r="K801" t="s">
        <v>55</v>
      </c>
      <c r="L801" t="s">
        <v>406</v>
      </c>
      <c r="M801" t="s">
        <v>31</v>
      </c>
      <c r="N801" t="s">
        <v>37</v>
      </c>
      <c r="O801" t="s">
        <v>407</v>
      </c>
      <c r="P801">
        <v>674.35199999999998</v>
      </c>
      <c r="Q801">
        <v>3</v>
      </c>
      <c r="R801">
        <v>0.2</v>
      </c>
      <c r="S801">
        <v>-109.5822</v>
      </c>
      <c r="T801" t="s">
        <v>48</v>
      </c>
      <c r="U801" t="s">
        <v>72</v>
      </c>
    </row>
    <row r="802" spans="1:21" x14ac:dyDescent="0.25">
      <c r="A802" t="s">
        <v>2591</v>
      </c>
      <c r="B802" s="1">
        <v>41846</v>
      </c>
      <c r="C802" s="1">
        <v>41853</v>
      </c>
      <c r="D802" t="s">
        <v>40</v>
      </c>
      <c r="E802" t="s">
        <v>126</v>
      </c>
      <c r="F802" t="s">
        <v>127</v>
      </c>
      <c r="G802" t="s">
        <v>25</v>
      </c>
      <c r="H802" t="s">
        <v>26</v>
      </c>
      <c r="I802" t="s">
        <v>1340</v>
      </c>
      <c r="J802" t="s">
        <v>1341</v>
      </c>
      <c r="K802" t="s">
        <v>55</v>
      </c>
      <c r="L802" t="s">
        <v>1205</v>
      </c>
      <c r="M802" t="s">
        <v>31</v>
      </c>
      <c r="N802" t="s">
        <v>57</v>
      </c>
      <c r="O802" t="s">
        <v>1206</v>
      </c>
      <c r="P802">
        <v>134.01</v>
      </c>
      <c r="Q802">
        <v>9</v>
      </c>
      <c r="R802">
        <v>0</v>
      </c>
      <c r="S802">
        <v>36.182699999999997</v>
      </c>
      <c r="T802" t="s">
        <v>48</v>
      </c>
      <c r="U802" t="s">
        <v>72</v>
      </c>
    </row>
    <row r="803" spans="1:21" x14ac:dyDescent="0.25">
      <c r="A803" t="s">
        <v>2592</v>
      </c>
      <c r="B803" s="1">
        <v>41798</v>
      </c>
      <c r="C803" s="1">
        <v>41802</v>
      </c>
      <c r="D803" t="s">
        <v>40</v>
      </c>
      <c r="E803" t="s">
        <v>2593</v>
      </c>
      <c r="F803" t="s">
        <v>2594</v>
      </c>
      <c r="G803" t="s">
        <v>91</v>
      </c>
      <c r="H803" t="s">
        <v>26</v>
      </c>
      <c r="I803" t="s">
        <v>2406</v>
      </c>
      <c r="J803" t="s">
        <v>142</v>
      </c>
      <c r="K803" t="s">
        <v>29</v>
      </c>
      <c r="L803" t="s">
        <v>591</v>
      </c>
      <c r="M803" t="s">
        <v>31</v>
      </c>
      <c r="N803" t="s">
        <v>37</v>
      </c>
      <c r="O803" t="s">
        <v>592</v>
      </c>
      <c r="P803">
        <v>170.352</v>
      </c>
      <c r="Q803">
        <v>3</v>
      </c>
      <c r="R803">
        <v>0.2</v>
      </c>
      <c r="S803">
        <v>10.647</v>
      </c>
      <c r="T803" t="s">
        <v>84</v>
      </c>
      <c r="U803" t="s">
        <v>60</v>
      </c>
    </row>
    <row r="804" spans="1:21" x14ac:dyDescent="0.25">
      <c r="A804" t="s">
        <v>2595</v>
      </c>
      <c r="B804" s="1">
        <v>41940</v>
      </c>
      <c r="C804" s="1">
        <v>41943</v>
      </c>
      <c r="D804" t="s">
        <v>88</v>
      </c>
      <c r="E804" t="s">
        <v>1318</v>
      </c>
      <c r="F804" t="s">
        <v>1319</v>
      </c>
      <c r="G804" t="s">
        <v>91</v>
      </c>
      <c r="H804" t="s">
        <v>26</v>
      </c>
      <c r="I804" t="s">
        <v>53</v>
      </c>
      <c r="J804" t="s">
        <v>54</v>
      </c>
      <c r="K804" t="s">
        <v>55</v>
      </c>
      <c r="L804" t="s">
        <v>543</v>
      </c>
      <c r="M804" t="s">
        <v>31</v>
      </c>
      <c r="N804" t="s">
        <v>32</v>
      </c>
      <c r="O804" t="s">
        <v>544</v>
      </c>
      <c r="P804">
        <v>616.99800000000005</v>
      </c>
      <c r="Q804">
        <v>6</v>
      </c>
      <c r="R804">
        <v>0.15</v>
      </c>
      <c r="S804">
        <v>-36.293999999999997</v>
      </c>
      <c r="T804" t="s">
        <v>34</v>
      </c>
      <c r="U804" t="s">
        <v>49</v>
      </c>
    </row>
    <row r="805" spans="1:21" x14ac:dyDescent="0.25">
      <c r="A805" t="s">
        <v>2596</v>
      </c>
      <c r="B805" s="1">
        <v>42268</v>
      </c>
      <c r="C805" s="1">
        <v>42268</v>
      </c>
      <c r="D805" t="s">
        <v>426</v>
      </c>
      <c r="E805" t="s">
        <v>2597</v>
      </c>
      <c r="F805" t="s">
        <v>2598</v>
      </c>
      <c r="G805" t="s">
        <v>101</v>
      </c>
      <c r="H805" t="s">
        <v>26</v>
      </c>
      <c r="I805" t="s">
        <v>2399</v>
      </c>
      <c r="J805" t="s">
        <v>435</v>
      </c>
      <c r="K805" t="s">
        <v>68</v>
      </c>
      <c r="L805" t="s">
        <v>182</v>
      </c>
      <c r="M805" t="s">
        <v>31</v>
      </c>
      <c r="N805" t="s">
        <v>57</v>
      </c>
      <c r="O805" t="s">
        <v>183</v>
      </c>
      <c r="P805">
        <v>85.3</v>
      </c>
      <c r="Q805">
        <v>2</v>
      </c>
      <c r="R805">
        <v>0</v>
      </c>
      <c r="S805">
        <v>14.500999999999999</v>
      </c>
      <c r="T805" t="s">
        <v>431</v>
      </c>
      <c r="U805" t="s">
        <v>78</v>
      </c>
    </row>
    <row r="806" spans="1:21" x14ac:dyDescent="0.25">
      <c r="A806" t="s">
        <v>2599</v>
      </c>
      <c r="B806" s="1">
        <v>42892</v>
      </c>
      <c r="C806" s="1">
        <v>42896</v>
      </c>
      <c r="D806" t="s">
        <v>40</v>
      </c>
      <c r="E806" t="s">
        <v>2600</v>
      </c>
      <c r="F806" t="s">
        <v>2601</v>
      </c>
      <c r="G806" t="s">
        <v>101</v>
      </c>
      <c r="H806" t="s">
        <v>26</v>
      </c>
      <c r="I806" t="s">
        <v>329</v>
      </c>
      <c r="J806" t="s">
        <v>54</v>
      </c>
      <c r="K806" t="s">
        <v>55</v>
      </c>
      <c r="L806" t="s">
        <v>2602</v>
      </c>
      <c r="M806" t="s">
        <v>31</v>
      </c>
      <c r="N806" t="s">
        <v>57</v>
      </c>
      <c r="O806" t="s">
        <v>2603</v>
      </c>
      <c r="P806">
        <v>4.95</v>
      </c>
      <c r="Q806">
        <v>1</v>
      </c>
      <c r="R806">
        <v>0</v>
      </c>
      <c r="S806">
        <v>2.1779999999999999</v>
      </c>
      <c r="T806" t="s">
        <v>84</v>
      </c>
      <c r="U806" t="s">
        <v>60</v>
      </c>
    </row>
    <row r="807" spans="1:21" x14ac:dyDescent="0.25">
      <c r="A807" t="s">
        <v>2604</v>
      </c>
      <c r="B807" s="1">
        <v>42783</v>
      </c>
      <c r="C807" s="1">
        <v>42788</v>
      </c>
      <c r="D807" t="s">
        <v>40</v>
      </c>
      <c r="E807" t="s">
        <v>1238</v>
      </c>
      <c r="F807" t="s">
        <v>1239</v>
      </c>
      <c r="G807" t="s">
        <v>101</v>
      </c>
      <c r="H807" t="s">
        <v>26</v>
      </c>
      <c r="I807" t="s">
        <v>134</v>
      </c>
      <c r="J807" t="s">
        <v>135</v>
      </c>
      <c r="K807" t="s">
        <v>94</v>
      </c>
      <c r="L807" t="s">
        <v>1078</v>
      </c>
      <c r="M807" t="s">
        <v>31</v>
      </c>
      <c r="N807" t="s">
        <v>46</v>
      </c>
      <c r="O807" t="s">
        <v>1079</v>
      </c>
      <c r="P807">
        <v>480.96</v>
      </c>
      <c r="Q807">
        <v>3</v>
      </c>
      <c r="R807">
        <v>0.5</v>
      </c>
      <c r="S807">
        <v>-269.33760000000001</v>
      </c>
      <c r="T807" t="s">
        <v>59</v>
      </c>
      <c r="U807" t="s">
        <v>298</v>
      </c>
    </row>
    <row r="808" spans="1:21" x14ac:dyDescent="0.25">
      <c r="A808" t="s">
        <v>2605</v>
      </c>
      <c r="B808" s="1">
        <v>42336</v>
      </c>
      <c r="C808" s="1">
        <v>42341</v>
      </c>
      <c r="D808" t="s">
        <v>40</v>
      </c>
      <c r="E808" t="s">
        <v>222</v>
      </c>
      <c r="F808" t="s">
        <v>223</v>
      </c>
      <c r="G808" t="s">
        <v>25</v>
      </c>
      <c r="H808" t="s">
        <v>26</v>
      </c>
      <c r="I808" t="s">
        <v>2606</v>
      </c>
      <c r="J808" t="s">
        <v>135</v>
      </c>
      <c r="K808" t="s">
        <v>94</v>
      </c>
      <c r="L808" t="s">
        <v>2607</v>
      </c>
      <c r="M808" t="s">
        <v>31</v>
      </c>
      <c r="N808" t="s">
        <v>57</v>
      </c>
      <c r="O808" t="s">
        <v>2608</v>
      </c>
      <c r="P808">
        <v>151.96</v>
      </c>
      <c r="Q808">
        <v>5</v>
      </c>
      <c r="R808">
        <v>0.6</v>
      </c>
      <c r="S808">
        <v>-182.352</v>
      </c>
      <c r="T808" t="s">
        <v>59</v>
      </c>
      <c r="U808" t="s">
        <v>35</v>
      </c>
    </row>
    <row r="809" spans="1:21" x14ac:dyDescent="0.25">
      <c r="A809" t="s">
        <v>2609</v>
      </c>
      <c r="B809" s="1">
        <v>42300</v>
      </c>
      <c r="C809" s="1">
        <v>42304</v>
      </c>
      <c r="D809" t="s">
        <v>22</v>
      </c>
      <c r="E809" t="s">
        <v>2610</v>
      </c>
      <c r="F809" t="s">
        <v>2611</v>
      </c>
      <c r="G809" t="s">
        <v>25</v>
      </c>
      <c r="H809" t="s">
        <v>26</v>
      </c>
      <c r="I809" t="s">
        <v>640</v>
      </c>
      <c r="J809" t="s">
        <v>54</v>
      </c>
      <c r="K809" t="s">
        <v>55</v>
      </c>
      <c r="L809" t="s">
        <v>2335</v>
      </c>
      <c r="M809" t="s">
        <v>31</v>
      </c>
      <c r="N809" t="s">
        <v>37</v>
      </c>
      <c r="O809" t="s">
        <v>2336</v>
      </c>
      <c r="P809">
        <v>240.78399999999999</v>
      </c>
      <c r="Q809">
        <v>1</v>
      </c>
      <c r="R809">
        <v>0.2</v>
      </c>
      <c r="S809">
        <v>27.088200000000001</v>
      </c>
      <c r="T809" t="s">
        <v>84</v>
      </c>
      <c r="U809" t="s">
        <v>49</v>
      </c>
    </row>
    <row r="810" spans="1:21" x14ac:dyDescent="0.25">
      <c r="A810" t="s">
        <v>2609</v>
      </c>
      <c r="B810" s="1">
        <v>42300</v>
      </c>
      <c r="C810" s="1">
        <v>42304</v>
      </c>
      <c r="D810" t="s">
        <v>22</v>
      </c>
      <c r="E810" t="s">
        <v>2610</v>
      </c>
      <c r="F810" t="s">
        <v>2611</v>
      </c>
      <c r="G810" t="s">
        <v>25</v>
      </c>
      <c r="H810" t="s">
        <v>26</v>
      </c>
      <c r="I810" t="s">
        <v>640</v>
      </c>
      <c r="J810" t="s">
        <v>54</v>
      </c>
      <c r="K810" t="s">
        <v>55</v>
      </c>
      <c r="L810" t="s">
        <v>1103</v>
      </c>
      <c r="M810" t="s">
        <v>31</v>
      </c>
      <c r="N810" t="s">
        <v>37</v>
      </c>
      <c r="O810" t="s">
        <v>1104</v>
      </c>
      <c r="P810">
        <v>191.96799999999999</v>
      </c>
      <c r="Q810">
        <v>7</v>
      </c>
      <c r="R810">
        <v>0.2</v>
      </c>
      <c r="S810">
        <v>16.7972</v>
      </c>
      <c r="T810" t="s">
        <v>84</v>
      </c>
      <c r="U810" t="s">
        <v>49</v>
      </c>
    </row>
    <row r="811" spans="1:21" x14ac:dyDescent="0.25">
      <c r="A811" t="s">
        <v>2609</v>
      </c>
      <c r="B811" s="1">
        <v>42300</v>
      </c>
      <c r="C811" s="1">
        <v>42304</v>
      </c>
      <c r="D811" t="s">
        <v>22</v>
      </c>
      <c r="E811" t="s">
        <v>2610</v>
      </c>
      <c r="F811" t="s">
        <v>2611</v>
      </c>
      <c r="G811" t="s">
        <v>25</v>
      </c>
      <c r="H811" t="s">
        <v>26</v>
      </c>
      <c r="I811" t="s">
        <v>640</v>
      </c>
      <c r="J811" t="s">
        <v>54</v>
      </c>
      <c r="K811" t="s">
        <v>55</v>
      </c>
      <c r="L811" t="s">
        <v>1487</v>
      </c>
      <c r="M811" t="s">
        <v>31</v>
      </c>
      <c r="N811" t="s">
        <v>37</v>
      </c>
      <c r="O811" t="s">
        <v>1488</v>
      </c>
      <c r="P811">
        <v>842.35199999999998</v>
      </c>
      <c r="Q811">
        <v>3</v>
      </c>
      <c r="R811">
        <v>0.2</v>
      </c>
      <c r="S811">
        <v>42.117600000000003</v>
      </c>
      <c r="T811" t="s">
        <v>84</v>
      </c>
      <c r="U811" t="s">
        <v>49</v>
      </c>
    </row>
    <row r="812" spans="1:21" x14ac:dyDescent="0.25">
      <c r="A812" t="s">
        <v>2612</v>
      </c>
      <c r="B812" s="1">
        <v>42170</v>
      </c>
      <c r="C812" s="1">
        <v>42175</v>
      </c>
      <c r="D812" t="s">
        <v>40</v>
      </c>
      <c r="E812" t="s">
        <v>2613</v>
      </c>
      <c r="F812" t="s">
        <v>2614</v>
      </c>
      <c r="G812" t="s">
        <v>25</v>
      </c>
      <c r="H812" t="s">
        <v>26</v>
      </c>
      <c r="I812" t="s">
        <v>2034</v>
      </c>
      <c r="J812" t="s">
        <v>521</v>
      </c>
      <c r="K812" t="s">
        <v>55</v>
      </c>
      <c r="L812" t="s">
        <v>2607</v>
      </c>
      <c r="M812" t="s">
        <v>31</v>
      </c>
      <c r="N812" t="s">
        <v>57</v>
      </c>
      <c r="O812" t="s">
        <v>2608</v>
      </c>
      <c r="P812">
        <v>364.70400000000001</v>
      </c>
      <c r="Q812">
        <v>6</v>
      </c>
      <c r="R812">
        <v>0.2</v>
      </c>
      <c r="S812">
        <v>-36.470399999999998</v>
      </c>
      <c r="T812" t="s">
        <v>59</v>
      </c>
      <c r="U812" t="s">
        <v>60</v>
      </c>
    </row>
    <row r="813" spans="1:21" x14ac:dyDescent="0.25">
      <c r="A813" t="s">
        <v>2612</v>
      </c>
      <c r="B813" s="1">
        <v>42170</v>
      </c>
      <c r="C813" s="1">
        <v>42175</v>
      </c>
      <c r="D813" t="s">
        <v>40</v>
      </c>
      <c r="E813" t="s">
        <v>2613</v>
      </c>
      <c r="F813" t="s">
        <v>2614</v>
      </c>
      <c r="G813" t="s">
        <v>25</v>
      </c>
      <c r="H813" t="s">
        <v>26</v>
      </c>
      <c r="I813" t="s">
        <v>2034</v>
      </c>
      <c r="J813" t="s">
        <v>521</v>
      </c>
      <c r="K813" t="s">
        <v>55</v>
      </c>
      <c r="L813" t="s">
        <v>2615</v>
      </c>
      <c r="M813" t="s">
        <v>31</v>
      </c>
      <c r="N813" t="s">
        <v>57</v>
      </c>
      <c r="O813" t="s">
        <v>2616</v>
      </c>
      <c r="P813">
        <v>40.256</v>
      </c>
      <c r="Q813">
        <v>4</v>
      </c>
      <c r="R813">
        <v>0.2</v>
      </c>
      <c r="S813">
        <v>11.070399999999999</v>
      </c>
      <c r="T813" t="s">
        <v>59</v>
      </c>
      <c r="U813" t="s">
        <v>60</v>
      </c>
    </row>
    <row r="814" spans="1:21" x14ac:dyDescent="0.25">
      <c r="A814" t="s">
        <v>2617</v>
      </c>
      <c r="B814" s="1">
        <v>42698</v>
      </c>
      <c r="C814" s="1">
        <v>42704</v>
      </c>
      <c r="D814" t="s">
        <v>40</v>
      </c>
      <c r="E814" t="s">
        <v>2618</v>
      </c>
      <c r="F814" t="s">
        <v>2619</v>
      </c>
      <c r="G814" t="s">
        <v>91</v>
      </c>
      <c r="H814" t="s">
        <v>26</v>
      </c>
      <c r="I814" t="s">
        <v>53</v>
      </c>
      <c r="J814" t="s">
        <v>54</v>
      </c>
      <c r="K814" t="s">
        <v>55</v>
      </c>
      <c r="L814" t="s">
        <v>852</v>
      </c>
      <c r="M814" t="s">
        <v>31</v>
      </c>
      <c r="N814" t="s">
        <v>37</v>
      </c>
      <c r="O814" t="s">
        <v>853</v>
      </c>
      <c r="P814">
        <v>1684.752</v>
      </c>
      <c r="Q814">
        <v>6</v>
      </c>
      <c r="R814">
        <v>0.2</v>
      </c>
      <c r="S814">
        <v>210.59399999999999</v>
      </c>
      <c r="T814" t="s">
        <v>130</v>
      </c>
      <c r="U814" t="s">
        <v>35</v>
      </c>
    </row>
    <row r="815" spans="1:21" x14ac:dyDescent="0.25">
      <c r="A815" t="s">
        <v>2620</v>
      </c>
      <c r="B815" s="1">
        <v>42099</v>
      </c>
      <c r="C815" s="1">
        <v>42104</v>
      </c>
      <c r="D815" t="s">
        <v>40</v>
      </c>
      <c r="E815" t="s">
        <v>2621</v>
      </c>
      <c r="F815" t="s">
        <v>2622</v>
      </c>
      <c r="G815" t="s">
        <v>101</v>
      </c>
      <c r="H815" t="s">
        <v>26</v>
      </c>
      <c r="I815" t="s">
        <v>66</v>
      </c>
      <c r="J815" t="s">
        <v>67</v>
      </c>
      <c r="K815" t="s">
        <v>68</v>
      </c>
      <c r="L815" t="s">
        <v>1832</v>
      </c>
      <c r="M815" t="s">
        <v>31</v>
      </c>
      <c r="N815" t="s">
        <v>57</v>
      </c>
      <c r="O815" t="s">
        <v>1833</v>
      </c>
      <c r="P815">
        <v>547.13599999999997</v>
      </c>
      <c r="Q815">
        <v>4</v>
      </c>
      <c r="R815">
        <v>0.2</v>
      </c>
      <c r="S815">
        <v>-68.391999999999996</v>
      </c>
      <c r="T815" t="s">
        <v>59</v>
      </c>
      <c r="U815" t="s">
        <v>114</v>
      </c>
    </row>
    <row r="816" spans="1:21" x14ac:dyDescent="0.25">
      <c r="A816" t="s">
        <v>2620</v>
      </c>
      <c r="B816" s="1">
        <v>42099</v>
      </c>
      <c r="C816" s="1">
        <v>42104</v>
      </c>
      <c r="D816" t="s">
        <v>40</v>
      </c>
      <c r="E816" t="s">
        <v>2621</v>
      </c>
      <c r="F816" t="s">
        <v>2622</v>
      </c>
      <c r="G816" t="s">
        <v>101</v>
      </c>
      <c r="H816" t="s">
        <v>26</v>
      </c>
      <c r="I816" t="s">
        <v>66</v>
      </c>
      <c r="J816" t="s">
        <v>67</v>
      </c>
      <c r="K816" t="s">
        <v>68</v>
      </c>
      <c r="L816" t="s">
        <v>1596</v>
      </c>
      <c r="M816" t="s">
        <v>31</v>
      </c>
      <c r="N816" t="s">
        <v>57</v>
      </c>
      <c r="O816" t="s">
        <v>1597</v>
      </c>
      <c r="P816">
        <v>7.5839999999999996</v>
      </c>
      <c r="Q816">
        <v>1</v>
      </c>
      <c r="R816">
        <v>0.2</v>
      </c>
      <c r="S816">
        <v>2.37</v>
      </c>
      <c r="T816" t="s">
        <v>59</v>
      </c>
      <c r="U816" t="s">
        <v>114</v>
      </c>
    </row>
    <row r="817" spans="1:21" x14ac:dyDescent="0.25">
      <c r="A817" t="s">
        <v>2620</v>
      </c>
      <c r="B817" s="1">
        <v>42099</v>
      </c>
      <c r="C817" s="1">
        <v>42104</v>
      </c>
      <c r="D817" t="s">
        <v>40</v>
      </c>
      <c r="E817" t="s">
        <v>2621</v>
      </c>
      <c r="F817" t="s">
        <v>2622</v>
      </c>
      <c r="G817" t="s">
        <v>101</v>
      </c>
      <c r="H817" t="s">
        <v>26</v>
      </c>
      <c r="I817" t="s">
        <v>66</v>
      </c>
      <c r="J817" t="s">
        <v>67</v>
      </c>
      <c r="K817" t="s">
        <v>68</v>
      </c>
      <c r="L817" t="s">
        <v>2623</v>
      </c>
      <c r="M817" t="s">
        <v>31</v>
      </c>
      <c r="N817" t="s">
        <v>32</v>
      </c>
      <c r="O817" t="s">
        <v>2624</v>
      </c>
      <c r="P817">
        <v>352.45</v>
      </c>
      <c r="Q817">
        <v>5</v>
      </c>
      <c r="R817">
        <v>0.5</v>
      </c>
      <c r="S817">
        <v>-211.47</v>
      </c>
      <c r="T817" t="s">
        <v>59</v>
      </c>
      <c r="U817" t="s">
        <v>114</v>
      </c>
    </row>
    <row r="818" spans="1:21" x14ac:dyDescent="0.25">
      <c r="A818" t="s">
        <v>2625</v>
      </c>
      <c r="B818" s="1">
        <v>42996</v>
      </c>
      <c r="C818" s="1">
        <v>43003</v>
      </c>
      <c r="D818" t="s">
        <v>40</v>
      </c>
      <c r="E818" t="s">
        <v>2626</v>
      </c>
      <c r="F818" t="s">
        <v>2627</v>
      </c>
      <c r="G818" t="s">
        <v>91</v>
      </c>
      <c r="H818" t="s">
        <v>26</v>
      </c>
      <c r="I818" t="s">
        <v>174</v>
      </c>
      <c r="J818" t="s">
        <v>121</v>
      </c>
      <c r="K818" t="s">
        <v>68</v>
      </c>
      <c r="L818" t="s">
        <v>1100</v>
      </c>
      <c r="M818" t="s">
        <v>31</v>
      </c>
      <c r="N818" t="s">
        <v>57</v>
      </c>
      <c r="O818" t="s">
        <v>1101</v>
      </c>
      <c r="P818">
        <v>9.82</v>
      </c>
      <c r="Q818">
        <v>2</v>
      </c>
      <c r="R818">
        <v>0</v>
      </c>
      <c r="S818">
        <v>3.2406000000000001</v>
      </c>
      <c r="T818" t="s">
        <v>48</v>
      </c>
      <c r="U818" t="s">
        <v>78</v>
      </c>
    </row>
    <row r="819" spans="1:21" x14ac:dyDescent="0.25">
      <c r="A819" t="s">
        <v>2628</v>
      </c>
      <c r="B819" s="1">
        <v>42934</v>
      </c>
      <c r="C819" s="1">
        <v>42939</v>
      </c>
      <c r="D819" t="s">
        <v>40</v>
      </c>
      <c r="E819" t="s">
        <v>2517</v>
      </c>
      <c r="F819" t="s">
        <v>2518</v>
      </c>
      <c r="G819" t="s">
        <v>25</v>
      </c>
      <c r="H819" t="s">
        <v>26</v>
      </c>
      <c r="I819" t="s">
        <v>520</v>
      </c>
      <c r="J819" t="s">
        <v>521</v>
      </c>
      <c r="K819" t="s">
        <v>55</v>
      </c>
      <c r="L819" t="s">
        <v>1078</v>
      </c>
      <c r="M819" t="s">
        <v>31</v>
      </c>
      <c r="N819" t="s">
        <v>46</v>
      </c>
      <c r="O819" t="s">
        <v>1079</v>
      </c>
      <c r="P819">
        <v>801.6</v>
      </c>
      <c r="Q819">
        <v>5</v>
      </c>
      <c r="R819">
        <v>0.5</v>
      </c>
      <c r="S819">
        <v>-448.89600000000002</v>
      </c>
      <c r="T819" t="s">
        <v>59</v>
      </c>
      <c r="U819" t="s">
        <v>72</v>
      </c>
    </row>
    <row r="820" spans="1:21" x14ac:dyDescent="0.25">
      <c r="A820" t="s">
        <v>2628</v>
      </c>
      <c r="B820" s="1">
        <v>42934</v>
      </c>
      <c r="C820" s="1">
        <v>42939</v>
      </c>
      <c r="D820" t="s">
        <v>40</v>
      </c>
      <c r="E820" t="s">
        <v>2517</v>
      </c>
      <c r="F820" t="s">
        <v>2518</v>
      </c>
      <c r="G820" t="s">
        <v>25</v>
      </c>
      <c r="H820" t="s">
        <v>26</v>
      </c>
      <c r="I820" t="s">
        <v>520</v>
      </c>
      <c r="J820" t="s">
        <v>521</v>
      </c>
      <c r="K820" t="s">
        <v>55</v>
      </c>
      <c r="L820" t="s">
        <v>105</v>
      </c>
      <c r="M820" t="s">
        <v>31</v>
      </c>
      <c r="N820" t="s">
        <v>37</v>
      </c>
      <c r="O820" t="s">
        <v>106</v>
      </c>
      <c r="P820">
        <v>161.56800000000001</v>
      </c>
      <c r="Q820">
        <v>2</v>
      </c>
      <c r="R820">
        <v>0.2</v>
      </c>
      <c r="S820">
        <v>10.098000000000001</v>
      </c>
      <c r="T820" t="s">
        <v>59</v>
      </c>
      <c r="U820" t="s">
        <v>72</v>
      </c>
    </row>
    <row r="821" spans="1:21" x14ac:dyDescent="0.25">
      <c r="A821" t="s">
        <v>2628</v>
      </c>
      <c r="B821" s="1">
        <v>42934</v>
      </c>
      <c r="C821" s="1">
        <v>42939</v>
      </c>
      <c r="D821" t="s">
        <v>40</v>
      </c>
      <c r="E821" t="s">
        <v>2517</v>
      </c>
      <c r="F821" t="s">
        <v>2518</v>
      </c>
      <c r="G821" t="s">
        <v>25</v>
      </c>
      <c r="H821" t="s">
        <v>26</v>
      </c>
      <c r="I821" t="s">
        <v>520</v>
      </c>
      <c r="J821" t="s">
        <v>521</v>
      </c>
      <c r="K821" t="s">
        <v>55</v>
      </c>
      <c r="L821" t="s">
        <v>143</v>
      </c>
      <c r="M821" t="s">
        <v>31</v>
      </c>
      <c r="N821" t="s">
        <v>37</v>
      </c>
      <c r="O821" t="s">
        <v>144</v>
      </c>
      <c r="P821">
        <v>311.976</v>
      </c>
      <c r="Q821">
        <v>3</v>
      </c>
      <c r="R821">
        <v>0.2</v>
      </c>
      <c r="S821">
        <v>-42.896700000000003</v>
      </c>
      <c r="T821" t="s">
        <v>59</v>
      </c>
      <c r="U821" t="s">
        <v>72</v>
      </c>
    </row>
    <row r="822" spans="1:21" x14ac:dyDescent="0.25">
      <c r="A822" t="s">
        <v>2629</v>
      </c>
      <c r="B822" s="1">
        <v>41899</v>
      </c>
      <c r="C822" s="1">
        <v>41903</v>
      </c>
      <c r="D822" t="s">
        <v>40</v>
      </c>
      <c r="E822" t="s">
        <v>1450</v>
      </c>
      <c r="F822" t="s">
        <v>1451</v>
      </c>
      <c r="G822" t="s">
        <v>25</v>
      </c>
      <c r="H822" t="s">
        <v>26</v>
      </c>
      <c r="I822" t="s">
        <v>192</v>
      </c>
      <c r="J822" t="s">
        <v>193</v>
      </c>
      <c r="K822" t="s">
        <v>55</v>
      </c>
      <c r="L822" t="s">
        <v>1990</v>
      </c>
      <c r="M822" t="s">
        <v>31</v>
      </c>
      <c r="N822" t="s">
        <v>57</v>
      </c>
      <c r="O822" t="s">
        <v>1991</v>
      </c>
      <c r="P822">
        <v>35.340000000000003</v>
      </c>
      <c r="Q822">
        <v>2</v>
      </c>
      <c r="R822">
        <v>0</v>
      </c>
      <c r="S822">
        <v>13.4292</v>
      </c>
      <c r="T822" t="s">
        <v>84</v>
      </c>
      <c r="U822" t="s">
        <v>78</v>
      </c>
    </row>
    <row r="823" spans="1:21" x14ac:dyDescent="0.25">
      <c r="A823" t="s">
        <v>2630</v>
      </c>
      <c r="B823" s="1">
        <v>42443</v>
      </c>
      <c r="C823" s="1">
        <v>42446</v>
      </c>
      <c r="D823" t="s">
        <v>88</v>
      </c>
      <c r="E823" t="s">
        <v>973</v>
      </c>
      <c r="F823" t="s">
        <v>974</v>
      </c>
      <c r="G823" t="s">
        <v>25</v>
      </c>
      <c r="H823" t="s">
        <v>26</v>
      </c>
      <c r="I823" t="s">
        <v>2631</v>
      </c>
      <c r="J823" t="s">
        <v>93</v>
      </c>
      <c r="K823" t="s">
        <v>94</v>
      </c>
      <c r="L823" t="s">
        <v>811</v>
      </c>
      <c r="M823" t="s">
        <v>31</v>
      </c>
      <c r="N823" t="s">
        <v>32</v>
      </c>
      <c r="O823" t="s">
        <v>812</v>
      </c>
      <c r="P823">
        <v>241.33199999999999</v>
      </c>
      <c r="Q823">
        <v>5</v>
      </c>
      <c r="R823">
        <v>0.32</v>
      </c>
      <c r="S823">
        <v>-14.196</v>
      </c>
      <c r="T823" t="s">
        <v>34</v>
      </c>
      <c r="U823" t="s">
        <v>196</v>
      </c>
    </row>
    <row r="824" spans="1:21" x14ac:dyDescent="0.25">
      <c r="A824" t="s">
        <v>2632</v>
      </c>
      <c r="B824" s="1">
        <v>42171</v>
      </c>
      <c r="C824" s="1">
        <v>42175</v>
      </c>
      <c r="D824" t="s">
        <v>40</v>
      </c>
      <c r="E824" t="s">
        <v>2585</v>
      </c>
      <c r="F824" t="s">
        <v>2586</v>
      </c>
      <c r="G824" t="s">
        <v>25</v>
      </c>
      <c r="H824" t="s">
        <v>26</v>
      </c>
      <c r="I824" t="s">
        <v>1718</v>
      </c>
      <c r="J824" t="s">
        <v>93</v>
      </c>
      <c r="K824" t="s">
        <v>94</v>
      </c>
      <c r="L824" t="s">
        <v>1142</v>
      </c>
      <c r="M824" t="s">
        <v>31</v>
      </c>
      <c r="N824" t="s">
        <v>37</v>
      </c>
      <c r="O824" t="s">
        <v>1143</v>
      </c>
      <c r="P824">
        <v>197.37200000000001</v>
      </c>
      <c r="Q824">
        <v>2</v>
      </c>
      <c r="R824">
        <v>0.3</v>
      </c>
      <c r="S824">
        <v>-25.3764</v>
      </c>
      <c r="T824" t="s">
        <v>84</v>
      </c>
      <c r="U824" t="s">
        <v>60</v>
      </c>
    </row>
    <row r="825" spans="1:21" x14ac:dyDescent="0.25">
      <c r="A825" t="s">
        <v>2633</v>
      </c>
      <c r="B825" s="1">
        <v>42714</v>
      </c>
      <c r="C825" s="1">
        <v>42714</v>
      </c>
      <c r="D825" t="s">
        <v>426</v>
      </c>
      <c r="E825" t="s">
        <v>2634</v>
      </c>
      <c r="F825" t="s">
        <v>2635</v>
      </c>
      <c r="G825" t="s">
        <v>25</v>
      </c>
      <c r="H825" t="s">
        <v>26</v>
      </c>
      <c r="I825" t="s">
        <v>2636</v>
      </c>
      <c r="J825" t="s">
        <v>111</v>
      </c>
      <c r="K825" t="s">
        <v>94</v>
      </c>
      <c r="L825" t="s">
        <v>576</v>
      </c>
      <c r="M825" t="s">
        <v>31</v>
      </c>
      <c r="N825" t="s">
        <v>37</v>
      </c>
      <c r="O825" t="s">
        <v>577</v>
      </c>
      <c r="P825">
        <v>1424.9</v>
      </c>
      <c r="Q825">
        <v>5</v>
      </c>
      <c r="R825">
        <v>0</v>
      </c>
      <c r="S825">
        <v>356.22500000000002</v>
      </c>
      <c r="T825" t="s">
        <v>431</v>
      </c>
      <c r="U825" t="s">
        <v>97</v>
      </c>
    </row>
    <row r="826" spans="1:21" x14ac:dyDescent="0.25">
      <c r="A826" t="s">
        <v>2637</v>
      </c>
      <c r="B826" s="1">
        <v>42873</v>
      </c>
      <c r="C826" s="1">
        <v>42878</v>
      </c>
      <c r="D826" t="s">
        <v>40</v>
      </c>
      <c r="E826" t="s">
        <v>2638</v>
      </c>
      <c r="F826" t="s">
        <v>2639</v>
      </c>
      <c r="G826" t="s">
        <v>25</v>
      </c>
      <c r="H826" t="s">
        <v>26</v>
      </c>
      <c r="I826" t="s">
        <v>174</v>
      </c>
      <c r="J826" t="s">
        <v>121</v>
      </c>
      <c r="K826" t="s">
        <v>68</v>
      </c>
      <c r="L826" t="s">
        <v>1349</v>
      </c>
      <c r="M826" t="s">
        <v>31</v>
      </c>
      <c r="N826" t="s">
        <v>57</v>
      </c>
      <c r="O826" t="s">
        <v>1350</v>
      </c>
      <c r="P826">
        <v>14.56</v>
      </c>
      <c r="Q826">
        <v>2</v>
      </c>
      <c r="R826">
        <v>0</v>
      </c>
      <c r="S826">
        <v>6.2607999999999997</v>
      </c>
      <c r="T826" t="s">
        <v>59</v>
      </c>
      <c r="U826" t="s">
        <v>162</v>
      </c>
    </row>
    <row r="827" spans="1:21" x14ac:dyDescent="0.25">
      <c r="A827" t="s">
        <v>2640</v>
      </c>
      <c r="B827" s="1">
        <v>42692</v>
      </c>
      <c r="C827" s="1">
        <v>42696</v>
      </c>
      <c r="D827" t="s">
        <v>40</v>
      </c>
      <c r="E827" t="s">
        <v>99</v>
      </c>
      <c r="F827" t="s">
        <v>100</v>
      </c>
      <c r="G827" t="s">
        <v>101</v>
      </c>
      <c r="H827" t="s">
        <v>26</v>
      </c>
      <c r="I827" t="s">
        <v>1186</v>
      </c>
      <c r="J827" t="s">
        <v>93</v>
      </c>
      <c r="K827" t="s">
        <v>94</v>
      </c>
      <c r="L827" t="s">
        <v>252</v>
      </c>
      <c r="M827" t="s">
        <v>31</v>
      </c>
      <c r="N827" t="s">
        <v>37</v>
      </c>
      <c r="O827" t="s">
        <v>253</v>
      </c>
      <c r="P827">
        <v>255.108</v>
      </c>
      <c r="Q827">
        <v>6</v>
      </c>
      <c r="R827">
        <v>0.3</v>
      </c>
      <c r="S827">
        <v>-18.222000000000001</v>
      </c>
      <c r="T827" t="s">
        <v>84</v>
      </c>
      <c r="U827" t="s">
        <v>35</v>
      </c>
    </row>
    <row r="828" spans="1:21" x14ac:dyDescent="0.25">
      <c r="A828" t="s">
        <v>2641</v>
      </c>
      <c r="B828" s="1">
        <v>41733</v>
      </c>
      <c r="C828" s="1">
        <v>41738</v>
      </c>
      <c r="D828" t="s">
        <v>40</v>
      </c>
      <c r="E828" t="s">
        <v>1163</v>
      </c>
      <c r="F828" t="s">
        <v>1164</v>
      </c>
      <c r="G828" t="s">
        <v>25</v>
      </c>
      <c r="H828" t="s">
        <v>26</v>
      </c>
      <c r="I828" t="s">
        <v>289</v>
      </c>
      <c r="J828" t="s">
        <v>290</v>
      </c>
      <c r="K828" t="s">
        <v>94</v>
      </c>
      <c r="L828" t="s">
        <v>621</v>
      </c>
      <c r="M828" t="s">
        <v>31</v>
      </c>
      <c r="N828" t="s">
        <v>57</v>
      </c>
      <c r="O828" t="s">
        <v>622</v>
      </c>
      <c r="P828">
        <v>5.47</v>
      </c>
      <c r="Q828">
        <v>1</v>
      </c>
      <c r="R828">
        <v>0</v>
      </c>
      <c r="S828">
        <v>2.3521000000000001</v>
      </c>
      <c r="T828" t="s">
        <v>59</v>
      </c>
      <c r="U828" t="s">
        <v>114</v>
      </c>
    </row>
    <row r="829" spans="1:21" x14ac:dyDescent="0.25">
      <c r="A829" t="s">
        <v>2642</v>
      </c>
      <c r="B829" s="1">
        <v>42547</v>
      </c>
      <c r="C829" s="1">
        <v>42554</v>
      </c>
      <c r="D829" t="s">
        <v>40</v>
      </c>
      <c r="E829" t="s">
        <v>2643</v>
      </c>
      <c r="F829" t="s">
        <v>2644</v>
      </c>
      <c r="G829" t="s">
        <v>25</v>
      </c>
      <c r="H829" t="s">
        <v>26</v>
      </c>
      <c r="I829" t="s">
        <v>329</v>
      </c>
      <c r="J829" t="s">
        <v>54</v>
      </c>
      <c r="K829" t="s">
        <v>55</v>
      </c>
      <c r="L829" t="s">
        <v>1719</v>
      </c>
      <c r="M829" t="s">
        <v>31</v>
      </c>
      <c r="N829" t="s">
        <v>57</v>
      </c>
      <c r="O829" t="s">
        <v>1720</v>
      </c>
      <c r="P829">
        <v>22.14</v>
      </c>
      <c r="Q829">
        <v>3</v>
      </c>
      <c r="R829">
        <v>0</v>
      </c>
      <c r="S829">
        <v>6.4206000000000003</v>
      </c>
      <c r="T829" t="s">
        <v>48</v>
      </c>
      <c r="U829" t="s">
        <v>60</v>
      </c>
    </row>
    <row r="830" spans="1:21" x14ac:dyDescent="0.25">
      <c r="A830" t="s">
        <v>2645</v>
      </c>
      <c r="B830" s="1">
        <v>42519</v>
      </c>
      <c r="C830" s="1">
        <v>42523</v>
      </c>
      <c r="D830" t="s">
        <v>40</v>
      </c>
      <c r="E830" t="s">
        <v>2646</v>
      </c>
      <c r="F830" t="s">
        <v>2647</v>
      </c>
      <c r="G830" t="s">
        <v>25</v>
      </c>
      <c r="H830" t="s">
        <v>26</v>
      </c>
      <c r="I830" t="s">
        <v>2648</v>
      </c>
      <c r="J830" t="s">
        <v>142</v>
      </c>
      <c r="K830" t="s">
        <v>29</v>
      </c>
      <c r="L830" t="s">
        <v>2649</v>
      </c>
      <c r="M830" t="s">
        <v>31</v>
      </c>
      <c r="N830" t="s">
        <v>57</v>
      </c>
      <c r="O830" t="s">
        <v>2650</v>
      </c>
      <c r="P830">
        <v>44.76</v>
      </c>
      <c r="Q830">
        <v>3</v>
      </c>
      <c r="R830">
        <v>0.2</v>
      </c>
      <c r="S830">
        <v>14.547000000000001</v>
      </c>
      <c r="T830" t="s">
        <v>84</v>
      </c>
      <c r="U830" t="s">
        <v>162</v>
      </c>
    </row>
    <row r="831" spans="1:21" x14ac:dyDescent="0.25">
      <c r="A831" t="s">
        <v>2651</v>
      </c>
      <c r="B831" s="1">
        <v>42785</v>
      </c>
      <c r="C831" s="1">
        <v>42786</v>
      </c>
      <c r="D831" t="s">
        <v>88</v>
      </c>
      <c r="E831" t="s">
        <v>2652</v>
      </c>
      <c r="F831" t="s">
        <v>2653</v>
      </c>
      <c r="G831" t="s">
        <v>101</v>
      </c>
      <c r="H831" t="s">
        <v>26</v>
      </c>
      <c r="I831" t="s">
        <v>53</v>
      </c>
      <c r="J831" t="s">
        <v>54</v>
      </c>
      <c r="K831" t="s">
        <v>55</v>
      </c>
      <c r="L831" t="s">
        <v>1205</v>
      </c>
      <c r="M831" t="s">
        <v>31</v>
      </c>
      <c r="N831" t="s">
        <v>57</v>
      </c>
      <c r="O831" t="s">
        <v>1206</v>
      </c>
      <c r="P831">
        <v>44.67</v>
      </c>
      <c r="Q831">
        <v>3</v>
      </c>
      <c r="R831">
        <v>0</v>
      </c>
      <c r="S831">
        <v>12.0609</v>
      </c>
      <c r="T831" t="s">
        <v>124</v>
      </c>
      <c r="U831" t="s">
        <v>298</v>
      </c>
    </row>
    <row r="832" spans="1:21" x14ac:dyDescent="0.25">
      <c r="A832" t="s">
        <v>2654</v>
      </c>
      <c r="B832" s="1">
        <v>42458</v>
      </c>
      <c r="C832" s="1">
        <v>42462</v>
      </c>
      <c r="D832" t="s">
        <v>40</v>
      </c>
      <c r="E832" t="s">
        <v>2655</v>
      </c>
      <c r="F832" t="s">
        <v>2656</v>
      </c>
      <c r="G832" t="s">
        <v>25</v>
      </c>
      <c r="H832" t="s">
        <v>26</v>
      </c>
      <c r="I832" t="s">
        <v>174</v>
      </c>
      <c r="J832" t="s">
        <v>121</v>
      </c>
      <c r="K832" t="s">
        <v>68</v>
      </c>
      <c r="L832" t="s">
        <v>85</v>
      </c>
      <c r="M832" t="s">
        <v>31</v>
      </c>
      <c r="N832" t="s">
        <v>57</v>
      </c>
      <c r="O832" t="s">
        <v>86</v>
      </c>
      <c r="P832">
        <v>414</v>
      </c>
      <c r="Q832">
        <v>8</v>
      </c>
      <c r="R832">
        <v>0</v>
      </c>
      <c r="S832">
        <v>124.2</v>
      </c>
      <c r="T832" t="s">
        <v>84</v>
      </c>
      <c r="U832" t="s">
        <v>196</v>
      </c>
    </row>
    <row r="833" spans="1:21" x14ac:dyDescent="0.25">
      <c r="A833" t="s">
        <v>2657</v>
      </c>
      <c r="B833" s="1">
        <v>42665</v>
      </c>
      <c r="C833" s="1">
        <v>42667</v>
      </c>
      <c r="D833" t="s">
        <v>88</v>
      </c>
      <c r="E833" t="s">
        <v>2658</v>
      </c>
      <c r="F833" t="s">
        <v>2659</v>
      </c>
      <c r="G833" t="s">
        <v>25</v>
      </c>
      <c r="H833" t="s">
        <v>26</v>
      </c>
      <c r="I833" t="s">
        <v>636</v>
      </c>
      <c r="J833" t="s">
        <v>717</v>
      </c>
      <c r="K833" t="s">
        <v>29</v>
      </c>
      <c r="L833" t="s">
        <v>2660</v>
      </c>
      <c r="M833" t="s">
        <v>31</v>
      </c>
      <c r="N833" t="s">
        <v>57</v>
      </c>
      <c r="O833" t="s">
        <v>2661</v>
      </c>
      <c r="P833">
        <v>39.92</v>
      </c>
      <c r="Q833">
        <v>4</v>
      </c>
      <c r="R833">
        <v>0</v>
      </c>
      <c r="S833">
        <v>11.1776</v>
      </c>
      <c r="T833" t="s">
        <v>71</v>
      </c>
      <c r="U833" t="s">
        <v>49</v>
      </c>
    </row>
    <row r="834" spans="1:21" x14ac:dyDescent="0.25">
      <c r="A834" t="s">
        <v>2662</v>
      </c>
      <c r="B834" s="1">
        <v>41996</v>
      </c>
      <c r="C834" s="1">
        <v>42000</v>
      </c>
      <c r="D834" t="s">
        <v>40</v>
      </c>
      <c r="E834" t="s">
        <v>2663</v>
      </c>
      <c r="F834" t="s">
        <v>2664</v>
      </c>
      <c r="G834" t="s">
        <v>91</v>
      </c>
      <c r="H834" t="s">
        <v>26</v>
      </c>
      <c r="I834" t="s">
        <v>174</v>
      </c>
      <c r="J834" t="s">
        <v>121</v>
      </c>
      <c r="K834" t="s">
        <v>68</v>
      </c>
      <c r="L834" t="s">
        <v>1250</v>
      </c>
      <c r="M834" t="s">
        <v>31</v>
      </c>
      <c r="N834" t="s">
        <v>46</v>
      </c>
      <c r="O834" t="s">
        <v>1251</v>
      </c>
      <c r="P834">
        <v>53.316000000000003</v>
      </c>
      <c r="Q834">
        <v>2</v>
      </c>
      <c r="R834">
        <v>0.4</v>
      </c>
      <c r="S834">
        <v>-19.549199999999999</v>
      </c>
      <c r="T834" t="s">
        <v>84</v>
      </c>
      <c r="U834" t="s">
        <v>97</v>
      </c>
    </row>
    <row r="835" spans="1:21" x14ac:dyDescent="0.25">
      <c r="A835" t="s">
        <v>2665</v>
      </c>
      <c r="B835" s="1">
        <v>43084</v>
      </c>
      <c r="C835" s="1">
        <v>43089</v>
      </c>
      <c r="D835" t="s">
        <v>40</v>
      </c>
      <c r="E835" t="s">
        <v>2666</v>
      </c>
      <c r="F835" t="s">
        <v>2667</v>
      </c>
      <c r="G835" t="s">
        <v>101</v>
      </c>
      <c r="H835" t="s">
        <v>26</v>
      </c>
      <c r="I835" t="s">
        <v>192</v>
      </c>
      <c r="J835" t="s">
        <v>193</v>
      </c>
      <c r="K835" t="s">
        <v>55</v>
      </c>
      <c r="L835" t="s">
        <v>695</v>
      </c>
      <c r="M835" t="s">
        <v>31</v>
      </c>
      <c r="N835" t="s">
        <v>57</v>
      </c>
      <c r="O835" t="s">
        <v>696</v>
      </c>
      <c r="P835">
        <v>22.77</v>
      </c>
      <c r="Q835">
        <v>3</v>
      </c>
      <c r="R835">
        <v>0</v>
      </c>
      <c r="S835">
        <v>9.7911000000000001</v>
      </c>
      <c r="T835" t="s">
        <v>59</v>
      </c>
      <c r="U835" t="s">
        <v>97</v>
      </c>
    </row>
    <row r="836" spans="1:21" x14ac:dyDescent="0.25">
      <c r="A836" t="s">
        <v>2668</v>
      </c>
      <c r="B836" s="1">
        <v>42558</v>
      </c>
      <c r="C836" s="1">
        <v>42560</v>
      </c>
      <c r="D836" t="s">
        <v>22</v>
      </c>
      <c r="E836" t="s">
        <v>2134</v>
      </c>
      <c r="F836" t="s">
        <v>2135</v>
      </c>
      <c r="G836" t="s">
        <v>25</v>
      </c>
      <c r="H836" t="s">
        <v>26</v>
      </c>
      <c r="I836" t="s">
        <v>53</v>
      </c>
      <c r="J836" t="s">
        <v>54</v>
      </c>
      <c r="K836" t="s">
        <v>55</v>
      </c>
      <c r="L836" t="s">
        <v>115</v>
      </c>
      <c r="M836" t="s">
        <v>31</v>
      </c>
      <c r="N836" t="s">
        <v>37</v>
      </c>
      <c r="O836" t="s">
        <v>116</v>
      </c>
      <c r="P836">
        <v>287.96800000000002</v>
      </c>
      <c r="Q836">
        <v>4</v>
      </c>
      <c r="R836">
        <v>0.2</v>
      </c>
      <c r="S836">
        <v>-3.5996000000000001</v>
      </c>
      <c r="T836" t="s">
        <v>71</v>
      </c>
      <c r="U836" t="s">
        <v>72</v>
      </c>
    </row>
    <row r="837" spans="1:21" x14ac:dyDescent="0.25">
      <c r="A837" t="s">
        <v>2669</v>
      </c>
      <c r="B837" s="1">
        <v>42477</v>
      </c>
      <c r="C837" s="1">
        <v>42481</v>
      </c>
      <c r="D837" t="s">
        <v>40</v>
      </c>
      <c r="E837" t="s">
        <v>1332</v>
      </c>
      <c r="F837" t="s">
        <v>1333</v>
      </c>
      <c r="G837" t="s">
        <v>25</v>
      </c>
      <c r="H837" t="s">
        <v>26</v>
      </c>
      <c r="I837" t="s">
        <v>2061</v>
      </c>
      <c r="J837" t="s">
        <v>54</v>
      </c>
      <c r="K837" t="s">
        <v>55</v>
      </c>
      <c r="L837" t="s">
        <v>899</v>
      </c>
      <c r="M837" t="s">
        <v>31</v>
      </c>
      <c r="N837" t="s">
        <v>32</v>
      </c>
      <c r="O837" t="s">
        <v>900</v>
      </c>
      <c r="P837">
        <v>257.49900000000002</v>
      </c>
      <c r="Q837">
        <v>3</v>
      </c>
      <c r="R837">
        <v>0.15</v>
      </c>
      <c r="S837">
        <v>24.235199999999999</v>
      </c>
      <c r="T837" t="s">
        <v>84</v>
      </c>
      <c r="U837" t="s">
        <v>114</v>
      </c>
    </row>
    <row r="838" spans="1:21" x14ac:dyDescent="0.25">
      <c r="A838" t="s">
        <v>2670</v>
      </c>
      <c r="B838" s="1">
        <v>42477</v>
      </c>
      <c r="C838" s="1">
        <v>42482</v>
      </c>
      <c r="D838" t="s">
        <v>40</v>
      </c>
      <c r="E838" t="s">
        <v>2671</v>
      </c>
      <c r="F838" t="s">
        <v>2672</v>
      </c>
      <c r="G838" t="s">
        <v>91</v>
      </c>
      <c r="H838" t="s">
        <v>26</v>
      </c>
      <c r="I838" t="s">
        <v>158</v>
      </c>
      <c r="J838" t="s">
        <v>142</v>
      </c>
      <c r="K838" t="s">
        <v>29</v>
      </c>
      <c r="L838" t="s">
        <v>2673</v>
      </c>
      <c r="M838" t="s">
        <v>31</v>
      </c>
      <c r="N838" t="s">
        <v>57</v>
      </c>
      <c r="O838" t="s">
        <v>2674</v>
      </c>
      <c r="P838">
        <v>79.12</v>
      </c>
      <c r="Q838">
        <v>5</v>
      </c>
      <c r="R838">
        <v>0.2</v>
      </c>
      <c r="S838">
        <v>13.846</v>
      </c>
      <c r="T838" t="s">
        <v>59</v>
      </c>
      <c r="U838" t="s">
        <v>114</v>
      </c>
    </row>
    <row r="839" spans="1:21" x14ac:dyDescent="0.25">
      <c r="A839" t="s">
        <v>2675</v>
      </c>
      <c r="B839" s="1">
        <v>41968</v>
      </c>
      <c r="C839" s="1">
        <v>41970</v>
      </c>
      <c r="D839" t="s">
        <v>22</v>
      </c>
      <c r="E839" t="s">
        <v>2676</v>
      </c>
      <c r="F839" t="s">
        <v>2677</v>
      </c>
      <c r="G839" t="s">
        <v>25</v>
      </c>
      <c r="H839" t="s">
        <v>26</v>
      </c>
      <c r="I839" t="s">
        <v>2678</v>
      </c>
      <c r="J839" t="s">
        <v>1646</v>
      </c>
      <c r="K839" t="s">
        <v>68</v>
      </c>
      <c r="L839" t="s">
        <v>944</v>
      </c>
      <c r="M839" t="s">
        <v>31</v>
      </c>
      <c r="N839" t="s">
        <v>57</v>
      </c>
      <c r="O839" t="s">
        <v>945</v>
      </c>
      <c r="P839">
        <v>52.96</v>
      </c>
      <c r="Q839">
        <v>2</v>
      </c>
      <c r="R839">
        <v>0</v>
      </c>
      <c r="S839">
        <v>20.1248</v>
      </c>
      <c r="T839" t="s">
        <v>71</v>
      </c>
      <c r="U839" t="s">
        <v>35</v>
      </c>
    </row>
    <row r="840" spans="1:21" x14ac:dyDescent="0.25">
      <c r="A840" t="s">
        <v>2679</v>
      </c>
      <c r="B840" s="1">
        <v>42125</v>
      </c>
      <c r="C840" s="1">
        <v>42129</v>
      </c>
      <c r="D840" t="s">
        <v>40</v>
      </c>
      <c r="E840" t="s">
        <v>2680</v>
      </c>
      <c r="F840" t="s">
        <v>2681</v>
      </c>
      <c r="G840" t="s">
        <v>91</v>
      </c>
      <c r="H840" t="s">
        <v>26</v>
      </c>
      <c r="I840" t="s">
        <v>304</v>
      </c>
      <c r="J840" t="s">
        <v>44</v>
      </c>
      <c r="K840" t="s">
        <v>29</v>
      </c>
      <c r="L840" t="s">
        <v>944</v>
      </c>
      <c r="M840" t="s">
        <v>31</v>
      </c>
      <c r="N840" t="s">
        <v>57</v>
      </c>
      <c r="O840" t="s">
        <v>945</v>
      </c>
      <c r="P840">
        <v>63.552</v>
      </c>
      <c r="Q840">
        <v>3</v>
      </c>
      <c r="R840">
        <v>0.2</v>
      </c>
      <c r="S840">
        <v>14.299200000000001</v>
      </c>
      <c r="T840" t="s">
        <v>84</v>
      </c>
      <c r="U840" t="s">
        <v>162</v>
      </c>
    </row>
    <row r="841" spans="1:21" x14ac:dyDescent="0.25">
      <c r="A841" t="s">
        <v>2682</v>
      </c>
      <c r="B841" s="1">
        <v>42071</v>
      </c>
      <c r="C841" s="1">
        <v>42075</v>
      </c>
      <c r="D841" t="s">
        <v>40</v>
      </c>
      <c r="E841" t="s">
        <v>2683</v>
      </c>
      <c r="F841" t="s">
        <v>2684</v>
      </c>
      <c r="G841" t="s">
        <v>25</v>
      </c>
      <c r="H841" t="s">
        <v>26</v>
      </c>
      <c r="I841" t="s">
        <v>2685</v>
      </c>
      <c r="J841" t="s">
        <v>239</v>
      </c>
      <c r="K841" t="s">
        <v>94</v>
      </c>
      <c r="L841" t="s">
        <v>2401</v>
      </c>
      <c r="M841" t="s">
        <v>31</v>
      </c>
      <c r="N841" t="s">
        <v>32</v>
      </c>
      <c r="O841" t="s">
        <v>2402</v>
      </c>
      <c r="P841">
        <v>512.94000000000005</v>
      </c>
      <c r="Q841">
        <v>3</v>
      </c>
      <c r="R841">
        <v>0</v>
      </c>
      <c r="S841">
        <v>97.458600000000004</v>
      </c>
      <c r="T841" t="s">
        <v>84</v>
      </c>
      <c r="U841" t="s">
        <v>196</v>
      </c>
    </row>
    <row r="842" spans="1:21" x14ac:dyDescent="0.25">
      <c r="A842" t="s">
        <v>2682</v>
      </c>
      <c r="B842" s="1">
        <v>42071</v>
      </c>
      <c r="C842" s="1">
        <v>42075</v>
      </c>
      <c r="D842" t="s">
        <v>40</v>
      </c>
      <c r="E842" t="s">
        <v>2683</v>
      </c>
      <c r="F842" t="s">
        <v>2684</v>
      </c>
      <c r="G842" t="s">
        <v>25</v>
      </c>
      <c r="H842" t="s">
        <v>26</v>
      </c>
      <c r="I842" t="s">
        <v>2685</v>
      </c>
      <c r="J842" t="s">
        <v>239</v>
      </c>
      <c r="K842" t="s">
        <v>94</v>
      </c>
      <c r="L842" t="s">
        <v>1748</v>
      </c>
      <c r="M842" t="s">
        <v>31</v>
      </c>
      <c r="N842" t="s">
        <v>37</v>
      </c>
      <c r="O842" t="s">
        <v>1749</v>
      </c>
      <c r="P842">
        <v>860.93</v>
      </c>
      <c r="Q842">
        <v>7</v>
      </c>
      <c r="R842">
        <v>0</v>
      </c>
      <c r="S842">
        <v>189.40459999999999</v>
      </c>
      <c r="T842" t="s">
        <v>84</v>
      </c>
      <c r="U842" t="s">
        <v>196</v>
      </c>
    </row>
    <row r="843" spans="1:21" x14ac:dyDescent="0.25">
      <c r="A843" t="s">
        <v>2682</v>
      </c>
      <c r="B843" s="1">
        <v>42071</v>
      </c>
      <c r="C843" s="1">
        <v>42075</v>
      </c>
      <c r="D843" t="s">
        <v>40</v>
      </c>
      <c r="E843" t="s">
        <v>2683</v>
      </c>
      <c r="F843" t="s">
        <v>2684</v>
      </c>
      <c r="G843" t="s">
        <v>25</v>
      </c>
      <c r="H843" t="s">
        <v>26</v>
      </c>
      <c r="I843" t="s">
        <v>2685</v>
      </c>
      <c r="J843" t="s">
        <v>239</v>
      </c>
      <c r="K843" t="s">
        <v>94</v>
      </c>
      <c r="L843" t="s">
        <v>1797</v>
      </c>
      <c r="M843" t="s">
        <v>31</v>
      </c>
      <c r="N843" t="s">
        <v>57</v>
      </c>
      <c r="O843" t="s">
        <v>1798</v>
      </c>
      <c r="P843">
        <v>373.08</v>
      </c>
      <c r="Q843">
        <v>6</v>
      </c>
      <c r="R843">
        <v>0</v>
      </c>
      <c r="S843">
        <v>82.077600000000004</v>
      </c>
      <c r="T843" t="s">
        <v>84</v>
      </c>
      <c r="U843" t="s">
        <v>196</v>
      </c>
    </row>
    <row r="844" spans="1:21" x14ac:dyDescent="0.25">
      <c r="A844" t="s">
        <v>2686</v>
      </c>
      <c r="B844" s="1">
        <v>42202</v>
      </c>
      <c r="C844" s="1">
        <v>42205</v>
      </c>
      <c r="D844" t="s">
        <v>22</v>
      </c>
      <c r="E844" t="s">
        <v>470</v>
      </c>
      <c r="F844" t="s">
        <v>471</v>
      </c>
      <c r="G844" t="s">
        <v>91</v>
      </c>
      <c r="H844" t="s">
        <v>26</v>
      </c>
      <c r="I844" t="s">
        <v>2687</v>
      </c>
      <c r="J844" t="s">
        <v>44</v>
      </c>
      <c r="K844" t="s">
        <v>29</v>
      </c>
      <c r="L844" t="s">
        <v>349</v>
      </c>
      <c r="M844" t="s">
        <v>31</v>
      </c>
      <c r="N844" t="s">
        <v>32</v>
      </c>
      <c r="O844" t="s">
        <v>350</v>
      </c>
      <c r="P844">
        <v>231.92</v>
      </c>
      <c r="Q844">
        <v>5</v>
      </c>
      <c r="R844">
        <v>0.2</v>
      </c>
      <c r="S844">
        <v>5.798</v>
      </c>
      <c r="T844" t="s">
        <v>34</v>
      </c>
      <c r="U844" t="s">
        <v>72</v>
      </c>
    </row>
    <row r="845" spans="1:21" x14ac:dyDescent="0.25">
      <c r="A845" t="s">
        <v>2688</v>
      </c>
      <c r="B845" s="1">
        <v>41923</v>
      </c>
      <c r="C845" s="1">
        <v>41928</v>
      </c>
      <c r="D845" t="s">
        <v>40</v>
      </c>
      <c r="E845" t="s">
        <v>2432</v>
      </c>
      <c r="F845" t="s">
        <v>2433</v>
      </c>
      <c r="G845" t="s">
        <v>101</v>
      </c>
      <c r="H845" t="s">
        <v>26</v>
      </c>
      <c r="I845" t="s">
        <v>192</v>
      </c>
      <c r="J845" t="s">
        <v>193</v>
      </c>
      <c r="K845" t="s">
        <v>55</v>
      </c>
      <c r="L845" t="s">
        <v>1497</v>
      </c>
      <c r="M845" t="s">
        <v>31</v>
      </c>
      <c r="N845" t="s">
        <v>57</v>
      </c>
      <c r="O845" t="s">
        <v>1498</v>
      </c>
      <c r="P845">
        <v>63.47</v>
      </c>
      <c r="Q845">
        <v>11</v>
      </c>
      <c r="R845">
        <v>0</v>
      </c>
      <c r="S845">
        <v>19.041</v>
      </c>
      <c r="T845" t="s">
        <v>59</v>
      </c>
      <c r="U845" t="s">
        <v>49</v>
      </c>
    </row>
    <row r="846" spans="1:21" x14ac:dyDescent="0.25">
      <c r="A846" t="s">
        <v>2689</v>
      </c>
      <c r="B846" s="1">
        <v>42432</v>
      </c>
      <c r="C846" s="1">
        <v>42437</v>
      </c>
      <c r="D846" t="s">
        <v>40</v>
      </c>
      <c r="E846" t="s">
        <v>1153</v>
      </c>
      <c r="F846" t="s">
        <v>1154</v>
      </c>
      <c r="G846" t="s">
        <v>25</v>
      </c>
      <c r="H846" t="s">
        <v>26</v>
      </c>
      <c r="I846" t="s">
        <v>246</v>
      </c>
      <c r="J846" t="s">
        <v>93</v>
      </c>
      <c r="K846" t="s">
        <v>94</v>
      </c>
      <c r="L846" t="s">
        <v>436</v>
      </c>
      <c r="M846" t="s">
        <v>31</v>
      </c>
      <c r="N846" t="s">
        <v>46</v>
      </c>
      <c r="O846" t="s">
        <v>437</v>
      </c>
      <c r="P846">
        <v>637.89599999999996</v>
      </c>
      <c r="Q846">
        <v>3</v>
      </c>
      <c r="R846">
        <v>0.3</v>
      </c>
      <c r="S846">
        <v>-127.5792</v>
      </c>
      <c r="T846" t="s">
        <v>59</v>
      </c>
      <c r="U846" t="s">
        <v>196</v>
      </c>
    </row>
    <row r="847" spans="1:21" x14ac:dyDescent="0.25">
      <c r="A847" t="s">
        <v>2690</v>
      </c>
      <c r="B847" s="1">
        <v>42736</v>
      </c>
      <c r="C847" s="1">
        <v>42740</v>
      </c>
      <c r="D847" t="s">
        <v>40</v>
      </c>
      <c r="E847" t="s">
        <v>198</v>
      </c>
      <c r="F847" t="s">
        <v>199</v>
      </c>
      <c r="G847" t="s">
        <v>25</v>
      </c>
      <c r="H847" t="s">
        <v>26</v>
      </c>
      <c r="I847" t="s">
        <v>53</v>
      </c>
      <c r="J847" t="s">
        <v>54</v>
      </c>
      <c r="K847" t="s">
        <v>55</v>
      </c>
      <c r="L847" t="s">
        <v>2691</v>
      </c>
      <c r="M847" t="s">
        <v>31</v>
      </c>
      <c r="N847" t="s">
        <v>57</v>
      </c>
      <c r="O847" t="s">
        <v>2692</v>
      </c>
      <c r="P847">
        <v>474.43</v>
      </c>
      <c r="Q847">
        <v>11</v>
      </c>
      <c r="R847">
        <v>0</v>
      </c>
      <c r="S847">
        <v>199.26060000000001</v>
      </c>
      <c r="T847" t="s">
        <v>84</v>
      </c>
      <c r="U847" t="s">
        <v>170</v>
      </c>
    </row>
    <row r="848" spans="1:21" x14ac:dyDescent="0.25">
      <c r="A848" t="s">
        <v>2693</v>
      </c>
      <c r="B848" s="1">
        <v>41812</v>
      </c>
      <c r="C848" s="1">
        <v>41817</v>
      </c>
      <c r="D848" t="s">
        <v>40</v>
      </c>
      <c r="E848" t="s">
        <v>2694</v>
      </c>
      <c r="F848" t="s">
        <v>2695</v>
      </c>
      <c r="G848" t="s">
        <v>25</v>
      </c>
      <c r="H848" t="s">
        <v>26</v>
      </c>
      <c r="I848" t="s">
        <v>1147</v>
      </c>
      <c r="J848" t="s">
        <v>67</v>
      </c>
      <c r="K848" t="s">
        <v>68</v>
      </c>
      <c r="L848" t="s">
        <v>256</v>
      </c>
      <c r="M848" t="s">
        <v>31</v>
      </c>
      <c r="N848" t="s">
        <v>37</v>
      </c>
      <c r="O848" t="s">
        <v>257</v>
      </c>
      <c r="P848">
        <v>170.05799999999999</v>
      </c>
      <c r="Q848">
        <v>3</v>
      </c>
      <c r="R848">
        <v>0.3</v>
      </c>
      <c r="S848">
        <v>-4.8587999999999996</v>
      </c>
      <c r="T848" t="s">
        <v>59</v>
      </c>
      <c r="U848" t="s">
        <v>60</v>
      </c>
    </row>
    <row r="849" spans="1:21" x14ac:dyDescent="0.25">
      <c r="A849" t="s">
        <v>2693</v>
      </c>
      <c r="B849" s="1">
        <v>41812</v>
      </c>
      <c r="C849" s="1">
        <v>41817</v>
      </c>
      <c r="D849" t="s">
        <v>40</v>
      </c>
      <c r="E849" t="s">
        <v>2694</v>
      </c>
      <c r="F849" t="s">
        <v>2695</v>
      </c>
      <c r="G849" t="s">
        <v>25</v>
      </c>
      <c r="H849" t="s">
        <v>26</v>
      </c>
      <c r="I849" t="s">
        <v>1147</v>
      </c>
      <c r="J849" t="s">
        <v>67</v>
      </c>
      <c r="K849" t="s">
        <v>68</v>
      </c>
      <c r="L849" t="s">
        <v>36</v>
      </c>
      <c r="M849" t="s">
        <v>31</v>
      </c>
      <c r="N849" t="s">
        <v>37</v>
      </c>
      <c r="O849" t="s">
        <v>38</v>
      </c>
      <c r="P849">
        <v>853.93</v>
      </c>
      <c r="Q849">
        <v>5</v>
      </c>
      <c r="R849">
        <v>0.3</v>
      </c>
      <c r="S849">
        <v>0</v>
      </c>
      <c r="T849" t="s">
        <v>59</v>
      </c>
      <c r="U849" t="s">
        <v>60</v>
      </c>
    </row>
    <row r="850" spans="1:21" x14ac:dyDescent="0.25">
      <c r="A850" t="s">
        <v>2696</v>
      </c>
      <c r="B850" s="1">
        <v>43035</v>
      </c>
      <c r="C850" s="1">
        <v>43036</v>
      </c>
      <c r="D850" t="s">
        <v>88</v>
      </c>
      <c r="E850" t="s">
        <v>2697</v>
      </c>
      <c r="F850" t="s">
        <v>2698</v>
      </c>
      <c r="G850" t="s">
        <v>91</v>
      </c>
      <c r="H850" t="s">
        <v>26</v>
      </c>
      <c r="I850" t="s">
        <v>329</v>
      </c>
      <c r="J850" t="s">
        <v>54</v>
      </c>
      <c r="K850" t="s">
        <v>55</v>
      </c>
      <c r="L850" t="s">
        <v>1637</v>
      </c>
      <c r="M850" t="s">
        <v>31</v>
      </c>
      <c r="N850" t="s">
        <v>32</v>
      </c>
      <c r="O850" t="s">
        <v>1638</v>
      </c>
      <c r="P850">
        <v>556.66499999999996</v>
      </c>
      <c r="Q850">
        <v>5</v>
      </c>
      <c r="R850">
        <v>0.15</v>
      </c>
      <c r="S850">
        <v>6.5490000000000004</v>
      </c>
      <c r="T850" t="s">
        <v>124</v>
      </c>
      <c r="U850" t="s">
        <v>49</v>
      </c>
    </row>
    <row r="851" spans="1:21" x14ac:dyDescent="0.25">
      <c r="A851" t="s">
        <v>2699</v>
      </c>
      <c r="B851" s="1">
        <v>43093</v>
      </c>
      <c r="C851" s="1">
        <v>43097</v>
      </c>
      <c r="D851" t="s">
        <v>40</v>
      </c>
      <c r="E851" t="s">
        <v>2306</v>
      </c>
      <c r="F851" t="s">
        <v>2307</v>
      </c>
      <c r="G851" t="s">
        <v>25</v>
      </c>
      <c r="H851" t="s">
        <v>26</v>
      </c>
      <c r="I851" t="s">
        <v>1406</v>
      </c>
      <c r="J851" t="s">
        <v>1407</v>
      </c>
      <c r="K851" t="s">
        <v>29</v>
      </c>
      <c r="L851" t="s">
        <v>1893</v>
      </c>
      <c r="M851" t="s">
        <v>31</v>
      </c>
      <c r="N851" t="s">
        <v>37</v>
      </c>
      <c r="O851" t="s">
        <v>1894</v>
      </c>
      <c r="P851">
        <v>232.88</v>
      </c>
      <c r="Q851">
        <v>4</v>
      </c>
      <c r="R851">
        <v>0</v>
      </c>
      <c r="S851">
        <v>60.5488</v>
      </c>
      <c r="T851" t="s">
        <v>84</v>
      </c>
      <c r="U851" t="s">
        <v>97</v>
      </c>
    </row>
    <row r="852" spans="1:21" x14ac:dyDescent="0.25">
      <c r="A852" t="s">
        <v>2700</v>
      </c>
      <c r="B852" s="1">
        <v>42002</v>
      </c>
      <c r="C852" s="1">
        <v>42006</v>
      </c>
      <c r="D852" t="s">
        <v>40</v>
      </c>
      <c r="E852" t="s">
        <v>788</v>
      </c>
      <c r="F852" t="s">
        <v>789</v>
      </c>
      <c r="G852" t="s">
        <v>91</v>
      </c>
      <c r="H852" t="s">
        <v>26</v>
      </c>
      <c r="I852" t="s">
        <v>329</v>
      </c>
      <c r="J852" t="s">
        <v>54</v>
      </c>
      <c r="K852" t="s">
        <v>55</v>
      </c>
      <c r="L852" t="s">
        <v>2238</v>
      </c>
      <c r="M852" t="s">
        <v>31</v>
      </c>
      <c r="N852" t="s">
        <v>57</v>
      </c>
      <c r="O852" t="s">
        <v>2239</v>
      </c>
      <c r="P852">
        <v>24.9</v>
      </c>
      <c r="Q852">
        <v>5</v>
      </c>
      <c r="R852">
        <v>0</v>
      </c>
      <c r="S852">
        <v>8.2170000000000005</v>
      </c>
      <c r="T852" t="s">
        <v>84</v>
      </c>
      <c r="U852" t="s">
        <v>97</v>
      </c>
    </row>
    <row r="853" spans="1:21" x14ac:dyDescent="0.25">
      <c r="A853" t="s">
        <v>2700</v>
      </c>
      <c r="B853" s="1">
        <v>42002</v>
      </c>
      <c r="C853" s="1">
        <v>42006</v>
      </c>
      <c r="D853" t="s">
        <v>40</v>
      </c>
      <c r="E853" t="s">
        <v>788</v>
      </c>
      <c r="F853" t="s">
        <v>789</v>
      </c>
      <c r="G853" t="s">
        <v>91</v>
      </c>
      <c r="H853" t="s">
        <v>26</v>
      </c>
      <c r="I853" t="s">
        <v>329</v>
      </c>
      <c r="J853" t="s">
        <v>54</v>
      </c>
      <c r="K853" t="s">
        <v>55</v>
      </c>
      <c r="L853" t="s">
        <v>2410</v>
      </c>
      <c r="M853" t="s">
        <v>31</v>
      </c>
      <c r="N853" t="s">
        <v>57</v>
      </c>
      <c r="O853" t="s">
        <v>2411</v>
      </c>
      <c r="P853">
        <v>70.56</v>
      </c>
      <c r="Q853">
        <v>6</v>
      </c>
      <c r="R853">
        <v>0</v>
      </c>
      <c r="S853">
        <v>23.990400000000001</v>
      </c>
      <c r="T853" t="s">
        <v>84</v>
      </c>
      <c r="U853" t="s">
        <v>97</v>
      </c>
    </row>
    <row r="854" spans="1:21" x14ac:dyDescent="0.25">
      <c r="A854" t="s">
        <v>2701</v>
      </c>
      <c r="B854" s="1">
        <v>42180</v>
      </c>
      <c r="C854" s="1">
        <v>42185</v>
      </c>
      <c r="D854" t="s">
        <v>40</v>
      </c>
      <c r="E854" t="s">
        <v>2212</v>
      </c>
      <c r="F854" t="s">
        <v>2213</v>
      </c>
      <c r="G854" t="s">
        <v>25</v>
      </c>
      <c r="H854" t="s">
        <v>26</v>
      </c>
      <c r="I854" t="s">
        <v>329</v>
      </c>
      <c r="J854" t="s">
        <v>54</v>
      </c>
      <c r="K854" t="s">
        <v>55</v>
      </c>
      <c r="L854" t="s">
        <v>641</v>
      </c>
      <c r="M854" t="s">
        <v>31</v>
      </c>
      <c r="N854" t="s">
        <v>57</v>
      </c>
      <c r="O854" t="s">
        <v>642</v>
      </c>
      <c r="P854">
        <v>204.85</v>
      </c>
      <c r="Q854">
        <v>5</v>
      </c>
      <c r="R854">
        <v>0</v>
      </c>
      <c r="S854">
        <v>57.357999999999997</v>
      </c>
      <c r="T854" t="s">
        <v>59</v>
      </c>
      <c r="U854" t="s">
        <v>60</v>
      </c>
    </row>
    <row r="855" spans="1:21" x14ac:dyDescent="0.25">
      <c r="A855" t="s">
        <v>2702</v>
      </c>
      <c r="B855" s="1">
        <v>42910</v>
      </c>
      <c r="C855" s="1">
        <v>42912</v>
      </c>
      <c r="D855" t="s">
        <v>22</v>
      </c>
      <c r="E855" t="s">
        <v>2703</v>
      </c>
      <c r="F855" t="s">
        <v>2704</v>
      </c>
      <c r="G855" t="s">
        <v>25</v>
      </c>
      <c r="H855" t="s">
        <v>26</v>
      </c>
      <c r="I855" t="s">
        <v>174</v>
      </c>
      <c r="J855" t="s">
        <v>121</v>
      </c>
      <c r="K855" t="s">
        <v>68</v>
      </c>
      <c r="L855" t="s">
        <v>921</v>
      </c>
      <c r="M855" t="s">
        <v>31</v>
      </c>
      <c r="N855" t="s">
        <v>57</v>
      </c>
      <c r="O855" t="s">
        <v>922</v>
      </c>
      <c r="P855">
        <v>276.69</v>
      </c>
      <c r="Q855">
        <v>3</v>
      </c>
      <c r="R855">
        <v>0</v>
      </c>
      <c r="S855">
        <v>49.804200000000002</v>
      </c>
      <c r="T855" t="s">
        <v>71</v>
      </c>
      <c r="U855" t="s">
        <v>60</v>
      </c>
    </row>
    <row r="856" spans="1:21" x14ac:dyDescent="0.25">
      <c r="A856" t="s">
        <v>2702</v>
      </c>
      <c r="B856" s="1">
        <v>42910</v>
      </c>
      <c r="C856" s="1">
        <v>42912</v>
      </c>
      <c r="D856" t="s">
        <v>22</v>
      </c>
      <c r="E856" t="s">
        <v>2703</v>
      </c>
      <c r="F856" t="s">
        <v>2704</v>
      </c>
      <c r="G856" t="s">
        <v>25</v>
      </c>
      <c r="H856" t="s">
        <v>26</v>
      </c>
      <c r="I856" t="s">
        <v>174</v>
      </c>
      <c r="J856" t="s">
        <v>121</v>
      </c>
      <c r="K856" t="s">
        <v>68</v>
      </c>
      <c r="L856" t="s">
        <v>357</v>
      </c>
      <c r="M856" t="s">
        <v>31</v>
      </c>
      <c r="N856" t="s">
        <v>37</v>
      </c>
      <c r="O856" t="s">
        <v>358</v>
      </c>
      <c r="P856">
        <v>172.76400000000001</v>
      </c>
      <c r="Q856">
        <v>2</v>
      </c>
      <c r="R856">
        <v>0.1</v>
      </c>
      <c r="S856">
        <v>32.633200000000002</v>
      </c>
      <c r="T856" t="s">
        <v>71</v>
      </c>
      <c r="U856" t="s">
        <v>60</v>
      </c>
    </row>
    <row r="857" spans="1:21" x14ac:dyDescent="0.25">
      <c r="A857" t="s">
        <v>2705</v>
      </c>
      <c r="B857" s="1">
        <v>41911</v>
      </c>
      <c r="C857" s="1">
        <v>41915</v>
      </c>
      <c r="D857" t="s">
        <v>40</v>
      </c>
      <c r="E857" t="s">
        <v>2346</v>
      </c>
      <c r="F857" t="s">
        <v>2347</v>
      </c>
      <c r="G857" t="s">
        <v>91</v>
      </c>
      <c r="H857" t="s">
        <v>26</v>
      </c>
      <c r="I857" t="s">
        <v>66</v>
      </c>
      <c r="J857" t="s">
        <v>67</v>
      </c>
      <c r="K857" t="s">
        <v>68</v>
      </c>
      <c r="L857" t="s">
        <v>1562</v>
      </c>
      <c r="M857" t="s">
        <v>31</v>
      </c>
      <c r="N857" t="s">
        <v>46</v>
      </c>
      <c r="O857" t="s">
        <v>1563</v>
      </c>
      <c r="P857">
        <v>409.27199999999999</v>
      </c>
      <c r="Q857">
        <v>2</v>
      </c>
      <c r="R857">
        <v>0.4</v>
      </c>
      <c r="S857">
        <v>-81.854399999999998</v>
      </c>
      <c r="T857" t="s">
        <v>84</v>
      </c>
      <c r="U857" t="s">
        <v>78</v>
      </c>
    </row>
    <row r="858" spans="1:21" x14ac:dyDescent="0.25">
      <c r="A858" t="s">
        <v>2705</v>
      </c>
      <c r="B858" s="1">
        <v>41911</v>
      </c>
      <c r="C858" s="1">
        <v>41915</v>
      </c>
      <c r="D858" t="s">
        <v>40</v>
      </c>
      <c r="E858" t="s">
        <v>2346</v>
      </c>
      <c r="F858" t="s">
        <v>2347</v>
      </c>
      <c r="G858" t="s">
        <v>91</v>
      </c>
      <c r="H858" t="s">
        <v>26</v>
      </c>
      <c r="I858" t="s">
        <v>66</v>
      </c>
      <c r="J858" t="s">
        <v>67</v>
      </c>
      <c r="K858" t="s">
        <v>68</v>
      </c>
      <c r="L858" t="s">
        <v>1041</v>
      </c>
      <c r="M858" t="s">
        <v>31</v>
      </c>
      <c r="N858" t="s">
        <v>46</v>
      </c>
      <c r="O858" t="s">
        <v>1042</v>
      </c>
      <c r="P858">
        <v>67.176000000000002</v>
      </c>
      <c r="Q858">
        <v>1</v>
      </c>
      <c r="R858">
        <v>0.4</v>
      </c>
      <c r="S858">
        <v>-20.152799999999999</v>
      </c>
      <c r="T858" t="s">
        <v>84</v>
      </c>
      <c r="U858" t="s">
        <v>78</v>
      </c>
    </row>
    <row r="859" spans="1:21" x14ac:dyDescent="0.25">
      <c r="A859" t="s">
        <v>2706</v>
      </c>
      <c r="B859" s="1">
        <v>42328</v>
      </c>
      <c r="C859" s="1">
        <v>42332</v>
      </c>
      <c r="D859" t="s">
        <v>40</v>
      </c>
      <c r="E859" t="s">
        <v>222</v>
      </c>
      <c r="F859" t="s">
        <v>223</v>
      </c>
      <c r="G859" t="s">
        <v>25</v>
      </c>
      <c r="H859" t="s">
        <v>26</v>
      </c>
      <c r="I859" t="s">
        <v>1471</v>
      </c>
      <c r="J859" t="s">
        <v>54</v>
      </c>
      <c r="K859" t="s">
        <v>55</v>
      </c>
      <c r="L859" t="s">
        <v>581</v>
      </c>
      <c r="M859" t="s">
        <v>31</v>
      </c>
      <c r="N859" t="s">
        <v>37</v>
      </c>
      <c r="O859" t="s">
        <v>582</v>
      </c>
      <c r="P859">
        <v>572.16</v>
      </c>
      <c r="Q859">
        <v>3</v>
      </c>
      <c r="R859">
        <v>0.2</v>
      </c>
      <c r="S859">
        <v>35.76</v>
      </c>
      <c r="T859" t="s">
        <v>84</v>
      </c>
      <c r="U859" t="s">
        <v>35</v>
      </c>
    </row>
    <row r="860" spans="1:21" x14ac:dyDescent="0.25">
      <c r="A860" t="s">
        <v>2707</v>
      </c>
      <c r="B860" s="1">
        <v>42610</v>
      </c>
      <c r="C860" s="1">
        <v>42613</v>
      </c>
      <c r="D860" t="s">
        <v>88</v>
      </c>
      <c r="E860" t="s">
        <v>2299</v>
      </c>
      <c r="F860" t="s">
        <v>2300</v>
      </c>
      <c r="G860" t="s">
        <v>25</v>
      </c>
      <c r="H860" t="s">
        <v>26</v>
      </c>
      <c r="I860" t="s">
        <v>1740</v>
      </c>
      <c r="J860" t="s">
        <v>93</v>
      </c>
      <c r="K860" t="s">
        <v>94</v>
      </c>
      <c r="L860" t="s">
        <v>1477</v>
      </c>
      <c r="M860" t="s">
        <v>31</v>
      </c>
      <c r="N860" t="s">
        <v>32</v>
      </c>
      <c r="O860" t="s">
        <v>1478</v>
      </c>
      <c r="P860">
        <v>156.37280000000001</v>
      </c>
      <c r="Q860">
        <v>2</v>
      </c>
      <c r="R860">
        <v>0.32</v>
      </c>
      <c r="S860">
        <v>-52.890799999999999</v>
      </c>
      <c r="T860" t="s">
        <v>34</v>
      </c>
      <c r="U860" t="s">
        <v>254</v>
      </c>
    </row>
    <row r="861" spans="1:21" x14ac:dyDescent="0.25">
      <c r="A861" t="s">
        <v>2708</v>
      </c>
      <c r="B861" s="1">
        <v>43054</v>
      </c>
      <c r="C861" s="1">
        <v>43059</v>
      </c>
      <c r="D861" t="s">
        <v>40</v>
      </c>
      <c r="E861" t="s">
        <v>2683</v>
      </c>
      <c r="F861" t="s">
        <v>2684</v>
      </c>
      <c r="G861" t="s">
        <v>25</v>
      </c>
      <c r="H861" t="s">
        <v>26</v>
      </c>
      <c r="I861" t="s">
        <v>2709</v>
      </c>
      <c r="J861" t="s">
        <v>44</v>
      </c>
      <c r="K861" t="s">
        <v>29</v>
      </c>
      <c r="L861" t="s">
        <v>706</v>
      </c>
      <c r="M861" t="s">
        <v>31</v>
      </c>
      <c r="N861" t="s">
        <v>57</v>
      </c>
      <c r="O861" t="s">
        <v>707</v>
      </c>
      <c r="P861">
        <v>220.06399999999999</v>
      </c>
      <c r="Q861">
        <v>4</v>
      </c>
      <c r="R861">
        <v>0.2</v>
      </c>
      <c r="S861">
        <v>55.015999999999998</v>
      </c>
      <c r="T861" t="s">
        <v>59</v>
      </c>
      <c r="U861" t="s">
        <v>35</v>
      </c>
    </row>
    <row r="862" spans="1:21" x14ac:dyDescent="0.25">
      <c r="A862" t="s">
        <v>2708</v>
      </c>
      <c r="B862" s="1">
        <v>43054</v>
      </c>
      <c r="C862" s="1">
        <v>43059</v>
      </c>
      <c r="D862" t="s">
        <v>40</v>
      </c>
      <c r="E862" t="s">
        <v>2683</v>
      </c>
      <c r="F862" t="s">
        <v>2684</v>
      </c>
      <c r="G862" t="s">
        <v>25</v>
      </c>
      <c r="H862" t="s">
        <v>26</v>
      </c>
      <c r="I862" t="s">
        <v>2709</v>
      </c>
      <c r="J862" t="s">
        <v>44</v>
      </c>
      <c r="K862" t="s">
        <v>29</v>
      </c>
      <c r="L862" t="s">
        <v>1392</v>
      </c>
      <c r="M862" t="s">
        <v>31</v>
      </c>
      <c r="N862" t="s">
        <v>57</v>
      </c>
      <c r="O862" t="s">
        <v>1393</v>
      </c>
      <c r="P862">
        <v>339.13600000000002</v>
      </c>
      <c r="Q862">
        <v>4</v>
      </c>
      <c r="R862">
        <v>0.2</v>
      </c>
      <c r="S862">
        <v>0</v>
      </c>
      <c r="T862" t="s">
        <v>59</v>
      </c>
      <c r="U862" t="s">
        <v>35</v>
      </c>
    </row>
    <row r="863" spans="1:21" x14ac:dyDescent="0.25">
      <c r="A863" t="s">
        <v>2710</v>
      </c>
      <c r="B863" s="1">
        <v>41870</v>
      </c>
      <c r="C863" s="1">
        <v>41877</v>
      </c>
      <c r="D863" t="s">
        <v>40</v>
      </c>
      <c r="E863" t="s">
        <v>2711</v>
      </c>
      <c r="F863" t="s">
        <v>2712</v>
      </c>
      <c r="G863" t="s">
        <v>25</v>
      </c>
      <c r="H863" t="s">
        <v>26</v>
      </c>
      <c r="I863" t="s">
        <v>1058</v>
      </c>
      <c r="J863" t="s">
        <v>1059</v>
      </c>
      <c r="K863" t="s">
        <v>29</v>
      </c>
      <c r="L863" t="s">
        <v>2713</v>
      </c>
      <c r="M863" t="s">
        <v>31</v>
      </c>
      <c r="N863" t="s">
        <v>32</v>
      </c>
      <c r="O863" t="s">
        <v>2714</v>
      </c>
      <c r="P863">
        <v>638.82000000000005</v>
      </c>
      <c r="Q863">
        <v>9</v>
      </c>
      <c r="R863">
        <v>0</v>
      </c>
      <c r="S863">
        <v>172.48140000000001</v>
      </c>
      <c r="T863" t="s">
        <v>48</v>
      </c>
      <c r="U863" t="s">
        <v>254</v>
      </c>
    </row>
    <row r="864" spans="1:21" x14ac:dyDescent="0.25">
      <c r="A864" t="s">
        <v>2715</v>
      </c>
      <c r="B864" s="1">
        <v>43090</v>
      </c>
      <c r="C864" s="1">
        <v>43090</v>
      </c>
      <c r="D864" t="s">
        <v>426</v>
      </c>
      <c r="E864" t="s">
        <v>672</v>
      </c>
      <c r="F864" t="s">
        <v>673</v>
      </c>
      <c r="G864" t="s">
        <v>101</v>
      </c>
      <c r="H864" t="s">
        <v>26</v>
      </c>
      <c r="I864" t="s">
        <v>2716</v>
      </c>
      <c r="J864" t="s">
        <v>842</v>
      </c>
      <c r="K864" t="s">
        <v>94</v>
      </c>
      <c r="L864" t="s">
        <v>928</v>
      </c>
      <c r="M864" t="s">
        <v>31</v>
      </c>
      <c r="N864" t="s">
        <v>57</v>
      </c>
      <c r="O864" t="s">
        <v>317</v>
      </c>
      <c r="P864">
        <v>15.92</v>
      </c>
      <c r="Q864">
        <v>2</v>
      </c>
      <c r="R864">
        <v>0</v>
      </c>
      <c r="S864">
        <v>7.0048000000000004</v>
      </c>
      <c r="T864" t="s">
        <v>431</v>
      </c>
      <c r="U864" t="s">
        <v>97</v>
      </c>
    </row>
    <row r="865" spans="1:21" x14ac:dyDescent="0.25">
      <c r="A865" t="s">
        <v>2717</v>
      </c>
      <c r="B865" s="1">
        <v>42254</v>
      </c>
      <c r="C865" s="1">
        <v>42254</v>
      </c>
      <c r="D865" t="s">
        <v>426</v>
      </c>
      <c r="E865" t="s">
        <v>1404</v>
      </c>
      <c r="F865" t="s">
        <v>1405</v>
      </c>
      <c r="G865" t="s">
        <v>25</v>
      </c>
      <c r="H865" t="s">
        <v>26</v>
      </c>
      <c r="I865" t="s">
        <v>174</v>
      </c>
      <c r="J865" t="s">
        <v>121</v>
      </c>
      <c r="K865" t="s">
        <v>68</v>
      </c>
      <c r="L865" t="s">
        <v>2287</v>
      </c>
      <c r="M865" t="s">
        <v>31</v>
      </c>
      <c r="N865" t="s">
        <v>46</v>
      </c>
      <c r="O865" t="s">
        <v>2288</v>
      </c>
      <c r="P865">
        <v>27.414000000000001</v>
      </c>
      <c r="Q865">
        <v>3</v>
      </c>
      <c r="R865">
        <v>0.4</v>
      </c>
      <c r="S865">
        <v>-14.1639</v>
      </c>
      <c r="T865" t="s">
        <v>431</v>
      </c>
      <c r="U865" t="s">
        <v>78</v>
      </c>
    </row>
    <row r="866" spans="1:21" x14ac:dyDescent="0.25">
      <c r="A866" t="s">
        <v>2718</v>
      </c>
      <c r="B866" s="1">
        <v>42363</v>
      </c>
      <c r="C866" s="1">
        <v>42370</v>
      </c>
      <c r="D866" t="s">
        <v>40</v>
      </c>
      <c r="E866" t="s">
        <v>2719</v>
      </c>
      <c r="F866" t="s">
        <v>2720</v>
      </c>
      <c r="G866" t="s">
        <v>91</v>
      </c>
      <c r="H866" t="s">
        <v>26</v>
      </c>
      <c r="I866" t="s">
        <v>289</v>
      </c>
      <c r="J866" t="s">
        <v>290</v>
      </c>
      <c r="K866" t="s">
        <v>94</v>
      </c>
      <c r="L866" t="s">
        <v>2721</v>
      </c>
      <c r="M866" t="s">
        <v>31</v>
      </c>
      <c r="N866" t="s">
        <v>32</v>
      </c>
      <c r="O866" t="s">
        <v>2722</v>
      </c>
      <c r="P866">
        <v>160.97999999999999</v>
      </c>
      <c r="Q866">
        <v>1</v>
      </c>
      <c r="R866">
        <v>0</v>
      </c>
      <c r="S866">
        <v>20.927399999999999</v>
      </c>
      <c r="T866" t="s">
        <v>48</v>
      </c>
      <c r="U866" t="s">
        <v>97</v>
      </c>
    </row>
    <row r="867" spans="1:21" x14ac:dyDescent="0.25">
      <c r="A867" t="s">
        <v>2723</v>
      </c>
      <c r="B867" s="1">
        <v>42943</v>
      </c>
      <c r="C867" s="1">
        <v>42947</v>
      </c>
      <c r="D867" t="s">
        <v>22</v>
      </c>
      <c r="E867" t="s">
        <v>2724</v>
      </c>
      <c r="F867" t="s">
        <v>2725</v>
      </c>
      <c r="G867" t="s">
        <v>25</v>
      </c>
      <c r="H867" t="s">
        <v>26</v>
      </c>
      <c r="I867" t="s">
        <v>607</v>
      </c>
      <c r="J867" t="s">
        <v>44</v>
      </c>
      <c r="K867" t="s">
        <v>29</v>
      </c>
      <c r="L867" t="s">
        <v>968</v>
      </c>
      <c r="M867" t="s">
        <v>31</v>
      </c>
      <c r="N867" t="s">
        <v>57</v>
      </c>
      <c r="O867" t="s">
        <v>969</v>
      </c>
      <c r="P867">
        <v>91.031999999999996</v>
      </c>
      <c r="Q867">
        <v>3</v>
      </c>
      <c r="R867">
        <v>0.2</v>
      </c>
      <c r="S867">
        <v>-2.2757999999999998</v>
      </c>
      <c r="T867" t="s">
        <v>84</v>
      </c>
      <c r="U867" t="s">
        <v>72</v>
      </c>
    </row>
    <row r="868" spans="1:21" x14ac:dyDescent="0.25">
      <c r="A868" t="s">
        <v>2726</v>
      </c>
      <c r="B868" s="1">
        <v>43070</v>
      </c>
      <c r="C868" s="1">
        <v>43073</v>
      </c>
      <c r="D868" t="s">
        <v>88</v>
      </c>
      <c r="E868" t="s">
        <v>709</v>
      </c>
      <c r="F868" t="s">
        <v>710</v>
      </c>
      <c r="G868" t="s">
        <v>25</v>
      </c>
      <c r="H868" t="s">
        <v>26</v>
      </c>
      <c r="I868" t="s">
        <v>66</v>
      </c>
      <c r="J868" t="s">
        <v>67</v>
      </c>
      <c r="K868" t="s">
        <v>68</v>
      </c>
      <c r="L868" t="s">
        <v>2673</v>
      </c>
      <c r="M868" t="s">
        <v>31</v>
      </c>
      <c r="N868" t="s">
        <v>57</v>
      </c>
      <c r="O868" t="s">
        <v>2674</v>
      </c>
      <c r="P868">
        <v>79.12</v>
      </c>
      <c r="Q868">
        <v>5</v>
      </c>
      <c r="R868">
        <v>0.2</v>
      </c>
      <c r="S868">
        <v>13.846</v>
      </c>
      <c r="T868" t="s">
        <v>34</v>
      </c>
      <c r="U868" t="s">
        <v>97</v>
      </c>
    </row>
    <row r="869" spans="1:21" x14ac:dyDescent="0.25">
      <c r="A869" t="s">
        <v>2727</v>
      </c>
      <c r="B869" s="1">
        <v>42765</v>
      </c>
      <c r="C869" s="1">
        <v>42772</v>
      </c>
      <c r="D869" t="s">
        <v>40</v>
      </c>
      <c r="E869" t="s">
        <v>685</v>
      </c>
      <c r="F869" t="s">
        <v>686</v>
      </c>
      <c r="G869" t="s">
        <v>101</v>
      </c>
      <c r="H869" t="s">
        <v>26</v>
      </c>
      <c r="I869" t="s">
        <v>329</v>
      </c>
      <c r="J869" t="s">
        <v>54</v>
      </c>
      <c r="K869" t="s">
        <v>55</v>
      </c>
      <c r="L869" t="s">
        <v>160</v>
      </c>
      <c r="M869" t="s">
        <v>31</v>
      </c>
      <c r="N869" t="s">
        <v>37</v>
      </c>
      <c r="O869" t="s">
        <v>161</v>
      </c>
      <c r="P869">
        <v>120.78400000000001</v>
      </c>
      <c r="Q869">
        <v>1</v>
      </c>
      <c r="R869">
        <v>0.2</v>
      </c>
      <c r="S869">
        <v>-13.588200000000001</v>
      </c>
      <c r="T869" t="s">
        <v>48</v>
      </c>
      <c r="U869" t="s">
        <v>170</v>
      </c>
    </row>
    <row r="870" spans="1:21" x14ac:dyDescent="0.25">
      <c r="A870" t="s">
        <v>2728</v>
      </c>
      <c r="B870" s="1">
        <v>42336</v>
      </c>
      <c r="C870" s="1">
        <v>42342</v>
      </c>
      <c r="D870" t="s">
        <v>40</v>
      </c>
      <c r="E870" t="s">
        <v>2299</v>
      </c>
      <c r="F870" t="s">
        <v>2300</v>
      </c>
      <c r="G870" t="s">
        <v>25</v>
      </c>
      <c r="H870" t="s">
        <v>26</v>
      </c>
      <c r="I870" t="s">
        <v>2729</v>
      </c>
      <c r="J870" t="s">
        <v>121</v>
      </c>
      <c r="K870" t="s">
        <v>68</v>
      </c>
      <c r="L870" t="s">
        <v>309</v>
      </c>
      <c r="M870" t="s">
        <v>31</v>
      </c>
      <c r="N870" t="s">
        <v>57</v>
      </c>
      <c r="O870" t="s">
        <v>310</v>
      </c>
      <c r="P870">
        <v>322.58999999999997</v>
      </c>
      <c r="Q870">
        <v>3</v>
      </c>
      <c r="R870">
        <v>0</v>
      </c>
      <c r="S870">
        <v>64.518000000000001</v>
      </c>
      <c r="T870" t="s">
        <v>130</v>
      </c>
      <c r="U870" t="s">
        <v>35</v>
      </c>
    </row>
    <row r="871" spans="1:21" x14ac:dyDescent="0.25">
      <c r="A871" t="s">
        <v>2730</v>
      </c>
      <c r="B871" s="1">
        <v>41923</v>
      </c>
      <c r="C871" s="1">
        <v>41925</v>
      </c>
      <c r="D871" t="s">
        <v>88</v>
      </c>
      <c r="E871" t="s">
        <v>336</v>
      </c>
      <c r="F871" t="s">
        <v>337</v>
      </c>
      <c r="G871" t="s">
        <v>25</v>
      </c>
      <c r="H871" t="s">
        <v>26</v>
      </c>
      <c r="I871" t="s">
        <v>1186</v>
      </c>
      <c r="J871" t="s">
        <v>54</v>
      </c>
      <c r="K871" t="s">
        <v>55</v>
      </c>
      <c r="L871" t="s">
        <v>2731</v>
      </c>
      <c r="M871" t="s">
        <v>31</v>
      </c>
      <c r="N871" t="s">
        <v>37</v>
      </c>
      <c r="O871" t="s">
        <v>2732</v>
      </c>
      <c r="P871">
        <v>433.56799999999998</v>
      </c>
      <c r="Q871">
        <v>2</v>
      </c>
      <c r="R871">
        <v>0.2</v>
      </c>
      <c r="S871">
        <v>-65.035200000000003</v>
      </c>
      <c r="T871" t="s">
        <v>71</v>
      </c>
      <c r="U871" t="s">
        <v>49</v>
      </c>
    </row>
    <row r="872" spans="1:21" x14ac:dyDescent="0.25">
      <c r="A872" t="s">
        <v>2733</v>
      </c>
      <c r="B872" s="1">
        <v>42709</v>
      </c>
      <c r="C872" s="1">
        <v>42711</v>
      </c>
      <c r="D872" t="s">
        <v>88</v>
      </c>
      <c r="E872" t="s">
        <v>2004</v>
      </c>
      <c r="F872" t="s">
        <v>2005</v>
      </c>
      <c r="G872" t="s">
        <v>91</v>
      </c>
      <c r="H872" t="s">
        <v>26</v>
      </c>
      <c r="I872" t="s">
        <v>238</v>
      </c>
      <c r="J872" t="s">
        <v>435</v>
      </c>
      <c r="K872" t="s">
        <v>68</v>
      </c>
      <c r="L872" t="s">
        <v>2734</v>
      </c>
      <c r="M872" t="s">
        <v>31</v>
      </c>
      <c r="N872" t="s">
        <v>32</v>
      </c>
      <c r="O872" t="s">
        <v>2735</v>
      </c>
      <c r="P872">
        <v>81.94</v>
      </c>
      <c r="Q872">
        <v>1</v>
      </c>
      <c r="R872">
        <v>0</v>
      </c>
      <c r="S872">
        <v>20.484999999999999</v>
      </c>
      <c r="T872" t="s">
        <v>71</v>
      </c>
      <c r="U872" t="s">
        <v>97</v>
      </c>
    </row>
    <row r="873" spans="1:21" x14ac:dyDescent="0.25">
      <c r="A873" t="s">
        <v>2736</v>
      </c>
      <c r="B873" s="1">
        <v>42324</v>
      </c>
      <c r="C873" s="1">
        <v>42328</v>
      </c>
      <c r="D873" t="s">
        <v>40</v>
      </c>
      <c r="E873" t="s">
        <v>270</v>
      </c>
      <c r="F873" t="s">
        <v>271</v>
      </c>
      <c r="G873" t="s">
        <v>91</v>
      </c>
      <c r="H873" t="s">
        <v>26</v>
      </c>
      <c r="I873" t="s">
        <v>2737</v>
      </c>
      <c r="J873" t="s">
        <v>2281</v>
      </c>
      <c r="K873" t="s">
        <v>55</v>
      </c>
      <c r="L873" t="s">
        <v>45</v>
      </c>
      <c r="M873" t="s">
        <v>31</v>
      </c>
      <c r="N873" t="s">
        <v>46</v>
      </c>
      <c r="O873" t="s">
        <v>47</v>
      </c>
      <c r="P873">
        <v>696.42</v>
      </c>
      <c r="Q873">
        <v>2</v>
      </c>
      <c r="R873">
        <v>0</v>
      </c>
      <c r="S873">
        <v>160.17660000000001</v>
      </c>
      <c r="T873" t="s">
        <v>84</v>
      </c>
      <c r="U873" t="s">
        <v>35</v>
      </c>
    </row>
    <row r="874" spans="1:21" x14ac:dyDescent="0.25">
      <c r="A874" t="s">
        <v>2738</v>
      </c>
      <c r="B874" s="1">
        <v>42468</v>
      </c>
      <c r="C874" s="1">
        <v>42474</v>
      </c>
      <c r="D874" t="s">
        <v>40</v>
      </c>
      <c r="E874" t="s">
        <v>1655</v>
      </c>
      <c r="F874" t="s">
        <v>1656</v>
      </c>
      <c r="G874" t="s">
        <v>25</v>
      </c>
      <c r="H874" t="s">
        <v>26</v>
      </c>
      <c r="I874" t="s">
        <v>53</v>
      </c>
      <c r="J874" t="s">
        <v>54</v>
      </c>
      <c r="K874" t="s">
        <v>55</v>
      </c>
      <c r="L874" t="s">
        <v>803</v>
      </c>
      <c r="M874" t="s">
        <v>31</v>
      </c>
      <c r="N874" t="s">
        <v>57</v>
      </c>
      <c r="O874" t="s">
        <v>804</v>
      </c>
      <c r="P874">
        <v>24.7</v>
      </c>
      <c r="Q874">
        <v>5</v>
      </c>
      <c r="R874">
        <v>0</v>
      </c>
      <c r="S874">
        <v>10.374000000000001</v>
      </c>
      <c r="T874" t="s">
        <v>130</v>
      </c>
      <c r="U874" t="s">
        <v>114</v>
      </c>
    </row>
    <row r="875" spans="1:21" x14ac:dyDescent="0.25">
      <c r="A875" t="s">
        <v>2739</v>
      </c>
      <c r="B875" s="1">
        <v>41943</v>
      </c>
      <c r="C875" s="1">
        <v>41945</v>
      </c>
      <c r="D875" t="s">
        <v>22</v>
      </c>
      <c r="E875" t="s">
        <v>1640</v>
      </c>
      <c r="F875" t="s">
        <v>1641</v>
      </c>
      <c r="G875" t="s">
        <v>25</v>
      </c>
      <c r="H875" t="s">
        <v>26</v>
      </c>
      <c r="I875" t="s">
        <v>2740</v>
      </c>
      <c r="J875" t="s">
        <v>1646</v>
      </c>
      <c r="K875" t="s">
        <v>68</v>
      </c>
      <c r="L875" t="s">
        <v>1719</v>
      </c>
      <c r="M875" t="s">
        <v>31</v>
      </c>
      <c r="N875" t="s">
        <v>57</v>
      </c>
      <c r="O875" t="s">
        <v>1720</v>
      </c>
      <c r="P875">
        <v>14.76</v>
      </c>
      <c r="Q875">
        <v>2</v>
      </c>
      <c r="R875">
        <v>0</v>
      </c>
      <c r="S875">
        <v>4.2804000000000002</v>
      </c>
      <c r="T875" t="s">
        <v>71</v>
      </c>
      <c r="U875" t="s">
        <v>49</v>
      </c>
    </row>
    <row r="876" spans="1:21" x14ac:dyDescent="0.25">
      <c r="A876" t="s">
        <v>2739</v>
      </c>
      <c r="B876" s="1">
        <v>41943</v>
      </c>
      <c r="C876" s="1">
        <v>41945</v>
      </c>
      <c r="D876" t="s">
        <v>22</v>
      </c>
      <c r="E876" t="s">
        <v>1640</v>
      </c>
      <c r="F876" t="s">
        <v>1641</v>
      </c>
      <c r="G876" t="s">
        <v>25</v>
      </c>
      <c r="H876" t="s">
        <v>26</v>
      </c>
      <c r="I876" t="s">
        <v>2740</v>
      </c>
      <c r="J876" t="s">
        <v>1646</v>
      </c>
      <c r="K876" t="s">
        <v>68</v>
      </c>
      <c r="L876" t="s">
        <v>423</v>
      </c>
      <c r="M876" t="s">
        <v>31</v>
      </c>
      <c r="N876" t="s">
        <v>57</v>
      </c>
      <c r="O876" t="s">
        <v>424</v>
      </c>
      <c r="P876">
        <v>17.670000000000002</v>
      </c>
      <c r="Q876">
        <v>3</v>
      </c>
      <c r="R876">
        <v>0</v>
      </c>
      <c r="S876">
        <v>7.7747999999999999</v>
      </c>
      <c r="T876" t="s">
        <v>71</v>
      </c>
      <c r="U876" t="s">
        <v>49</v>
      </c>
    </row>
    <row r="877" spans="1:21" x14ac:dyDescent="0.25">
      <c r="A877" t="s">
        <v>2739</v>
      </c>
      <c r="B877" s="1">
        <v>41943</v>
      </c>
      <c r="C877" s="1">
        <v>41945</v>
      </c>
      <c r="D877" t="s">
        <v>22</v>
      </c>
      <c r="E877" t="s">
        <v>1640</v>
      </c>
      <c r="F877" t="s">
        <v>1641</v>
      </c>
      <c r="G877" t="s">
        <v>25</v>
      </c>
      <c r="H877" t="s">
        <v>26</v>
      </c>
      <c r="I877" t="s">
        <v>2740</v>
      </c>
      <c r="J877" t="s">
        <v>1646</v>
      </c>
      <c r="K877" t="s">
        <v>68</v>
      </c>
      <c r="L877" t="s">
        <v>2274</v>
      </c>
      <c r="M877" t="s">
        <v>31</v>
      </c>
      <c r="N877" t="s">
        <v>37</v>
      </c>
      <c r="O877" t="s">
        <v>2275</v>
      </c>
      <c r="P877">
        <v>1604.9</v>
      </c>
      <c r="Q877">
        <v>5</v>
      </c>
      <c r="R877">
        <v>0</v>
      </c>
      <c r="S877">
        <v>481.47</v>
      </c>
      <c r="T877" t="s">
        <v>71</v>
      </c>
      <c r="U877" t="s">
        <v>49</v>
      </c>
    </row>
    <row r="878" spans="1:21" x14ac:dyDescent="0.25">
      <c r="A878" t="s">
        <v>2739</v>
      </c>
      <c r="B878" s="1">
        <v>41943</v>
      </c>
      <c r="C878" s="1">
        <v>41945</v>
      </c>
      <c r="D878" t="s">
        <v>22</v>
      </c>
      <c r="E878" t="s">
        <v>1640</v>
      </c>
      <c r="F878" t="s">
        <v>1641</v>
      </c>
      <c r="G878" t="s">
        <v>25</v>
      </c>
      <c r="H878" t="s">
        <v>26</v>
      </c>
      <c r="I878" t="s">
        <v>2740</v>
      </c>
      <c r="J878" t="s">
        <v>1646</v>
      </c>
      <c r="K878" t="s">
        <v>68</v>
      </c>
      <c r="L878" t="s">
        <v>1724</v>
      </c>
      <c r="M878" t="s">
        <v>31</v>
      </c>
      <c r="N878" t="s">
        <v>46</v>
      </c>
      <c r="O878" t="s">
        <v>1725</v>
      </c>
      <c r="P878">
        <v>385.68599999999998</v>
      </c>
      <c r="Q878">
        <v>1</v>
      </c>
      <c r="R878">
        <v>0.3</v>
      </c>
      <c r="S878">
        <v>-60.607799999999997</v>
      </c>
      <c r="T878" t="s">
        <v>71</v>
      </c>
      <c r="U878" t="s">
        <v>49</v>
      </c>
    </row>
    <row r="879" spans="1:21" x14ac:dyDescent="0.25">
      <c r="A879" t="s">
        <v>2741</v>
      </c>
      <c r="B879" s="1">
        <v>42826</v>
      </c>
      <c r="C879" s="1">
        <v>42828</v>
      </c>
      <c r="D879" t="s">
        <v>88</v>
      </c>
      <c r="E879" t="s">
        <v>2742</v>
      </c>
      <c r="F879" t="s">
        <v>2743</v>
      </c>
      <c r="G879" t="s">
        <v>91</v>
      </c>
      <c r="H879" t="s">
        <v>26</v>
      </c>
      <c r="I879" t="s">
        <v>329</v>
      </c>
      <c r="J879" t="s">
        <v>54</v>
      </c>
      <c r="K879" t="s">
        <v>55</v>
      </c>
      <c r="L879" t="s">
        <v>2744</v>
      </c>
      <c r="M879" t="s">
        <v>31</v>
      </c>
      <c r="N879" t="s">
        <v>32</v>
      </c>
      <c r="O879" t="s">
        <v>2745</v>
      </c>
      <c r="P879">
        <v>482.66399999999999</v>
      </c>
      <c r="Q879">
        <v>8</v>
      </c>
      <c r="R879">
        <v>0.15</v>
      </c>
      <c r="S879">
        <v>85.176000000000002</v>
      </c>
      <c r="T879" t="s">
        <v>71</v>
      </c>
      <c r="U879" t="s">
        <v>114</v>
      </c>
    </row>
    <row r="880" spans="1:21" x14ac:dyDescent="0.25">
      <c r="A880" t="s">
        <v>2746</v>
      </c>
      <c r="B880" s="1">
        <v>42897</v>
      </c>
      <c r="C880" s="1">
        <v>42899</v>
      </c>
      <c r="D880" t="s">
        <v>22</v>
      </c>
      <c r="E880" t="s">
        <v>2020</v>
      </c>
      <c r="F880" t="s">
        <v>2021</v>
      </c>
      <c r="G880" t="s">
        <v>25</v>
      </c>
      <c r="H880" t="s">
        <v>26</v>
      </c>
      <c r="I880" t="s">
        <v>192</v>
      </c>
      <c r="J880" t="s">
        <v>193</v>
      </c>
      <c r="K880" t="s">
        <v>55</v>
      </c>
      <c r="L880" t="s">
        <v>861</v>
      </c>
      <c r="M880" t="s">
        <v>31</v>
      </c>
      <c r="N880" t="s">
        <v>32</v>
      </c>
      <c r="O880" t="s">
        <v>862</v>
      </c>
      <c r="P880">
        <v>174.42</v>
      </c>
      <c r="Q880">
        <v>3</v>
      </c>
      <c r="R880">
        <v>0</v>
      </c>
      <c r="S880">
        <v>41.860799999999998</v>
      </c>
      <c r="T880" t="s">
        <v>71</v>
      </c>
      <c r="U880" t="s">
        <v>60</v>
      </c>
    </row>
    <row r="881" spans="1:21" x14ac:dyDescent="0.25">
      <c r="A881" t="s">
        <v>2747</v>
      </c>
      <c r="B881" s="1">
        <v>41986</v>
      </c>
      <c r="C881" s="1">
        <v>41990</v>
      </c>
      <c r="D881" t="s">
        <v>40</v>
      </c>
      <c r="E881" t="s">
        <v>624</v>
      </c>
      <c r="F881" t="s">
        <v>625</v>
      </c>
      <c r="G881" t="s">
        <v>91</v>
      </c>
      <c r="H881" t="s">
        <v>26</v>
      </c>
      <c r="I881" t="s">
        <v>134</v>
      </c>
      <c r="J881" t="s">
        <v>135</v>
      </c>
      <c r="K881" t="s">
        <v>94</v>
      </c>
      <c r="L881" t="s">
        <v>2748</v>
      </c>
      <c r="M881" t="s">
        <v>31</v>
      </c>
      <c r="N881" t="s">
        <v>57</v>
      </c>
      <c r="O881" t="s">
        <v>2749</v>
      </c>
      <c r="P881">
        <v>94.427999999999997</v>
      </c>
      <c r="Q881">
        <v>3</v>
      </c>
      <c r="R881">
        <v>0.6</v>
      </c>
      <c r="S881">
        <v>-42.492600000000003</v>
      </c>
      <c r="T881" t="s">
        <v>84</v>
      </c>
      <c r="U881" t="s">
        <v>97</v>
      </c>
    </row>
    <row r="882" spans="1:21" x14ac:dyDescent="0.25">
      <c r="A882" t="s">
        <v>2750</v>
      </c>
      <c r="B882" s="1">
        <v>42009</v>
      </c>
      <c r="C882" s="1">
        <v>42014</v>
      </c>
      <c r="D882" t="s">
        <v>40</v>
      </c>
      <c r="E882" t="s">
        <v>2751</v>
      </c>
      <c r="F882" t="s">
        <v>2752</v>
      </c>
      <c r="G882" t="s">
        <v>101</v>
      </c>
      <c r="H882" t="s">
        <v>26</v>
      </c>
      <c r="I882" t="s">
        <v>192</v>
      </c>
      <c r="J882" t="s">
        <v>193</v>
      </c>
      <c r="K882" t="s">
        <v>55</v>
      </c>
      <c r="L882" t="s">
        <v>489</v>
      </c>
      <c r="M882" t="s">
        <v>31</v>
      </c>
      <c r="N882" t="s">
        <v>37</v>
      </c>
      <c r="O882" t="s">
        <v>490</v>
      </c>
      <c r="P882">
        <v>61.584000000000003</v>
      </c>
      <c r="Q882">
        <v>1</v>
      </c>
      <c r="R882">
        <v>0.2</v>
      </c>
      <c r="S882">
        <v>-6.9282000000000004</v>
      </c>
      <c r="T882" t="s">
        <v>59</v>
      </c>
      <c r="U882" t="s">
        <v>170</v>
      </c>
    </row>
    <row r="883" spans="1:21" x14ac:dyDescent="0.25">
      <c r="A883" t="s">
        <v>2753</v>
      </c>
      <c r="B883" s="1">
        <v>42921</v>
      </c>
      <c r="C883" s="1">
        <v>42926</v>
      </c>
      <c r="D883" t="s">
        <v>40</v>
      </c>
      <c r="E883" t="s">
        <v>1106</v>
      </c>
      <c r="F883" t="s">
        <v>1107</v>
      </c>
      <c r="G883" t="s">
        <v>91</v>
      </c>
      <c r="H883" t="s">
        <v>26</v>
      </c>
      <c r="I883" t="s">
        <v>1740</v>
      </c>
      <c r="J883" t="s">
        <v>93</v>
      </c>
      <c r="K883" t="s">
        <v>94</v>
      </c>
      <c r="L883" t="s">
        <v>921</v>
      </c>
      <c r="M883" t="s">
        <v>31</v>
      </c>
      <c r="N883" t="s">
        <v>57</v>
      </c>
      <c r="O883" t="s">
        <v>922</v>
      </c>
      <c r="P883">
        <v>332.02800000000002</v>
      </c>
      <c r="Q883">
        <v>9</v>
      </c>
      <c r="R883">
        <v>0.6</v>
      </c>
      <c r="S883">
        <v>-348.62939999999998</v>
      </c>
      <c r="T883" t="s">
        <v>59</v>
      </c>
      <c r="U883" t="s">
        <v>72</v>
      </c>
    </row>
    <row r="884" spans="1:21" x14ac:dyDescent="0.25">
      <c r="A884" t="s">
        <v>2754</v>
      </c>
      <c r="B884" s="1">
        <v>43067</v>
      </c>
      <c r="C884" s="1">
        <v>43073</v>
      </c>
      <c r="D884" t="s">
        <v>40</v>
      </c>
      <c r="E884" t="s">
        <v>216</v>
      </c>
      <c r="F884" t="s">
        <v>217</v>
      </c>
      <c r="G884" t="s">
        <v>101</v>
      </c>
      <c r="H884" t="s">
        <v>26</v>
      </c>
      <c r="I884" t="s">
        <v>2755</v>
      </c>
      <c r="J884" t="s">
        <v>1090</v>
      </c>
      <c r="K884" t="s">
        <v>68</v>
      </c>
      <c r="L884" t="s">
        <v>314</v>
      </c>
      <c r="M884" t="s">
        <v>31</v>
      </c>
      <c r="N884" t="s">
        <v>57</v>
      </c>
      <c r="O884" t="s">
        <v>315</v>
      </c>
      <c r="P884">
        <v>1049.2</v>
      </c>
      <c r="Q884">
        <v>5</v>
      </c>
      <c r="R884">
        <v>0</v>
      </c>
      <c r="S884">
        <v>272.79199999999997</v>
      </c>
      <c r="T884" t="s">
        <v>130</v>
      </c>
      <c r="U884" t="s">
        <v>35</v>
      </c>
    </row>
    <row r="885" spans="1:21" x14ac:dyDescent="0.25">
      <c r="A885" t="s">
        <v>2754</v>
      </c>
      <c r="B885" s="1">
        <v>43067</v>
      </c>
      <c r="C885" s="1">
        <v>43073</v>
      </c>
      <c r="D885" t="s">
        <v>40</v>
      </c>
      <c r="E885" t="s">
        <v>216</v>
      </c>
      <c r="F885" t="s">
        <v>217</v>
      </c>
      <c r="G885" t="s">
        <v>101</v>
      </c>
      <c r="H885" t="s">
        <v>26</v>
      </c>
      <c r="I885" t="s">
        <v>2755</v>
      </c>
      <c r="J885" t="s">
        <v>1090</v>
      </c>
      <c r="K885" t="s">
        <v>68</v>
      </c>
      <c r="L885" t="s">
        <v>1312</v>
      </c>
      <c r="M885" t="s">
        <v>31</v>
      </c>
      <c r="N885" t="s">
        <v>57</v>
      </c>
      <c r="O885" t="s">
        <v>1313</v>
      </c>
      <c r="P885">
        <v>20.9</v>
      </c>
      <c r="Q885">
        <v>5</v>
      </c>
      <c r="R885">
        <v>0</v>
      </c>
      <c r="S885">
        <v>7.524</v>
      </c>
      <c r="T885" t="s">
        <v>130</v>
      </c>
      <c r="U885" t="s">
        <v>35</v>
      </c>
    </row>
    <row r="886" spans="1:21" x14ac:dyDescent="0.25">
      <c r="A886" t="s">
        <v>2756</v>
      </c>
      <c r="B886" s="1">
        <v>42705</v>
      </c>
      <c r="C886" s="1">
        <v>42709</v>
      </c>
      <c r="D886" t="s">
        <v>22</v>
      </c>
      <c r="E886" t="s">
        <v>2757</v>
      </c>
      <c r="F886" t="s">
        <v>2758</v>
      </c>
      <c r="G886" t="s">
        <v>25</v>
      </c>
      <c r="H886" t="s">
        <v>26</v>
      </c>
      <c r="I886" t="s">
        <v>1581</v>
      </c>
      <c r="J886" t="s">
        <v>430</v>
      </c>
      <c r="K886" t="s">
        <v>68</v>
      </c>
      <c r="L886" t="s">
        <v>626</v>
      </c>
      <c r="M886" t="s">
        <v>31</v>
      </c>
      <c r="N886" t="s">
        <v>37</v>
      </c>
      <c r="O886" t="s">
        <v>627</v>
      </c>
      <c r="P886">
        <v>751.92</v>
      </c>
      <c r="Q886">
        <v>4</v>
      </c>
      <c r="R886">
        <v>0</v>
      </c>
      <c r="S886">
        <v>150.38399999999999</v>
      </c>
      <c r="T886" t="s">
        <v>84</v>
      </c>
      <c r="U886" t="s">
        <v>97</v>
      </c>
    </row>
    <row r="887" spans="1:21" x14ac:dyDescent="0.25">
      <c r="A887" t="s">
        <v>2759</v>
      </c>
      <c r="B887" s="1">
        <v>41901</v>
      </c>
      <c r="C887" s="1">
        <v>41901</v>
      </c>
      <c r="D887" t="s">
        <v>426</v>
      </c>
      <c r="E887" t="s">
        <v>2760</v>
      </c>
      <c r="F887" t="s">
        <v>2761</v>
      </c>
      <c r="G887" t="s">
        <v>91</v>
      </c>
      <c r="H887" t="s">
        <v>26</v>
      </c>
      <c r="I887" t="s">
        <v>174</v>
      </c>
      <c r="J887" t="s">
        <v>121</v>
      </c>
      <c r="K887" t="s">
        <v>68</v>
      </c>
      <c r="L887" t="s">
        <v>1533</v>
      </c>
      <c r="M887" t="s">
        <v>31</v>
      </c>
      <c r="N887" t="s">
        <v>37</v>
      </c>
      <c r="O887" t="s">
        <v>1534</v>
      </c>
      <c r="P887">
        <v>887.10299999999995</v>
      </c>
      <c r="Q887">
        <v>7</v>
      </c>
      <c r="R887">
        <v>0.1</v>
      </c>
      <c r="S887">
        <v>177.42060000000001</v>
      </c>
      <c r="T887" t="s">
        <v>431</v>
      </c>
      <c r="U887" t="s">
        <v>78</v>
      </c>
    </row>
    <row r="888" spans="1:21" x14ac:dyDescent="0.25">
      <c r="A888" t="s">
        <v>2762</v>
      </c>
      <c r="B888" s="1">
        <v>43021</v>
      </c>
      <c r="C888" s="1">
        <v>43024</v>
      </c>
      <c r="D888" t="s">
        <v>88</v>
      </c>
      <c r="E888" t="s">
        <v>1429</v>
      </c>
      <c r="F888" t="s">
        <v>1430</v>
      </c>
      <c r="G888" t="s">
        <v>25</v>
      </c>
      <c r="H888" t="s">
        <v>26</v>
      </c>
      <c r="I888" t="s">
        <v>2729</v>
      </c>
      <c r="J888" t="s">
        <v>135</v>
      </c>
      <c r="K888" t="s">
        <v>94</v>
      </c>
      <c r="L888" t="s">
        <v>896</v>
      </c>
      <c r="M888" t="s">
        <v>31</v>
      </c>
      <c r="N888" t="s">
        <v>57</v>
      </c>
      <c r="O888" t="s">
        <v>897</v>
      </c>
      <c r="P888">
        <v>10.476000000000001</v>
      </c>
      <c r="Q888">
        <v>3</v>
      </c>
      <c r="R888">
        <v>0.6</v>
      </c>
      <c r="S888">
        <v>-6.8094000000000001</v>
      </c>
      <c r="T888" t="s">
        <v>34</v>
      </c>
      <c r="U888" t="s">
        <v>49</v>
      </c>
    </row>
    <row r="889" spans="1:21" x14ac:dyDescent="0.25">
      <c r="A889" t="s">
        <v>2763</v>
      </c>
      <c r="B889" s="1">
        <v>42443</v>
      </c>
      <c r="C889" s="1">
        <v>42445</v>
      </c>
      <c r="D889" t="s">
        <v>88</v>
      </c>
      <c r="E889" t="s">
        <v>2626</v>
      </c>
      <c r="F889" t="s">
        <v>2627</v>
      </c>
      <c r="G889" t="s">
        <v>91</v>
      </c>
      <c r="H889" t="s">
        <v>26</v>
      </c>
      <c r="I889" t="s">
        <v>192</v>
      </c>
      <c r="J889" t="s">
        <v>193</v>
      </c>
      <c r="K889" t="s">
        <v>55</v>
      </c>
      <c r="L889" t="s">
        <v>1029</v>
      </c>
      <c r="M889" t="s">
        <v>31</v>
      </c>
      <c r="N889" t="s">
        <v>37</v>
      </c>
      <c r="O889" t="s">
        <v>1030</v>
      </c>
      <c r="P889">
        <v>196.78399999999999</v>
      </c>
      <c r="Q889">
        <v>2</v>
      </c>
      <c r="R889">
        <v>0.2</v>
      </c>
      <c r="S889">
        <v>-22.138200000000001</v>
      </c>
      <c r="T889" t="s">
        <v>71</v>
      </c>
      <c r="U889" t="s">
        <v>196</v>
      </c>
    </row>
    <row r="890" spans="1:21" x14ac:dyDescent="0.25">
      <c r="A890" t="s">
        <v>2764</v>
      </c>
      <c r="B890" s="1">
        <v>42679</v>
      </c>
      <c r="C890" s="1">
        <v>42683</v>
      </c>
      <c r="D890" t="s">
        <v>40</v>
      </c>
      <c r="E890" t="s">
        <v>2064</v>
      </c>
      <c r="F890" t="s">
        <v>2065</v>
      </c>
      <c r="G890" t="s">
        <v>25</v>
      </c>
      <c r="H890" t="s">
        <v>26</v>
      </c>
      <c r="I890" t="s">
        <v>102</v>
      </c>
      <c r="J890" t="s">
        <v>93</v>
      </c>
      <c r="K890" t="s">
        <v>94</v>
      </c>
      <c r="L890" t="s">
        <v>732</v>
      </c>
      <c r="M890" t="s">
        <v>31</v>
      </c>
      <c r="N890" t="s">
        <v>46</v>
      </c>
      <c r="O890" t="s">
        <v>733</v>
      </c>
      <c r="P890">
        <v>863.12800000000004</v>
      </c>
      <c r="Q890">
        <v>8</v>
      </c>
      <c r="R890">
        <v>0.3</v>
      </c>
      <c r="S890">
        <v>-160.29519999999999</v>
      </c>
      <c r="T890" t="s">
        <v>84</v>
      </c>
      <c r="U890" t="s">
        <v>35</v>
      </c>
    </row>
    <row r="891" spans="1:21" x14ac:dyDescent="0.25">
      <c r="A891" t="s">
        <v>2764</v>
      </c>
      <c r="B891" s="1">
        <v>42679</v>
      </c>
      <c r="C891" s="1">
        <v>42683</v>
      </c>
      <c r="D891" t="s">
        <v>40</v>
      </c>
      <c r="E891" t="s">
        <v>2064</v>
      </c>
      <c r="F891" t="s">
        <v>2065</v>
      </c>
      <c r="G891" t="s">
        <v>25</v>
      </c>
      <c r="H891" t="s">
        <v>26</v>
      </c>
      <c r="I891" t="s">
        <v>102</v>
      </c>
      <c r="J891" t="s">
        <v>93</v>
      </c>
      <c r="K891" t="s">
        <v>94</v>
      </c>
      <c r="L891" t="s">
        <v>1870</v>
      </c>
      <c r="M891" t="s">
        <v>31</v>
      </c>
      <c r="N891" t="s">
        <v>32</v>
      </c>
      <c r="O891" t="s">
        <v>1871</v>
      </c>
      <c r="P891">
        <v>956.66480000000001</v>
      </c>
      <c r="Q891">
        <v>7</v>
      </c>
      <c r="R891">
        <v>0.32</v>
      </c>
      <c r="S891">
        <v>-225.0976</v>
      </c>
      <c r="T891" t="s">
        <v>84</v>
      </c>
      <c r="U891" t="s">
        <v>35</v>
      </c>
    </row>
    <row r="892" spans="1:21" x14ac:dyDescent="0.25">
      <c r="A892" t="s">
        <v>2765</v>
      </c>
      <c r="B892" s="1">
        <v>42911</v>
      </c>
      <c r="C892" s="1">
        <v>42915</v>
      </c>
      <c r="D892" t="s">
        <v>22</v>
      </c>
      <c r="E892" t="s">
        <v>1640</v>
      </c>
      <c r="F892" t="s">
        <v>1641</v>
      </c>
      <c r="G892" t="s">
        <v>25</v>
      </c>
      <c r="H892" t="s">
        <v>26</v>
      </c>
      <c r="I892" t="s">
        <v>192</v>
      </c>
      <c r="J892" t="s">
        <v>193</v>
      </c>
      <c r="K892" t="s">
        <v>55</v>
      </c>
      <c r="L892" t="s">
        <v>700</v>
      </c>
      <c r="M892" t="s">
        <v>31</v>
      </c>
      <c r="N892" t="s">
        <v>46</v>
      </c>
      <c r="O892" t="s">
        <v>701</v>
      </c>
      <c r="P892">
        <v>871.4</v>
      </c>
      <c r="Q892">
        <v>4</v>
      </c>
      <c r="R892">
        <v>0</v>
      </c>
      <c r="S892">
        <v>148.13800000000001</v>
      </c>
      <c r="T892" t="s">
        <v>84</v>
      </c>
      <c r="U892" t="s">
        <v>60</v>
      </c>
    </row>
    <row r="893" spans="1:21" x14ac:dyDescent="0.25">
      <c r="A893" t="s">
        <v>2766</v>
      </c>
      <c r="B893" s="1">
        <v>42334</v>
      </c>
      <c r="C893" s="1">
        <v>42338</v>
      </c>
      <c r="D893" t="s">
        <v>40</v>
      </c>
      <c r="E893" t="s">
        <v>2767</v>
      </c>
      <c r="F893" t="s">
        <v>2768</v>
      </c>
      <c r="G893" t="s">
        <v>91</v>
      </c>
      <c r="H893" t="s">
        <v>26</v>
      </c>
      <c r="I893" t="s">
        <v>478</v>
      </c>
      <c r="J893" t="s">
        <v>142</v>
      </c>
      <c r="K893" t="s">
        <v>29</v>
      </c>
      <c r="L893" t="s">
        <v>2748</v>
      </c>
      <c r="M893" t="s">
        <v>31</v>
      </c>
      <c r="N893" t="s">
        <v>57</v>
      </c>
      <c r="O893" t="s">
        <v>2749</v>
      </c>
      <c r="P893">
        <v>692.47199999999998</v>
      </c>
      <c r="Q893">
        <v>11</v>
      </c>
      <c r="R893">
        <v>0.2</v>
      </c>
      <c r="S893">
        <v>190.4298</v>
      </c>
      <c r="T893" t="s">
        <v>84</v>
      </c>
      <c r="U893" t="s">
        <v>35</v>
      </c>
    </row>
    <row r="894" spans="1:21" x14ac:dyDescent="0.25">
      <c r="A894" t="s">
        <v>2769</v>
      </c>
      <c r="B894" s="1">
        <v>42698</v>
      </c>
      <c r="C894" s="1">
        <v>42701</v>
      </c>
      <c r="D894" t="s">
        <v>22</v>
      </c>
      <c r="E894" t="s">
        <v>985</v>
      </c>
      <c r="F894" t="s">
        <v>986</v>
      </c>
      <c r="G894" t="s">
        <v>91</v>
      </c>
      <c r="H894" t="s">
        <v>26</v>
      </c>
      <c r="I894" t="s">
        <v>2755</v>
      </c>
      <c r="J894" t="s">
        <v>1090</v>
      </c>
      <c r="K894" t="s">
        <v>68</v>
      </c>
      <c r="L894" t="s">
        <v>880</v>
      </c>
      <c r="M894" t="s">
        <v>31</v>
      </c>
      <c r="N894" t="s">
        <v>57</v>
      </c>
      <c r="O894" t="s">
        <v>881</v>
      </c>
      <c r="P894">
        <v>207.76</v>
      </c>
      <c r="Q894">
        <v>4</v>
      </c>
      <c r="R894">
        <v>0</v>
      </c>
      <c r="S894">
        <v>85.181600000000003</v>
      </c>
      <c r="T894" t="s">
        <v>34</v>
      </c>
      <c r="U894" t="s">
        <v>35</v>
      </c>
    </row>
    <row r="895" spans="1:21" x14ac:dyDescent="0.25">
      <c r="A895" t="s">
        <v>2770</v>
      </c>
      <c r="B895" s="1">
        <v>42476</v>
      </c>
      <c r="C895" s="1">
        <v>42480</v>
      </c>
      <c r="D895" t="s">
        <v>40</v>
      </c>
      <c r="E895" t="s">
        <v>2760</v>
      </c>
      <c r="F895" t="s">
        <v>2761</v>
      </c>
      <c r="G895" t="s">
        <v>91</v>
      </c>
      <c r="H895" t="s">
        <v>26</v>
      </c>
      <c r="I895" t="s">
        <v>2061</v>
      </c>
      <c r="J895" t="s">
        <v>363</v>
      </c>
      <c r="K895" t="s">
        <v>68</v>
      </c>
      <c r="L895" t="s">
        <v>2238</v>
      </c>
      <c r="M895" t="s">
        <v>31</v>
      </c>
      <c r="N895" t="s">
        <v>57</v>
      </c>
      <c r="O895" t="s">
        <v>2239</v>
      </c>
      <c r="P895">
        <v>9.9600000000000009</v>
      </c>
      <c r="Q895">
        <v>2</v>
      </c>
      <c r="R895">
        <v>0</v>
      </c>
      <c r="S895">
        <v>3.2867999999999999</v>
      </c>
      <c r="T895" t="s">
        <v>84</v>
      </c>
      <c r="U895" t="s">
        <v>114</v>
      </c>
    </row>
    <row r="896" spans="1:21" x14ac:dyDescent="0.25">
      <c r="A896" t="s">
        <v>2771</v>
      </c>
      <c r="B896" s="1">
        <v>41957</v>
      </c>
      <c r="C896" s="1">
        <v>41961</v>
      </c>
      <c r="D896" t="s">
        <v>40</v>
      </c>
      <c r="E896" t="s">
        <v>2772</v>
      </c>
      <c r="F896" t="s">
        <v>2773</v>
      </c>
      <c r="G896" t="s">
        <v>101</v>
      </c>
      <c r="H896" t="s">
        <v>26</v>
      </c>
      <c r="I896" t="s">
        <v>174</v>
      </c>
      <c r="J896" t="s">
        <v>121</v>
      </c>
      <c r="K896" t="s">
        <v>68</v>
      </c>
      <c r="L896" t="s">
        <v>2219</v>
      </c>
      <c r="M896" t="s">
        <v>31</v>
      </c>
      <c r="N896" t="s">
        <v>37</v>
      </c>
      <c r="O896" t="s">
        <v>2220</v>
      </c>
      <c r="P896">
        <v>69.263999999999996</v>
      </c>
      <c r="Q896">
        <v>2</v>
      </c>
      <c r="R896">
        <v>0.1</v>
      </c>
      <c r="S896">
        <v>14.622400000000001</v>
      </c>
      <c r="T896" t="s">
        <v>84</v>
      </c>
      <c r="U896" t="s">
        <v>35</v>
      </c>
    </row>
    <row r="897" spans="1:21" x14ac:dyDescent="0.25">
      <c r="A897" t="s">
        <v>2774</v>
      </c>
      <c r="B897" s="1">
        <v>42329</v>
      </c>
      <c r="C897" s="1">
        <v>42334</v>
      </c>
      <c r="D897" t="s">
        <v>22</v>
      </c>
      <c r="E897" t="s">
        <v>2775</v>
      </c>
      <c r="F897" t="s">
        <v>2776</v>
      </c>
      <c r="G897" t="s">
        <v>91</v>
      </c>
      <c r="H897" t="s">
        <v>26</v>
      </c>
      <c r="I897" t="s">
        <v>2777</v>
      </c>
      <c r="J897" t="s">
        <v>93</v>
      </c>
      <c r="K897" t="s">
        <v>94</v>
      </c>
      <c r="L897" t="s">
        <v>1447</v>
      </c>
      <c r="M897" t="s">
        <v>31</v>
      </c>
      <c r="N897" t="s">
        <v>32</v>
      </c>
      <c r="O897" t="s">
        <v>1448</v>
      </c>
      <c r="P897">
        <v>246.1328</v>
      </c>
      <c r="Q897">
        <v>2</v>
      </c>
      <c r="R897">
        <v>0.32</v>
      </c>
      <c r="S897">
        <v>-76.011600000000001</v>
      </c>
      <c r="T897" t="s">
        <v>59</v>
      </c>
      <c r="U897" t="s">
        <v>35</v>
      </c>
    </row>
    <row r="898" spans="1:21" x14ac:dyDescent="0.25">
      <c r="A898" t="s">
        <v>2778</v>
      </c>
      <c r="B898" s="1">
        <v>43078</v>
      </c>
      <c r="C898" s="1">
        <v>43082</v>
      </c>
      <c r="D898" t="s">
        <v>22</v>
      </c>
      <c r="E898" t="s">
        <v>1324</v>
      </c>
      <c r="F898" t="s">
        <v>1325</v>
      </c>
      <c r="G898" t="s">
        <v>101</v>
      </c>
      <c r="H898" t="s">
        <v>26</v>
      </c>
      <c r="I898" t="s">
        <v>53</v>
      </c>
      <c r="J898" t="s">
        <v>54</v>
      </c>
      <c r="K898" t="s">
        <v>55</v>
      </c>
      <c r="L898" t="s">
        <v>291</v>
      </c>
      <c r="M898" t="s">
        <v>31</v>
      </c>
      <c r="N898" t="s">
        <v>46</v>
      </c>
      <c r="O898" t="s">
        <v>292</v>
      </c>
      <c r="P898">
        <v>896.32799999999997</v>
      </c>
      <c r="Q898">
        <v>9</v>
      </c>
      <c r="R898">
        <v>0.2</v>
      </c>
      <c r="S898">
        <v>22.408200000000001</v>
      </c>
      <c r="T898" t="s">
        <v>84</v>
      </c>
      <c r="U898" t="s">
        <v>97</v>
      </c>
    </row>
    <row r="899" spans="1:21" x14ac:dyDescent="0.25">
      <c r="A899" t="s">
        <v>2779</v>
      </c>
      <c r="B899" s="1">
        <v>43030</v>
      </c>
      <c r="C899" s="1">
        <v>43035</v>
      </c>
      <c r="D899" t="s">
        <v>40</v>
      </c>
      <c r="E899" t="s">
        <v>2357</v>
      </c>
      <c r="F899" t="s">
        <v>2358</v>
      </c>
      <c r="G899" t="s">
        <v>91</v>
      </c>
      <c r="H899" t="s">
        <v>26</v>
      </c>
      <c r="I899" t="s">
        <v>1517</v>
      </c>
      <c r="J899" t="s">
        <v>1518</v>
      </c>
      <c r="K899" t="s">
        <v>55</v>
      </c>
      <c r="L899" t="s">
        <v>318</v>
      </c>
      <c r="M899" t="s">
        <v>31</v>
      </c>
      <c r="N899" t="s">
        <v>46</v>
      </c>
      <c r="O899" t="s">
        <v>319</v>
      </c>
      <c r="P899">
        <v>177.22499999999999</v>
      </c>
      <c r="Q899">
        <v>5</v>
      </c>
      <c r="R899">
        <v>0.5</v>
      </c>
      <c r="S899">
        <v>-120.51300000000001</v>
      </c>
      <c r="T899" t="s">
        <v>59</v>
      </c>
      <c r="U899" t="s">
        <v>49</v>
      </c>
    </row>
    <row r="900" spans="1:21" x14ac:dyDescent="0.25">
      <c r="A900" t="s">
        <v>2780</v>
      </c>
      <c r="B900" s="1">
        <v>42919</v>
      </c>
      <c r="C900" s="1">
        <v>42926</v>
      </c>
      <c r="D900" t="s">
        <v>40</v>
      </c>
      <c r="E900" t="s">
        <v>1301</v>
      </c>
      <c r="F900" t="s">
        <v>1302</v>
      </c>
      <c r="G900" t="s">
        <v>25</v>
      </c>
      <c r="H900" t="s">
        <v>26</v>
      </c>
      <c r="I900" t="s">
        <v>2781</v>
      </c>
      <c r="J900" t="s">
        <v>54</v>
      </c>
      <c r="K900" t="s">
        <v>55</v>
      </c>
      <c r="L900" t="s">
        <v>2691</v>
      </c>
      <c r="M900" t="s">
        <v>31</v>
      </c>
      <c r="N900" t="s">
        <v>57</v>
      </c>
      <c r="O900" t="s">
        <v>2692</v>
      </c>
      <c r="P900">
        <v>129.38999999999999</v>
      </c>
      <c r="Q900">
        <v>3</v>
      </c>
      <c r="R900">
        <v>0</v>
      </c>
      <c r="S900">
        <v>54.343800000000002</v>
      </c>
      <c r="T900" t="s">
        <v>48</v>
      </c>
      <c r="U900" t="s">
        <v>72</v>
      </c>
    </row>
    <row r="901" spans="1:21" x14ac:dyDescent="0.25">
      <c r="A901" t="s">
        <v>2782</v>
      </c>
      <c r="B901" s="1">
        <v>42970</v>
      </c>
      <c r="C901" s="1">
        <v>42973</v>
      </c>
      <c r="D901" t="s">
        <v>22</v>
      </c>
      <c r="E901" t="s">
        <v>404</v>
      </c>
      <c r="F901" t="s">
        <v>405</v>
      </c>
      <c r="G901" t="s">
        <v>25</v>
      </c>
      <c r="H901" t="s">
        <v>26</v>
      </c>
      <c r="I901" t="s">
        <v>2341</v>
      </c>
      <c r="J901" t="s">
        <v>44</v>
      </c>
      <c r="K901" t="s">
        <v>29</v>
      </c>
      <c r="L901" t="s">
        <v>1072</v>
      </c>
      <c r="M901" t="s">
        <v>31</v>
      </c>
      <c r="N901" t="s">
        <v>57</v>
      </c>
      <c r="O901" t="s">
        <v>1073</v>
      </c>
      <c r="P901">
        <v>2.7839999999999998</v>
      </c>
      <c r="Q901">
        <v>2</v>
      </c>
      <c r="R901">
        <v>0.2</v>
      </c>
      <c r="S901">
        <v>0.41760000000000003</v>
      </c>
      <c r="T901" t="s">
        <v>34</v>
      </c>
      <c r="U901" t="s">
        <v>254</v>
      </c>
    </row>
    <row r="902" spans="1:21" x14ac:dyDescent="0.25">
      <c r="A902" t="s">
        <v>2783</v>
      </c>
      <c r="B902" s="1">
        <v>41938</v>
      </c>
      <c r="C902" s="1">
        <v>41942</v>
      </c>
      <c r="D902" t="s">
        <v>22</v>
      </c>
      <c r="E902" t="s">
        <v>2784</v>
      </c>
      <c r="F902" t="s">
        <v>2785</v>
      </c>
      <c r="G902" t="s">
        <v>25</v>
      </c>
      <c r="H902" t="s">
        <v>26</v>
      </c>
      <c r="I902" t="s">
        <v>192</v>
      </c>
      <c r="J902" t="s">
        <v>193</v>
      </c>
      <c r="K902" t="s">
        <v>55</v>
      </c>
      <c r="L902" t="s">
        <v>586</v>
      </c>
      <c r="M902" t="s">
        <v>31</v>
      </c>
      <c r="N902" t="s">
        <v>57</v>
      </c>
      <c r="O902" t="s">
        <v>587</v>
      </c>
      <c r="P902">
        <v>63.92</v>
      </c>
      <c r="Q902">
        <v>4</v>
      </c>
      <c r="R902">
        <v>0</v>
      </c>
      <c r="S902">
        <v>3.1960000000000002</v>
      </c>
      <c r="T902" t="s">
        <v>84</v>
      </c>
      <c r="U902" t="s">
        <v>49</v>
      </c>
    </row>
    <row r="903" spans="1:21" x14ac:dyDescent="0.25">
      <c r="A903" t="s">
        <v>2786</v>
      </c>
      <c r="B903" s="1">
        <v>41947</v>
      </c>
      <c r="C903" s="1">
        <v>41954</v>
      </c>
      <c r="D903" t="s">
        <v>40</v>
      </c>
      <c r="E903" t="s">
        <v>1731</v>
      </c>
      <c r="F903" t="s">
        <v>1732</v>
      </c>
      <c r="G903" t="s">
        <v>25</v>
      </c>
      <c r="H903" t="s">
        <v>26</v>
      </c>
      <c r="I903" t="s">
        <v>53</v>
      </c>
      <c r="J903" t="s">
        <v>54</v>
      </c>
      <c r="K903" t="s">
        <v>55</v>
      </c>
      <c r="L903" t="s">
        <v>455</v>
      </c>
      <c r="M903" t="s">
        <v>31</v>
      </c>
      <c r="N903" t="s">
        <v>46</v>
      </c>
      <c r="O903" t="s">
        <v>456</v>
      </c>
      <c r="P903">
        <v>573.72799999999995</v>
      </c>
      <c r="Q903">
        <v>4</v>
      </c>
      <c r="R903">
        <v>0.2</v>
      </c>
      <c r="S903">
        <v>-64.544399999999996</v>
      </c>
      <c r="T903" t="s">
        <v>48</v>
      </c>
      <c r="U903" t="s">
        <v>35</v>
      </c>
    </row>
    <row r="904" spans="1:21" x14ac:dyDescent="0.25">
      <c r="A904" t="s">
        <v>2787</v>
      </c>
      <c r="B904" s="1">
        <v>43076</v>
      </c>
      <c r="C904" s="1">
        <v>43080</v>
      </c>
      <c r="D904" t="s">
        <v>40</v>
      </c>
      <c r="E904" t="s">
        <v>1445</v>
      </c>
      <c r="F904" t="s">
        <v>1446</v>
      </c>
      <c r="G904" t="s">
        <v>25</v>
      </c>
      <c r="H904" t="s">
        <v>26</v>
      </c>
      <c r="I904" t="s">
        <v>636</v>
      </c>
      <c r="J904" t="s">
        <v>717</v>
      </c>
      <c r="K904" t="s">
        <v>29</v>
      </c>
      <c r="L904" t="s">
        <v>2788</v>
      </c>
      <c r="M904" t="s">
        <v>31</v>
      </c>
      <c r="N904" t="s">
        <v>57</v>
      </c>
      <c r="O904" t="s">
        <v>2789</v>
      </c>
      <c r="P904">
        <v>82.38</v>
      </c>
      <c r="Q904">
        <v>6</v>
      </c>
      <c r="R904">
        <v>0</v>
      </c>
      <c r="S904">
        <v>25.537800000000001</v>
      </c>
      <c r="T904" t="s">
        <v>84</v>
      </c>
      <c r="U904" t="s">
        <v>97</v>
      </c>
    </row>
    <row r="905" spans="1:21" x14ac:dyDescent="0.25">
      <c r="A905" t="s">
        <v>2790</v>
      </c>
      <c r="B905" s="1">
        <v>42358</v>
      </c>
      <c r="C905" s="1">
        <v>42362</v>
      </c>
      <c r="D905" t="s">
        <v>40</v>
      </c>
      <c r="E905" t="s">
        <v>2791</v>
      </c>
      <c r="F905" t="s">
        <v>2792</v>
      </c>
      <c r="G905" t="s">
        <v>25</v>
      </c>
      <c r="H905" t="s">
        <v>26</v>
      </c>
      <c r="I905" t="s">
        <v>2793</v>
      </c>
      <c r="J905" t="s">
        <v>521</v>
      </c>
      <c r="K905" t="s">
        <v>55</v>
      </c>
      <c r="L905" t="s">
        <v>1452</v>
      </c>
      <c r="M905" t="s">
        <v>31</v>
      </c>
      <c r="N905" t="s">
        <v>57</v>
      </c>
      <c r="O905" t="s">
        <v>1453</v>
      </c>
      <c r="P905">
        <v>14.368</v>
      </c>
      <c r="Q905">
        <v>2</v>
      </c>
      <c r="R905">
        <v>0.2</v>
      </c>
      <c r="S905">
        <v>3.9512</v>
      </c>
      <c r="T905" t="s">
        <v>84</v>
      </c>
      <c r="U905" t="s">
        <v>97</v>
      </c>
    </row>
    <row r="906" spans="1:21" x14ac:dyDescent="0.25">
      <c r="A906" t="s">
        <v>2794</v>
      </c>
      <c r="B906" s="1">
        <v>42631</v>
      </c>
      <c r="C906" s="1">
        <v>42638</v>
      </c>
      <c r="D906" t="s">
        <v>40</v>
      </c>
      <c r="E906" t="s">
        <v>1685</v>
      </c>
      <c r="F906" t="s">
        <v>1686</v>
      </c>
      <c r="G906" t="s">
        <v>25</v>
      </c>
      <c r="H906" t="s">
        <v>26</v>
      </c>
      <c r="I906" t="s">
        <v>2795</v>
      </c>
      <c r="J906" t="s">
        <v>121</v>
      </c>
      <c r="K906" t="s">
        <v>68</v>
      </c>
      <c r="L906" t="s">
        <v>852</v>
      </c>
      <c r="M906" t="s">
        <v>31</v>
      </c>
      <c r="N906" t="s">
        <v>37</v>
      </c>
      <c r="O906" t="s">
        <v>853</v>
      </c>
      <c r="P906">
        <v>631.78200000000004</v>
      </c>
      <c r="Q906">
        <v>2</v>
      </c>
      <c r="R906">
        <v>0.1</v>
      </c>
      <c r="S906">
        <v>140.39599999999999</v>
      </c>
      <c r="T906" t="s">
        <v>48</v>
      </c>
      <c r="U906" t="s">
        <v>78</v>
      </c>
    </row>
    <row r="907" spans="1:21" x14ac:dyDescent="0.25">
      <c r="A907" t="s">
        <v>2794</v>
      </c>
      <c r="B907" s="1">
        <v>42631</v>
      </c>
      <c r="C907" s="1">
        <v>42638</v>
      </c>
      <c r="D907" t="s">
        <v>40</v>
      </c>
      <c r="E907" t="s">
        <v>1685</v>
      </c>
      <c r="F907" t="s">
        <v>1686</v>
      </c>
      <c r="G907" t="s">
        <v>25</v>
      </c>
      <c r="H907" t="s">
        <v>26</v>
      </c>
      <c r="I907" t="s">
        <v>2795</v>
      </c>
      <c r="J907" t="s">
        <v>121</v>
      </c>
      <c r="K907" t="s">
        <v>68</v>
      </c>
      <c r="L907" t="s">
        <v>2796</v>
      </c>
      <c r="M907" t="s">
        <v>31</v>
      </c>
      <c r="N907" t="s">
        <v>57</v>
      </c>
      <c r="O907" t="s">
        <v>2797</v>
      </c>
      <c r="P907">
        <v>60.72</v>
      </c>
      <c r="Q907">
        <v>3</v>
      </c>
      <c r="R907">
        <v>0</v>
      </c>
      <c r="S907">
        <v>26.1096</v>
      </c>
      <c r="T907" t="s">
        <v>48</v>
      </c>
      <c r="U907" t="s">
        <v>78</v>
      </c>
    </row>
    <row r="908" spans="1:21" x14ac:dyDescent="0.25">
      <c r="A908" t="s">
        <v>2798</v>
      </c>
      <c r="B908" s="1">
        <v>43080</v>
      </c>
      <c r="C908" s="1">
        <v>43080</v>
      </c>
      <c r="D908" t="s">
        <v>426</v>
      </c>
      <c r="E908" t="s">
        <v>2799</v>
      </c>
      <c r="F908" t="s">
        <v>2800</v>
      </c>
      <c r="G908" t="s">
        <v>25</v>
      </c>
      <c r="H908" t="s">
        <v>26</v>
      </c>
      <c r="I908" t="s">
        <v>180</v>
      </c>
      <c r="J908" t="s">
        <v>135</v>
      </c>
      <c r="K908" t="s">
        <v>94</v>
      </c>
      <c r="L908" t="s">
        <v>791</v>
      </c>
      <c r="M908" t="s">
        <v>31</v>
      </c>
      <c r="N908" t="s">
        <v>57</v>
      </c>
      <c r="O908" t="s">
        <v>792</v>
      </c>
      <c r="P908">
        <v>77.72</v>
      </c>
      <c r="Q908">
        <v>1</v>
      </c>
      <c r="R908">
        <v>0.6</v>
      </c>
      <c r="S908">
        <v>-66.061999999999998</v>
      </c>
      <c r="T908" t="s">
        <v>431</v>
      </c>
      <c r="U908" t="s">
        <v>97</v>
      </c>
    </row>
    <row r="909" spans="1:21" x14ac:dyDescent="0.25">
      <c r="A909" t="s">
        <v>2798</v>
      </c>
      <c r="B909" s="1">
        <v>43080</v>
      </c>
      <c r="C909" s="1">
        <v>43080</v>
      </c>
      <c r="D909" t="s">
        <v>426</v>
      </c>
      <c r="E909" t="s">
        <v>2799</v>
      </c>
      <c r="F909" t="s">
        <v>2800</v>
      </c>
      <c r="G909" t="s">
        <v>25</v>
      </c>
      <c r="H909" t="s">
        <v>26</v>
      </c>
      <c r="I909" t="s">
        <v>180</v>
      </c>
      <c r="J909" t="s">
        <v>135</v>
      </c>
      <c r="K909" t="s">
        <v>94</v>
      </c>
      <c r="L909" t="s">
        <v>1096</v>
      </c>
      <c r="M909" t="s">
        <v>31</v>
      </c>
      <c r="N909" t="s">
        <v>37</v>
      </c>
      <c r="O909" t="s">
        <v>1097</v>
      </c>
      <c r="P909">
        <v>520.46400000000006</v>
      </c>
      <c r="Q909">
        <v>2</v>
      </c>
      <c r="R909">
        <v>0.3</v>
      </c>
      <c r="S909">
        <v>-14.8704</v>
      </c>
      <c r="T909" t="s">
        <v>431</v>
      </c>
      <c r="U909" t="s">
        <v>97</v>
      </c>
    </row>
    <row r="910" spans="1:21" x14ac:dyDescent="0.25">
      <c r="A910" t="s">
        <v>2801</v>
      </c>
      <c r="B910" s="1">
        <v>41754</v>
      </c>
      <c r="C910" s="1">
        <v>41759</v>
      </c>
      <c r="D910" t="s">
        <v>40</v>
      </c>
      <c r="E910" t="s">
        <v>1267</v>
      </c>
      <c r="F910" t="s">
        <v>1268</v>
      </c>
      <c r="G910" t="s">
        <v>101</v>
      </c>
      <c r="H910" t="s">
        <v>26</v>
      </c>
      <c r="I910" t="s">
        <v>2802</v>
      </c>
      <c r="J910" t="s">
        <v>54</v>
      </c>
      <c r="K910" t="s">
        <v>55</v>
      </c>
      <c r="L910" t="s">
        <v>145</v>
      </c>
      <c r="M910" t="s">
        <v>31</v>
      </c>
      <c r="N910" t="s">
        <v>57</v>
      </c>
      <c r="O910" t="s">
        <v>146</v>
      </c>
      <c r="P910">
        <v>303.25</v>
      </c>
      <c r="Q910">
        <v>5</v>
      </c>
      <c r="R910">
        <v>0</v>
      </c>
      <c r="S910">
        <v>63.682499999999997</v>
      </c>
      <c r="T910" t="s">
        <v>59</v>
      </c>
      <c r="U910" t="s">
        <v>114</v>
      </c>
    </row>
    <row r="911" spans="1:21" x14ac:dyDescent="0.25">
      <c r="A911" t="s">
        <v>2801</v>
      </c>
      <c r="B911" s="1">
        <v>41754</v>
      </c>
      <c r="C911" s="1">
        <v>41759</v>
      </c>
      <c r="D911" t="s">
        <v>40</v>
      </c>
      <c r="E911" t="s">
        <v>1267</v>
      </c>
      <c r="F911" t="s">
        <v>1268</v>
      </c>
      <c r="G911" t="s">
        <v>101</v>
      </c>
      <c r="H911" t="s">
        <v>26</v>
      </c>
      <c r="I911" t="s">
        <v>2802</v>
      </c>
      <c r="J911" t="s">
        <v>54</v>
      </c>
      <c r="K911" t="s">
        <v>55</v>
      </c>
      <c r="L911" t="s">
        <v>1096</v>
      </c>
      <c r="M911" t="s">
        <v>31</v>
      </c>
      <c r="N911" t="s">
        <v>37</v>
      </c>
      <c r="O911" t="s">
        <v>1097</v>
      </c>
      <c r="P911">
        <v>1487.04</v>
      </c>
      <c r="Q911">
        <v>5</v>
      </c>
      <c r="R911">
        <v>0.2</v>
      </c>
      <c r="S911">
        <v>148.70400000000001</v>
      </c>
      <c r="T911" t="s">
        <v>59</v>
      </c>
      <c r="U911" t="s">
        <v>114</v>
      </c>
    </row>
    <row r="912" spans="1:21" x14ac:dyDescent="0.25">
      <c r="A912" t="s">
        <v>2803</v>
      </c>
      <c r="B912" s="1">
        <v>42302</v>
      </c>
      <c r="C912" s="1">
        <v>42307</v>
      </c>
      <c r="D912" t="s">
        <v>40</v>
      </c>
      <c r="E912" t="s">
        <v>1716</v>
      </c>
      <c r="F912" t="s">
        <v>1717</v>
      </c>
      <c r="G912" t="s">
        <v>25</v>
      </c>
      <c r="H912" t="s">
        <v>26</v>
      </c>
      <c r="I912" t="s">
        <v>329</v>
      </c>
      <c r="J912" t="s">
        <v>54</v>
      </c>
      <c r="K912" t="s">
        <v>55</v>
      </c>
      <c r="L912" t="s">
        <v>548</v>
      </c>
      <c r="M912" t="s">
        <v>31</v>
      </c>
      <c r="N912" t="s">
        <v>46</v>
      </c>
      <c r="O912" t="s">
        <v>549</v>
      </c>
      <c r="P912">
        <v>253.17599999999999</v>
      </c>
      <c r="Q912">
        <v>3</v>
      </c>
      <c r="R912">
        <v>0.2</v>
      </c>
      <c r="S912">
        <v>-31.646999999999998</v>
      </c>
      <c r="T912" t="s">
        <v>59</v>
      </c>
      <c r="U912" t="s">
        <v>49</v>
      </c>
    </row>
    <row r="913" spans="1:21" x14ac:dyDescent="0.25">
      <c r="A913" t="s">
        <v>2804</v>
      </c>
      <c r="B913" s="1">
        <v>42205</v>
      </c>
      <c r="C913" s="1">
        <v>42212</v>
      </c>
      <c r="D913" t="s">
        <v>40</v>
      </c>
      <c r="E913" t="s">
        <v>1050</v>
      </c>
      <c r="F913" t="s">
        <v>1051</v>
      </c>
      <c r="G913" t="s">
        <v>25</v>
      </c>
      <c r="H913" t="s">
        <v>26</v>
      </c>
      <c r="I913" t="s">
        <v>2163</v>
      </c>
      <c r="J913" t="s">
        <v>135</v>
      </c>
      <c r="K913" t="s">
        <v>94</v>
      </c>
      <c r="L913" t="s">
        <v>2805</v>
      </c>
      <c r="M913" t="s">
        <v>31</v>
      </c>
      <c r="N913" t="s">
        <v>32</v>
      </c>
      <c r="O913" t="s">
        <v>2806</v>
      </c>
      <c r="P913">
        <v>384.94400000000002</v>
      </c>
      <c r="Q913">
        <v>4</v>
      </c>
      <c r="R913">
        <v>0.3</v>
      </c>
      <c r="S913">
        <v>-126.4816</v>
      </c>
      <c r="T913" t="s">
        <v>48</v>
      </c>
      <c r="U913" t="s">
        <v>72</v>
      </c>
    </row>
    <row r="914" spans="1:21" x14ac:dyDescent="0.25">
      <c r="A914" t="s">
        <v>2804</v>
      </c>
      <c r="B914" s="1">
        <v>42205</v>
      </c>
      <c r="C914" s="1">
        <v>42212</v>
      </c>
      <c r="D914" t="s">
        <v>40</v>
      </c>
      <c r="E914" t="s">
        <v>1050</v>
      </c>
      <c r="F914" t="s">
        <v>1051</v>
      </c>
      <c r="G914" t="s">
        <v>25</v>
      </c>
      <c r="H914" t="s">
        <v>26</v>
      </c>
      <c r="I914" t="s">
        <v>2163</v>
      </c>
      <c r="J914" t="s">
        <v>135</v>
      </c>
      <c r="K914" t="s">
        <v>94</v>
      </c>
      <c r="L914" t="s">
        <v>103</v>
      </c>
      <c r="M914" t="s">
        <v>31</v>
      </c>
      <c r="N914" t="s">
        <v>32</v>
      </c>
      <c r="O914" t="s">
        <v>104</v>
      </c>
      <c r="P914">
        <v>913.43</v>
      </c>
      <c r="Q914">
        <v>5</v>
      </c>
      <c r="R914">
        <v>0.3</v>
      </c>
      <c r="S914">
        <v>-52.195999999999998</v>
      </c>
      <c r="T914" t="s">
        <v>48</v>
      </c>
      <c r="U914" t="s">
        <v>72</v>
      </c>
    </row>
    <row r="915" spans="1:21" x14ac:dyDescent="0.25">
      <c r="A915" t="s">
        <v>2807</v>
      </c>
      <c r="B915" s="1">
        <v>43059</v>
      </c>
      <c r="C915" s="1">
        <v>43061</v>
      </c>
      <c r="D915" t="s">
        <v>88</v>
      </c>
      <c r="E915" t="s">
        <v>825</v>
      </c>
      <c r="F915" t="s">
        <v>826</v>
      </c>
      <c r="G915" t="s">
        <v>25</v>
      </c>
      <c r="H915" t="s">
        <v>26</v>
      </c>
      <c r="I915" t="s">
        <v>174</v>
      </c>
      <c r="J915" t="s">
        <v>121</v>
      </c>
      <c r="K915" t="s">
        <v>68</v>
      </c>
      <c r="L915" t="s">
        <v>1477</v>
      </c>
      <c r="M915" t="s">
        <v>31</v>
      </c>
      <c r="N915" t="s">
        <v>32</v>
      </c>
      <c r="O915" t="s">
        <v>1478</v>
      </c>
      <c r="P915">
        <v>183.96799999999999</v>
      </c>
      <c r="Q915">
        <v>2</v>
      </c>
      <c r="R915">
        <v>0.2</v>
      </c>
      <c r="S915">
        <v>-25.2956</v>
      </c>
      <c r="T915" t="s">
        <v>71</v>
      </c>
      <c r="U915" t="s">
        <v>35</v>
      </c>
    </row>
    <row r="916" spans="1:21" x14ac:dyDescent="0.25">
      <c r="A916" t="s">
        <v>2808</v>
      </c>
      <c r="B916" s="1">
        <v>41827</v>
      </c>
      <c r="C916" s="1">
        <v>41831</v>
      </c>
      <c r="D916" t="s">
        <v>40</v>
      </c>
      <c r="E916" t="s">
        <v>2809</v>
      </c>
      <c r="F916" t="s">
        <v>2810</v>
      </c>
      <c r="G916" t="s">
        <v>25</v>
      </c>
      <c r="H916" t="s">
        <v>26</v>
      </c>
      <c r="I916" t="s">
        <v>66</v>
      </c>
      <c r="J916" t="s">
        <v>67</v>
      </c>
      <c r="K916" t="s">
        <v>68</v>
      </c>
      <c r="L916" t="s">
        <v>1029</v>
      </c>
      <c r="M916" t="s">
        <v>31</v>
      </c>
      <c r="N916" t="s">
        <v>37</v>
      </c>
      <c r="O916" t="s">
        <v>1030</v>
      </c>
      <c r="P916">
        <v>172.18600000000001</v>
      </c>
      <c r="Q916">
        <v>2</v>
      </c>
      <c r="R916">
        <v>0.3</v>
      </c>
      <c r="S916">
        <v>-46.736199999999997</v>
      </c>
      <c r="T916" t="s">
        <v>84</v>
      </c>
      <c r="U916" t="s">
        <v>72</v>
      </c>
    </row>
    <row r="917" spans="1:21" x14ac:dyDescent="0.25">
      <c r="A917" t="s">
        <v>2808</v>
      </c>
      <c r="B917" s="1">
        <v>41827</v>
      </c>
      <c r="C917" s="1">
        <v>41831</v>
      </c>
      <c r="D917" t="s">
        <v>40</v>
      </c>
      <c r="E917" t="s">
        <v>2809</v>
      </c>
      <c r="F917" t="s">
        <v>2810</v>
      </c>
      <c r="G917" t="s">
        <v>25</v>
      </c>
      <c r="H917" t="s">
        <v>26</v>
      </c>
      <c r="I917" t="s">
        <v>66</v>
      </c>
      <c r="J917" t="s">
        <v>67</v>
      </c>
      <c r="K917" t="s">
        <v>68</v>
      </c>
      <c r="L917" t="s">
        <v>608</v>
      </c>
      <c r="M917" t="s">
        <v>31</v>
      </c>
      <c r="N917" t="s">
        <v>57</v>
      </c>
      <c r="O917" t="s">
        <v>609</v>
      </c>
      <c r="P917">
        <v>69.007999999999996</v>
      </c>
      <c r="Q917">
        <v>2</v>
      </c>
      <c r="R917">
        <v>0.2</v>
      </c>
      <c r="S917">
        <v>12.0764</v>
      </c>
      <c r="T917" t="s">
        <v>84</v>
      </c>
      <c r="U917" t="s">
        <v>72</v>
      </c>
    </row>
    <row r="918" spans="1:21" x14ac:dyDescent="0.25">
      <c r="A918" t="s">
        <v>2811</v>
      </c>
      <c r="B918" s="1">
        <v>42446</v>
      </c>
      <c r="C918" s="1">
        <v>42446</v>
      </c>
      <c r="D918" t="s">
        <v>426</v>
      </c>
      <c r="E918" t="s">
        <v>2791</v>
      </c>
      <c r="F918" t="s">
        <v>2792</v>
      </c>
      <c r="G918" t="s">
        <v>25</v>
      </c>
      <c r="H918" t="s">
        <v>26</v>
      </c>
      <c r="I918" t="s">
        <v>158</v>
      </c>
      <c r="J918" t="s">
        <v>1090</v>
      </c>
      <c r="K918" t="s">
        <v>68</v>
      </c>
      <c r="L918" t="s">
        <v>791</v>
      </c>
      <c r="M918" t="s">
        <v>31</v>
      </c>
      <c r="N918" t="s">
        <v>57</v>
      </c>
      <c r="O918" t="s">
        <v>792</v>
      </c>
      <c r="P918">
        <v>971.5</v>
      </c>
      <c r="Q918">
        <v>5</v>
      </c>
      <c r="R918">
        <v>0</v>
      </c>
      <c r="S918">
        <v>252.59</v>
      </c>
      <c r="T918" t="s">
        <v>431</v>
      </c>
      <c r="U918" t="s">
        <v>196</v>
      </c>
    </row>
    <row r="919" spans="1:21" x14ac:dyDescent="0.25">
      <c r="A919" t="s">
        <v>2812</v>
      </c>
      <c r="B919" s="1">
        <v>41993</v>
      </c>
      <c r="C919" s="1">
        <v>42000</v>
      </c>
      <c r="D919" t="s">
        <v>40</v>
      </c>
      <c r="E919" t="s">
        <v>2634</v>
      </c>
      <c r="F919" t="s">
        <v>2635</v>
      </c>
      <c r="G919" t="s">
        <v>25</v>
      </c>
      <c r="H919" t="s">
        <v>26</v>
      </c>
      <c r="I919" t="s">
        <v>2813</v>
      </c>
      <c r="J919" t="s">
        <v>232</v>
      </c>
      <c r="K919" t="s">
        <v>68</v>
      </c>
      <c r="L919" t="s">
        <v>219</v>
      </c>
      <c r="M919" t="s">
        <v>31</v>
      </c>
      <c r="N919" t="s">
        <v>57</v>
      </c>
      <c r="O919" t="s">
        <v>220</v>
      </c>
      <c r="P919">
        <v>190.84800000000001</v>
      </c>
      <c r="Q919">
        <v>3</v>
      </c>
      <c r="R919">
        <v>0.2</v>
      </c>
      <c r="S919">
        <v>-21.470400000000001</v>
      </c>
      <c r="T919" t="s">
        <v>48</v>
      </c>
      <c r="U919" t="s">
        <v>97</v>
      </c>
    </row>
    <row r="920" spans="1:21" x14ac:dyDescent="0.25">
      <c r="A920" t="s">
        <v>2814</v>
      </c>
      <c r="B920" s="1">
        <v>42873</v>
      </c>
      <c r="C920" s="1">
        <v>42874</v>
      </c>
      <c r="D920" t="s">
        <v>88</v>
      </c>
      <c r="E920" t="s">
        <v>1168</v>
      </c>
      <c r="F920" t="s">
        <v>1169</v>
      </c>
      <c r="G920" t="s">
        <v>91</v>
      </c>
      <c r="H920" t="s">
        <v>26</v>
      </c>
      <c r="I920" t="s">
        <v>2815</v>
      </c>
      <c r="J920" t="s">
        <v>668</v>
      </c>
      <c r="K920" t="s">
        <v>29</v>
      </c>
      <c r="L920" t="s">
        <v>2816</v>
      </c>
      <c r="M920" t="s">
        <v>31</v>
      </c>
      <c r="N920" t="s">
        <v>32</v>
      </c>
      <c r="O920" t="s">
        <v>2817</v>
      </c>
      <c r="P920">
        <v>302.94</v>
      </c>
      <c r="Q920">
        <v>3</v>
      </c>
      <c r="R920">
        <v>0</v>
      </c>
      <c r="S920">
        <v>75.734999999999999</v>
      </c>
      <c r="T920" t="s">
        <v>124</v>
      </c>
      <c r="U920" t="s">
        <v>162</v>
      </c>
    </row>
    <row r="921" spans="1:21" x14ac:dyDescent="0.25">
      <c r="A921" t="s">
        <v>2818</v>
      </c>
      <c r="B921" s="1">
        <v>42815</v>
      </c>
      <c r="C921" s="1">
        <v>42821</v>
      </c>
      <c r="D921" t="s">
        <v>40</v>
      </c>
      <c r="E921" t="s">
        <v>2227</v>
      </c>
      <c r="F921" t="s">
        <v>2228</v>
      </c>
      <c r="G921" t="s">
        <v>25</v>
      </c>
      <c r="H921" t="s">
        <v>26</v>
      </c>
      <c r="I921" t="s">
        <v>2022</v>
      </c>
      <c r="J921" t="s">
        <v>1523</v>
      </c>
      <c r="K921" t="s">
        <v>94</v>
      </c>
      <c r="L921" t="s">
        <v>2335</v>
      </c>
      <c r="M921" t="s">
        <v>31</v>
      </c>
      <c r="N921" t="s">
        <v>37</v>
      </c>
      <c r="O921" t="s">
        <v>2336</v>
      </c>
      <c r="P921">
        <v>1805.88</v>
      </c>
      <c r="Q921">
        <v>6</v>
      </c>
      <c r="R921">
        <v>0</v>
      </c>
      <c r="S921">
        <v>523.70519999999999</v>
      </c>
      <c r="T921" t="s">
        <v>130</v>
      </c>
      <c r="U921" t="s">
        <v>196</v>
      </c>
    </row>
    <row r="922" spans="1:21" x14ac:dyDescent="0.25">
      <c r="A922" t="s">
        <v>2819</v>
      </c>
      <c r="B922" s="1">
        <v>42677</v>
      </c>
      <c r="C922" s="1">
        <v>42682</v>
      </c>
      <c r="D922" t="s">
        <v>22</v>
      </c>
      <c r="E922" t="s">
        <v>1066</v>
      </c>
      <c r="F922" t="s">
        <v>1067</v>
      </c>
      <c r="G922" t="s">
        <v>25</v>
      </c>
      <c r="H922" t="s">
        <v>26</v>
      </c>
      <c r="I922" t="s">
        <v>27</v>
      </c>
      <c r="J922" t="s">
        <v>28</v>
      </c>
      <c r="K922" t="s">
        <v>29</v>
      </c>
      <c r="L922" t="s">
        <v>960</v>
      </c>
      <c r="M922" t="s">
        <v>31</v>
      </c>
      <c r="N922" t="s">
        <v>57</v>
      </c>
      <c r="O922" t="s">
        <v>961</v>
      </c>
      <c r="P922">
        <v>24.1</v>
      </c>
      <c r="Q922">
        <v>5</v>
      </c>
      <c r="R922">
        <v>0</v>
      </c>
      <c r="S922">
        <v>9.1579999999999995</v>
      </c>
      <c r="T922" t="s">
        <v>59</v>
      </c>
      <c r="U922" t="s">
        <v>35</v>
      </c>
    </row>
    <row r="923" spans="1:21" x14ac:dyDescent="0.25">
      <c r="A923" t="s">
        <v>2819</v>
      </c>
      <c r="B923" s="1">
        <v>42677</v>
      </c>
      <c r="C923" s="1">
        <v>42682</v>
      </c>
      <c r="D923" t="s">
        <v>22</v>
      </c>
      <c r="E923" t="s">
        <v>1066</v>
      </c>
      <c r="F923" t="s">
        <v>1067</v>
      </c>
      <c r="G923" t="s">
        <v>25</v>
      </c>
      <c r="H923" t="s">
        <v>26</v>
      </c>
      <c r="I923" t="s">
        <v>27</v>
      </c>
      <c r="J923" t="s">
        <v>28</v>
      </c>
      <c r="K923" t="s">
        <v>29</v>
      </c>
      <c r="L923" t="s">
        <v>2820</v>
      </c>
      <c r="M923" t="s">
        <v>31</v>
      </c>
      <c r="N923" t="s">
        <v>46</v>
      </c>
      <c r="O923" t="s">
        <v>2821</v>
      </c>
      <c r="P923">
        <v>842.94</v>
      </c>
      <c r="Q923">
        <v>3</v>
      </c>
      <c r="R923">
        <v>0</v>
      </c>
      <c r="S923">
        <v>160.15860000000001</v>
      </c>
      <c r="T923" t="s">
        <v>59</v>
      </c>
      <c r="U923" t="s">
        <v>35</v>
      </c>
    </row>
    <row r="924" spans="1:21" x14ac:dyDescent="0.25">
      <c r="A924" t="s">
        <v>2822</v>
      </c>
      <c r="B924" s="1">
        <v>42174</v>
      </c>
      <c r="C924" s="1">
        <v>42178</v>
      </c>
      <c r="D924" t="s">
        <v>40</v>
      </c>
      <c r="E924" t="s">
        <v>327</v>
      </c>
      <c r="F924" t="s">
        <v>328</v>
      </c>
      <c r="G924" t="s">
        <v>25</v>
      </c>
      <c r="H924" t="s">
        <v>26</v>
      </c>
      <c r="I924" t="s">
        <v>53</v>
      </c>
      <c r="J924" t="s">
        <v>54</v>
      </c>
      <c r="K924" t="s">
        <v>55</v>
      </c>
      <c r="L924" t="s">
        <v>678</v>
      </c>
      <c r="M924" t="s">
        <v>31</v>
      </c>
      <c r="N924" t="s">
        <v>57</v>
      </c>
      <c r="O924" t="s">
        <v>679</v>
      </c>
      <c r="P924">
        <v>12.56</v>
      </c>
      <c r="Q924">
        <v>2</v>
      </c>
      <c r="R924">
        <v>0</v>
      </c>
      <c r="S924">
        <v>4.0191999999999997</v>
      </c>
      <c r="T924" t="s">
        <v>84</v>
      </c>
      <c r="U924" t="s">
        <v>60</v>
      </c>
    </row>
    <row r="925" spans="1:21" x14ac:dyDescent="0.25">
      <c r="A925" t="s">
        <v>2823</v>
      </c>
      <c r="B925" s="1">
        <v>42555</v>
      </c>
      <c r="C925" s="1">
        <v>42557</v>
      </c>
      <c r="D925" t="s">
        <v>88</v>
      </c>
      <c r="E925" t="s">
        <v>2694</v>
      </c>
      <c r="F925" t="s">
        <v>2695</v>
      </c>
      <c r="G925" t="s">
        <v>25</v>
      </c>
      <c r="H925" t="s">
        <v>26</v>
      </c>
      <c r="I925" t="s">
        <v>329</v>
      </c>
      <c r="J925" t="s">
        <v>54</v>
      </c>
      <c r="K925" t="s">
        <v>55</v>
      </c>
      <c r="L925" t="s">
        <v>662</v>
      </c>
      <c r="M925" t="s">
        <v>31</v>
      </c>
      <c r="N925" t="s">
        <v>57</v>
      </c>
      <c r="O925" t="s">
        <v>663</v>
      </c>
      <c r="P925">
        <v>25.4</v>
      </c>
      <c r="Q925">
        <v>5</v>
      </c>
      <c r="R925">
        <v>0</v>
      </c>
      <c r="S925">
        <v>8.6359999999999992</v>
      </c>
      <c r="T925" t="s">
        <v>71</v>
      </c>
      <c r="U925" t="s">
        <v>72</v>
      </c>
    </row>
    <row r="926" spans="1:21" x14ac:dyDescent="0.25">
      <c r="A926" t="s">
        <v>2823</v>
      </c>
      <c r="B926" s="1">
        <v>42555</v>
      </c>
      <c r="C926" s="1">
        <v>42557</v>
      </c>
      <c r="D926" t="s">
        <v>88</v>
      </c>
      <c r="E926" t="s">
        <v>2694</v>
      </c>
      <c r="F926" t="s">
        <v>2695</v>
      </c>
      <c r="G926" t="s">
        <v>25</v>
      </c>
      <c r="H926" t="s">
        <v>26</v>
      </c>
      <c r="I926" t="s">
        <v>329</v>
      </c>
      <c r="J926" t="s">
        <v>54</v>
      </c>
      <c r="K926" t="s">
        <v>55</v>
      </c>
      <c r="L926" t="s">
        <v>1000</v>
      </c>
      <c r="M926" t="s">
        <v>31</v>
      </c>
      <c r="N926" t="s">
        <v>32</v>
      </c>
      <c r="O926" t="s">
        <v>1001</v>
      </c>
      <c r="P926">
        <v>1279.165</v>
      </c>
      <c r="Q926">
        <v>5</v>
      </c>
      <c r="R926">
        <v>0.15</v>
      </c>
      <c r="S926">
        <v>225.73500000000001</v>
      </c>
      <c r="T926" t="s">
        <v>71</v>
      </c>
      <c r="U926" t="s">
        <v>72</v>
      </c>
    </row>
    <row r="927" spans="1:21" x14ac:dyDescent="0.25">
      <c r="A927" t="s">
        <v>2824</v>
      </c>
      <c r="B927" s="1">
        <v>42250</v>
      </c>
      <c r="C927" s="1">
        <v>42255</v>
      </c>
      <c r="D927" t="s">
        <v>40</v>
      </c>
      <c r="E927" t="s">
        <v>2825</v>
      </c>
      <c r="F927" t="s">
        <v>2826</v>
      </c>
      <c r="G927" t="s">
        <v>101</v>
      </c>
      <c r="H927" t="s">
        <v>26</v>
      </c>
      <c r="I927" t="s">
        <v>329</v>
      </c>
      <c r="J927" t="s">
        <v>54</v>
      </c>
      <c r="K927" t="s">
        <v>55</v>
      </c>
      <c r="L927" t="s">
        <v>496</v>
      </c>
      <c r="M927" t="s">
        <v>31</v>
      </c>
      <c r="N927" t="s">
        <v>37</v>
      </c>
      <c r="O927" t="s">
        <v>497</v>
      </c>
      <c r="P927">
        <v>129.56800000000001</v>
      </c>
      <c r="Q927">
        <v>2</v>
      </c>
      <c r="R927">
        <v>0.2</v>
      </c>
      <c r="S927">
        <v>-12.956799999999999</v>
      </c>
      <c r="T927" t="s">
        <v>59</v>
      </c>
      <c r="U927" t="s">
        <v>78</v>
      </c>
    </row>
    <row r="928" spans="1:21" x14ac:dyDescent="0.25">
      <c r="A928" t="s">
        <v>2827</v>
      </c>
      <c r="B928" s="1">
        <v>43006</v>
      </c>
      <c r="C928" s="1">
        <v>43009</v>
      </c>
      <c r="D928" t="s">
        <v>88</v>
      </c>
      <c r="E928" t="s">
        <v>766</v>
      </c>
      <c r="F928" t="s">
        <v>767</v>
      </c>
      <c r="G928" t="s">
        <v>101</v>
      </c>
      <c r="H928" t="s">
        <v>26</v>
      </c>
      <c r="I928" t="s">
        <v>180</v>
      </c>
      <c r="J928" t="s">
        <v>181</v>
      </c>
      <c r="K928" t="s">
        <v>55</v>
      </c>
      <c r="L928" t="s">
        <v>641</v>
      </c>
      <c r="M928" t="s">
        <v>31</v>
      </c>
      <c r="N928" t="s">
        <v>57</v>
      </c>
      <c r="O928" t="s">
        <v>642</v>
      </c>
      <c r="P928">
        <v>32.776000000000003</v>
      </c>
      <c r="Q928">
        <v>1</v>
      </c>
      <c r="R928">
        <v>0.2</v>
      </c>
      <c r="S928">
        <v>3.2776000000000001</v>
      </c>
      <c r="T928" t="s">
        <v>34</v>
      </c>
      <c r="U928" t="s">
        <v>78</v>
      </c>
    </row>
    <row r="929" spans="1:21" x14ac:dyDescent="0.25">
      <c r="A929" t="s">
        <v>2828</v>
      </c>
      <c r="B929" s="1">
        <v>43063</v>
      </c>
      <c r="C929" s="1">
        <v>43070</v>
      </c>
      <c r="D929" t="s">
        <v>40</v>
      </c>
      <c r="E929" t="s">
        <v>1675</v>
      </c>
      <c r="F929" t="s">
        <v>1676</v>
      </c>
      <c r="G929" t="s">
        <v>25</v>
      </c>
      <c r="H929" t="s">
        <v>26</v>
      </c>
      <c r="I929" t="s">
        <v>174</v>
      </c>
      <c r="J929" t="s">
        <v>121</v>
      </c>
      <c r="K929" t="s">
        <v>68</v>
      </c>
      <c r="L929" t="s">
        <v>1870</v>
      </c>
      <c r="M929" t="s">
        <v>31</v>
      </c>
      <c r="N929" t="s">
        <v>32</v>
      </c>
      <c r="O929" t="s">
        <v>1871</v>
      </c>
      <c r="P929">
        <v>321.56799999999998</v>
      </c>
      <c r="Q929">
        <v>2</v>
      </c>
      <c r="R929">
        <v>0.2</v>
      </c>
      <c r="S929">
        <v>-16.078399999999998</v>
      </c>
      <c r="T929" t="s">
        <v>48</v>
      </c>
      <c r="U929" t="s">
        <v>35</v>
      </c>
    </row>
    <row r="930" spans="1:21" x14ac:dyDescent="0.25">
      <c r="A930" t="s">
        <v>2829</v>
      </c>
      <c r="B930" s="1">
        <v>42863</v>
      </c>
      <c r="C930" s="1">
        <v>42867</v>
      </c>
      <c r="D930" t="s">
        <v>40</v>
      </c>
      <c r="E930" t="s">
        <v>398</v>
      </c>
      <c r="F930" t="s">
        <v>399</v>
      </c>
      <c r="G930" t="s">
        <v>91</v>
      </c>
      <c r="H930" t="s">
        <v>26</v>
      </c>
      <c r="I930" t="s">
        <v>66</v>
      </c>
      <c r="J930" t="s">
        <v>67</v>
      </c>
      <c r="K930" t="s">
        <v>68</v>
      </c>
      <c r="L930" t="s">
        <v>2429</v>
      </c>
      <c r="M930" t="s">
        <v>31</v>
      </c>
      <c r="N930" t="s">
        <v>37</v>
      </c>
      <c r="O930" t="s">
        <v>2430</v>
      </c>
      <c r="P930">
        <v>128.05799999999999</v>
      </c>
      <c r="Q930">
        <v>3</v>
      </c>
      <c r="R930">
        <v>0.3</v>
      </c>
      <c r="S930">
        <v>-23.7822</v>
      </c>
      <c r="T930" t="s">
        <v>84</v>
      </c>
      <c r="U930" t="s">
        <v>162</v>
      </c>
    </row>
    <row r="931" spans="1:21" x14ac:dyDescent="0.25">
      <c r="A931" t="s">
        <v>2830</v>
      </c>
      <c r="B931" s="1">
        <v>43007</v>
      </c>
      <c r="C931" s="1">
        <v>43007</v>
      </c>
      <c r="D931" t="s">
        <v>426</v>
      </c>
      <c r="E931" t="s">
        <v>229</v>
      </c>
      <c r="F931" t="s">
        <v>230</v>
      </c>
      <c r="G931" t="s">
        <v>101</v>
      </c>
      <c r="H931" t="s">
        <v>26</v>
      </c>
      <c r="I931" t="s">
        <v>2831</v>
      </c>
      <c r="J931" t="s">
        <v>232</v>
      </c>
      <c r="K931" t="s">
        <v>68</v>
      </c>
      <c r="L931" t="s">
        <v>1618</v>
      </c>
      <c r="M931" t="s">
        <v>31</v>
      </c>
      <c r="N931" t="s">
        <v>37</v>
      </c>
      <c r="O931" t="s">
        <v>1619</v>
      </c>
      <c r="P931">
        <v>63.686</v>
      </c>
      <c r="Q931">
        <v>1</v>
      </c>
      <c r="R931">
        <v>0.3</v>
      </c>
      <c r="S931">
        <v>-15.4666</v>
      </c>
      <c r="T931" t="s">
        <v>431</v>
      </c>
      <c r="U931" t="s">
        <v>78</v>
      </c>
    </row>
    <row r="932" spans="1:21" x14ac:dyDescent="0.25">
      <c r="A932" t="s">
        <v>2830</v>
      </c>
      <c r="B932" s="1">
        <v>43007</v>
      </c>
      <c r="C932" s="1">
        <v>43007</v>
      </c>
      <c r="D932" t="s">
        <v>426</v>
      </c>
      <c r="E932" t="s">
        <v>229</v>
      </c>
      <c r="F932" t="s">
        <v>230</v>
      </c>
      <c r="G932" t="s">
        <v>101</v>
      </c>
      <c r="H932" t="s">
        <v>26</v>
      </c>
      <c r="I932" t="s">
        <v>2831</v>
      </c>
      <c r="J932" t="s">
        <v>232</v>
      </c>
      <c r="K932" t="s">
        <v>68</v>
      </c>
      <c r="L932" t="s">
        <v>2832</v>
      </c>
      <c r="M932" t="s">
        <v>31</v>
      </c>
      <c r="N932" t="s">
        <v>46</v>
      </c>
      <c r="O932" t="s">
        <v>2833</v>
      </c>
      <c r="P932">
        <v>344.22</v>
      </c>
      <c r="Q932">
        <v>2</v>
      </c>
      <c r="R932">
        <v>0.4</v>
      </c>
      <c r="S932">
        <v>-189.321</v>
      </c>
      <c r="T932" t="s">
        <v>431</v>
      </c>
      <c r="U932" t="s">
        <v>78</v>
      </c>
    </row>
    <row r="933" spans="1:21" x14ac:dyDescent="0.25">
      <c r="A933" t="s">
        <v>2830</v>
      </c>
      <c r="B933" s="1">
        <v>43007</v>
      </c>
      <c r="C933" s="1">
        <v>43007</v>
      </c>
      <c r="D933" t="s">
        <v>426</v>
      </c>
      <c r="E933" t="s">
        <v>229</v>
      </c>
      <c r="F933" t="s">
        <v>230</v>
      </c>
      <c r="G933" t="s">
        <v>101</v>
      </c>
      <c r="H933" t="s">
        <v>26</v>
      </c>
      <c r="I933" t="s">
        <v>2831</v>
      </c>
      <c r="J933" t="s">
        <v>232</v>
      </c>
      <c r="K933" t="s">
        <v>68</v>
      </c>
      <c r="L933" t="s">
        <v>2327</v>
      </c>
      <c r="M933" t="s">
        <v>31</v>
      </c>
      <c r="N933" t="s">
        <v>57</v>
      </c>
      <c r="O933" t="s">
        <v>2328</v>
      </c>
      <c r="P933">
        <v>21.248000000000001</v>
      </c>
      <c r="Q933">
        <v>4</v>
      </c>
      <c r="R933">
        <v>0.2</v>
      </c>
      <c r="S933">
        <v>7.4367999999999999</v>
      </c>
      <c r="T933" t="s">
        <v>431</v>
      </c>
      <c r="U933" t="s">
        <v>78</v>
      </c>
    </row>
    <row r="934" spans="1:21" x14ac:dyDescent="0.25">
      <c r="A934" t="s">
        <v>2834</v>
      </c>
      <c r="B934" s="1">
        <v>43030</v>
      </c>
      <c r="C934" s="1">
        <v>43030</v>
      </c>
      <c r="D934" t="s">
        <v>426</v>
      </c>
      <c r="E934" t="s">
        <v>1024</v>
      </c>
      <c r="F934" t="s">
        <v>1025</v>
      </c>
      <c r="G934" t="s">
        <v>25</v>
      </c>
      <c r="H934" t="s">
        <v>26</v>
      </c>
      <c r="I934" t="s">
        <v>2835</v>
      </c>
      <c r="J934" t="s">
        <v>1523</v>
      </c>
      <c r="K934" t="s">
        <v>94</v>
      </c>
      <c r="L934" t="s">
        <v>291</v>
      </c>
      <c r="M934" t="s">
        <v>31</v>
      </c>
      <c r="N934" t="s">
        <v>46</v>
      </c>
      <c r="O934" t="s">
        <v>292</v>
      </c>
      <c r="P934">
        <v>248.98</v>
      </c>
      <c r="Q934">
        <v>2</v>
      </c>
      <c r="R934">
        <v>0</v>
      </c>
      <c r="S934">
        <v>54.775599999999997</v>
      </c>
      <c r="T934" t="s">
        <v>431</v>
      </c>
      <c r="U934" t="s">
        <v>49</v>
      </c>
    </row>
    <row r="935" spans="1:21" x14ac:dyDescent="0.25">
      <c r="A935" t="s">
        <v>2836</v>
      </c>
      <c r="B935" s="1">
        <v>42961</v>
      </c>
      <c r="C935" s="1">
        <v>42968</v>
      </c>
      <c r="D935" t="s">
        <v>40</v>
      </c>
      <c r="E935" t="s">
        <v>2655</v>
      </c>
      <c r="F935" t="s">
        <v>2656</v>
      </c>
      <c r="G935" t="s">
        <v>25</v>
      </c>
      <c r="H935" t="s">
        <v>26</v>
      </c>
      <c r="I935" t="s">
        <v>53</v>
      </c>
      <c r="J935" t="s">
        <v>54</v>
      </c>
      <c r="K935" t="s">
        <v>55</v>
      </c>
      <c r="L935" t="s">
        <v>785</v>
      </c>
      <c r="M935" t="s">
        <v>31</v>
      </c>
      <c r="N935" t="s">
        <v>46</v>
      </c>
      <c r="O935" t="s">
        <v>786</v>
      </c>
      <c r="P935">
        <v>418.29599999999999</v>
      </c>
      <c r="Q935">
        <v>3</v>
      </c>
      <c r="R935">
        <v>0.2</v>
      </c>
      <c r="S935">
        <v>5.2286999999999999</v>
      </c>
      <c r="T935" t="s">
        <v>48</v>
      </c>
      <c r="U935" t="s">
        <v>254</v>
      </c>
    </row>
    <row r="936" spans="1:21" x14ac:dyDescent="0.25">
      <c r="A936" t="s">
        <v>2837</v>
      </c>
      <c r="B936" s="1">
        <v>41974</v>
      </c>
      <c r="C936" s="1">
        <v>41976</v>
      </c>
      <c r="D936" t="s">
        <v>22</v>
      </c>
      <c r="E936" t="s">
        <v>2838</v>
      </c>
      <c r="F936" t="s">
        <v>2839</v>
      </c>
      <c r="G936" t="s">
        <v>25</v>
      </c>
      <c r="H936" t="s">
        <v>26</v>
      </c>
      <c r="I936" t="s">
        <v>348</v>
      </c>
      <c r="J936" t="s">
        <v>232</v>
      </c>
      <c r="K936" t="s">
        <v>68</v>
      </c>
      <c r="L936" t="s">
        <v>662</v>
      </c>
      <c r="M936" t="s">
        <v>31</v>
      </c>
      <c r="N936" t="s">
        <v>57</v>
      </c>
      <c r="O936" t="s">
        <v>663</v>
      </c>
      <c r="P936">
        <v>8.1280000000000001</v>
      </c>
      <c r="Q936">
        <v>2</v>
      </c>
      <c r="R936">
        <v>0.2</v>
      </c>
      <c r="S936">
        <v>1.4224000000000001</v>
      </c>
      <c r="T936" t="s">
        <v>71</v>
      </c>
      <c r="U936" t="s">
        <v>97</v>
      </c>
    </row>
    <row r="937" spans="1:21" x14ac:dyDescent="0.25">
      <c r="A937" t="s">
        <v>2837</v>
      </c>
      <c r="B937" s="1">
        <v>41974</v>
      </c>
      <c r="C937" s="1">
        <v>41976</v>
      </c>
      <c r="D937" t="s">
        <v>22</v>
      </c>
      <c r="E937" t="s">
        <v>2838</v>
      </c>
      <c r="F937" t="s">
        <v>2839</v>
      </c>
      <c r="G937" t="s">
        <v>25</v>
      </c>
      <c r="H937" t="s">
        <v>26</v>
      </c>
      <c r="I937" t="s">
        <v>348</v>
      </c>
      <c r="J937" t="s">
        <v>232</v>
      </c>
      <c r="K937" t="s">
        <v>68</v>
      </c>
      <c r="L937" t="s">
        <v>480</v>
      </c>
      <c r="M937" t="s">
        <v>31</v>
      </c>
      <c r="N937" t="s">
        <v>37</v>
      </c>
      <c r="O937" t="s">
        <v>481</v>
      </c>
      <c r="P937">
        <v>909.72</v>
      </c>
      <c r="Q937">
        <v>6</v>
      </c>
      <c r="R937">
        <v>0.3</v>
      </c>
      <c r="S937">
        <v>-51.984000000000002</v>
      </c>
      <c r="T937" t="s">
        <v>71</v>
      </c>
      <c r="U937" t="s">
        <v>97</v>
      </c>
    </row>
    <row r="938" spans="1:21" x14ac:dyDescent="0.25">
      <c r="A938" t="s">
        <v>2840</v>
      </c>
      <c r="B938" s="1">
        <v>42904</v>
      </c>
      <c r="C938" s="1">
        <v>42909</v>
      </c>
      <c r="D938" t="s">
        <v>40</v>
      </c>
      <c r="E938" t="s">
        <v>2841</v>
      </c>
      <c r="F938" t="s">
        <v>2842</v>
      </c>
      <c r="G938" t="s">
        <v>25</v>
      </c>
      <c r="H938" t="s">
        <v>26</v>
      </c>
      <c r="I938" t="s">
        <v>53</v>
      </c>
      <c r="J938" t="s">
        <v>54</v>
      </c>
      <c r="K938" t="s">
        <v>55</v>
      </c>
      <c r="L938" t="s">
        <v>711</v>
      </c>
      <c r="M938" t="s">
        <v>31</v>
      </c>
      <c r="N938" t="s">
        <v>32</v>
      </c>
      <c r="O938" t="s">
        <v>712</v>
      </c>
      <c r="P938">
        <v>917.92349999999999</v>
      </c>
      <c r="Q938">
        <v>9</v>
      </c>
      <c r="R938">
        <v>0.15</v>
      </c>
      <c r="S938">
        <v>75.593699999999998</v>
      </c>
      <c r="T938" t="s">
        <v>59</v>
      </c>
      <c r="U938" t="s">
        <v>60</v>
      </c>
    </row>
    <row r="939" spans="1:21" x14ac:dyDescent="0.25">
      <c r="A939" t="s">
        <v>2843</v>
      </c>
      <c r="B939" s="1">
        <v>41997</v>
      </c>
      <c r="C939" s="1">
        <v>42002</v>
      </c>
      <c r="D939" t="s">
        <v>40</v>
      </c>
      <c r="E939" t="s">
        <v>1738</v>
      </c>
      <c r="F939" t="s">
        <v>1739</v>
      </c>
      <c r="G939" t="s">
        <v>101</v>
      </c>
      <c r="H939" t="s">
        <v>26</v>
      </c>
      <c r="I939" t="s">
        <v>53</v>
      </c>
      <c r="J939" t="s">
        <v>54</v>
      </c>
      <c r="K939" t="s">
        <v>55</v>
      </c>
      <c r="L939" t="s">
        <v>1181</v>
      </c>
      <c r="M939" t="s">
        <v>31</v>
      </c>
      <c r="N939" t="s">
        <v>57</v>
      </c>
      <c r="O939" t="s">
        <v>1182</v>
      </c>
      <c r="P939">
        <v>23.99</v>
      </c>
      <c r="Q939">
        <v>1</v>
      </c>
      <c r="R939">
        <v>0</v>
      </c>
      <c r="S939">
        <v>5.5176999999999996</v>
      </c>
      <c r="T939" t="s">
        <v>59</v>
      </c>
      <c r="U939" t="s">
        <v>97</v>
      </c>
    </row>
    <row r="940" spans="1:21" x14ac:dyDescent="0.25">
      <c r="A940" t="s">
        <v>2844</v>
      </c>
      <c r="B940" s="1">
        <v>42878</v>
      </c>
      <c r="C940" s="1">
        <v>42884</v>
      </c>
      <c r="D940" t="s">
        <v>40</v>
      </c>
      <c r="E940" t="s">
        <v>2845</v>
      </c>
      <c r="F940" t="s">
        <v>2846</v>
      </c>
      <c r="G940" t="s">
        <v>25</v>
      </c>
      <c r="H940" t="s">
        <v>26</v>
      </c>
      <c r="I940" t="s">
        <v>53</v>
      </c>
      <c r="J940" t="s">
        <v>54</v>
      </c>
      <c r="K940" t="s">
        <v>55</v>
      </c>
      <c r="L940" t="s">
        <v>908</v>
      </c>
      <c r="M940" t="s">
        <v>31</v>
      </c>
      <c r="N940" t="s">
        <v>46</v>
      </c>
      <c r="O940" t="s">
        <v>909</v>
      </c>
      <c r="P940">
        <v>171.28800000000001</v>
      </c>
      <c r="Q940">
        <v>3</v>
      </c>
      <c r="R940">
        <v>0.2</v>
      </c>
      <c r="S940">
        <v>-6.4233000000000002</v>
      </c>
      <c r="T940" t="s">
        <v>130</v>
      </c>
      <c r="U940" t="s">
        <v>162</v>
      </c>
    </row>
    <row r="941" spans="1:21" x14ac:dyDescent="0.25">
      <c r="A941" t="s">
        <v>2847</v>
      </c>
      <c r="B941" s="1">
        <v>42684</v>
      </c>
      <c r="C941" s="1">
        <v>42688</v>
      </c>
      <c r="D941" t="s">
        <v>40</v>
      </c>
      <c r="E941" t="s">
        <v>976</v>
      </c>
      <c r="F941" t="s">
        <v>977</v>
      </c>
      <c r="G941" t="s">
        <v>91</v>
      </c>
      <c r="H941" t="s">
        <v>26</v>
      </c>
      <c r="I941" t="s">
        <v>879</v>
      </c>
      <c r="J941" t="s">
        <v>566</v>
      </c>
      <c r="K941" t="s">
        <v>94</v>
      </c>
      <c r="L941" t="s">
        <v>2649</v>
      </c>
      <c r="M941" t="s">
        <v>31</v>
      </c>
      <c r="N941" t="s">
        <v>57</v>
      </c>
      <c r="O941" t="s">
        <v>2650</v>
      </c>
      <c r="P941">
        <v>37.299999999999997</v>
      </c>
      <c r="Q941">
        <v>2</v>
      </c>
      <c r="R941">
        <v>0</v>
      </c>
      <c r="S941">
        <v>17.158000000000001</v>
      </c>
      <c r="T941" t="s">
        <v>84</v>
      </c>
      <c r="U941" t="s">
        <v>35</v>
      </c>
    </row>
    <row r="942" spans="1:21" x14ac:dyDescent="0.25">
      <c r="A942" t="s">
        <v>2848</v>
      </c>
      <c r="B942" s="1">
        <v>42670</v>
      </c>
      <c r="C942" s="1">
        <v>42675</v>
      </c>
      <c r="D942" t="s">
        <v>22</v>
      </c>
      <c r="E942" t="s">
        <v>2849</v>
      </c>
      <c r="F942" t="s">
        <v>2850</v>
      </c>
      <c r="G942" t="s">
        <v>25</v>
      </c>
      <c r="H942" t="s">
        <v>26</v>
      </c>
      <c r="I942" t="s">
        <v>2851</v>
      </c>
      <c r="J942" t="s">
        <v>717</v>
      </c>
      <c r="K942" t="s">
        <v>29</v>
      </c>
      <c r="L942" t="s">
        <v>1307</v>
      </c>
      <c r="M942" t="s">
        <v>31</v>
      </c>
      <c r="N942" t="s">
        <v>37</v>
      </c>
      <c r="O942" t="s">
        <v>1308</v>
      </c>
      <c r="P942">
        <v>290.98</v>
      </c>
      <c r="Q942">
        <v>1</v>
      </c>
      <c r="R942">
        <v>0</v>
      </c>
      <c r="S942">
        <v>75.654799999999994</v>
      </c>
      <c r="T942" t="s">
        <v>59</v>
      </c>
      <c r="U942" t="s">
        <v>49</v>
      </c>
    </row>
    <row r="943" spans="1:21" x14ac:dyDescent="0.25">
      <c r="A943" t="s">
        <v>2852</v>
      </c>
      <c r="B943" s="1">
        <v>41690</v>
      </c>
      <c r="C943" s="1">
        <v>41696</v>
      </c>
      <c r="D943" t="s">
        <v>40</v>
      </c>
      <c r="E943" t="s">
        <v>1298</v>
      </c>
      <c r="F943" t="s">
        <v>1299</v>
      </c>
      <c r="G943" t="s">
        <v>91</v>
      </c>
      <c r="H943" t="s">
        <v>26</v>
      </c>
      <c r="I943" t="s">
        <v>636</v>
      </c>
      <c r="J943" t="s">
        <v>111</v>
      </c>
      <c r="K943" t="s">
        <v>94</v>
      </c>
      <c r="L943" t="s">
        <v>662</v>
      </c>
      <c r="M943" t="s">
        <v>31</v>
      </c>
      <c r="N943" t="s">
        <v>57</v>
      </c>
      <c r="O943" t="s">
        <v>663</v>
      </c>
      <c r="P943">
        <v>20.32</v>
      </c>
      <c r="Q943">
        <v>4</v>
      </c>
      <c r="R943">
        <v>0</v>
      </c>
      <c r="S943">
        <v>6.9088000000000003</v>
      </c>
      <c r="T943" t="s">
        <v>130</v>
      </c>
      <c r="U943" t="s">
        <v>298</v>
      </c>
    </row>
    <row r="944" spans="1:21" x14ac:dyDescent="0.25">
      <c r="A944" t="s">
        <v>2853</v>
      </c>
      <c r="B944" s="1">
        <v>41945</v>
      </c>
      <c r="C944" s="1">
        <v>41949</v>
      </c>
      <c r="D944" t="s">
        <v>40</v>
      </c>
      <c r="E944" t="s">
        <v>2854</v>
      </c>
      <c r="F944" t="s">
        <v>2855</v>
      </c>
      <c r="G944" t="s">
        <v>25</v>
      </c>
      <c r="H944" t="s">
        <v>26</v>
      </c>
      <c r="I944" t="s">
        <v>174</v>
      </c>
      <c r="J944" t="s">
        <v>121</v>
      </c>
      <c r="K944" t="s">
        <v>68</v>
      </c>
      <c r="L944" t="s">
        <v>1205</v>
      </c>
      <c r="M944" t="s">
        <v>31</v>
      </c>
      <c r="N944" t="s">
        <v>57</v>
      </c>
      <c r="O944" t="s">
        <v>1206</v>
      </c>
      <c r="P944">
        <v>89.34</v>
      </c>
      <c r="Q944">
        <v>6</v>
      </c>
      <c r="R944">
        <v>0</v>
      </c>
      <c r="S944">
        <v>24.1218</v>
      </c>
      <c r="T944" t="s">
        <v>84</v>
      </c>
      <c r="U944" t="s">
        <v>35</v>
      </c>
    </row>
    <row r="945" spans="1:21" x14ac:dyDescent="0.25">
      <c r="A945" t="s">
        <v>2856</v>
      </c>
      <c r="B945" s="1">
        <v>42933</v>
      </c>
      <c r="C945" s="1">
        <v>42939</v>
      </c>
      <c r="D945" t="s">
        <v>40</v>
      </c>
      <c r="E945" t="s">
        <v>1873</v>
      </c>
      <c r="F945" t="s">
        <v>1874</v>
      </c>
      <c r="G945" t="s">
        <v>101</v>
      </c>
      <c r="H945" t="s">
        <v>26</v>
      </c>
      <c r="I945" t="s">
        <v>2857</v>
      </c>
      <c r="J945" t="s">
        <v>121</v>
      </c>
      <c r="K945" t="s">
        <v>68</v>
      </c>
      <c r="L945" t="s">
        <v>85</v>
      </c>
      <c r="M945" t="s">
        <v>31</v>
      </c>
      <c r="N945" t="s">
        <v>57</v>
      </c>
      <c r="O945" t="s">
        <v>1862</v>
      </c>
      <c r="P945">
        <v>39.08</v>
      </c>
      <c r="Q945">
        <v>4</v>
      </c>
      <c r="R945">
        <v>0</v>
      </c>
      <c r="S945">
        <v>14.4596</v>
      </c>
      <c r="T945" t="s">
        <v>130</v>
      </c>
      <c r="U945" t="s">
        <v>72</v>
      </c>
    </row>
    <row r="946" spans="1:21" x14ac:dyDescent="0.25">
      <c r="A946" t="s">
        <v>2858</v>
      </c>
      <c r="B946" s="1">
        <v>42688</v>
      </c>
      <c r="C946" s="1">
        <v>42691</v>
      </c>
      <c r="D946" t="s">
        <v>88</v>
      </c>
      <c r="E946" t="s">
        <v>1301</v>
      </c>
      <c r="F946" t="s">
        <v>1302</v>
      </c>
      <c r="G946" t="s">
        <v>25</v>
      </c>
      <c r="H946" t="s">
        <v>26</v>
      </c>
      <c r="I946" t="s">
        <v>174</v>
      </c>
      <c r="J946" t="s">
        <v>121</v>
      </c>
      <c r="K946" t="s">
        <v>68</v>
      </c>
      <c r="L946" t="s">
        <v>806</v>
      </c>
      <c r="M946" t="s">
        <v>31</v>
      </c>
      <c r="N946" t="s">
        <v>37</v>
      </c>
      <c r="O946" t="s">
        <v>807</v>
      </c>
      <c r="P946">
        <v>408.00599999999997</v>
      </c>
      <c r="Q946">
        <v>2</v>
      </c>
      <c r="R946">
        <v>0.1</v>
      </c>
      <c r="S946">
        <v>72.534400000000005</v>
      </c>
      <c r="T946" t="s">
        <v>34</v>
      </c>
      <c r="U946" t="s">
        <v>35</v>
      </c>
    </row>
    <row r="947" spans="1:21" x14ac:dyDescent="0.25">
      <c r="A947" t="s">
        <v>2859</v>
      </c>
      <c r="B947" s="1">
        <v>41922</v>
      </c>
      <c r="C947" s="1">
        <v>41922</v>
      </c>
      <c r="D947" t="s">
        <v>426</v>
      </c>
      <c r="E947" t="s">
        <v>518</v>
      </c>
      <c r="F947" t="s">
        <v>519</v>
      </c>
      <c r="G947" t="s">
        <v>101</v>
      </c>
      <c r="H947" t="s">
        <v>26</v>
      </c>
      <c r="I947" t="s">
        <v>2860</v>
      </c>
      <c r="J947" t="s">
        <v>54</v>
      </c>
      <c r="K947" t="s">
        <v>55</v>
      </c>
      <c r="L947" t="s">
        <v>69</v>
      </c>
      <c r="M947" t="s">
        <v>31</v>
      </c>
      <c r="N947" t="s">
        <v>37</v>
      </c>
      <c r="O947" t="s">
        <v>70</v>
      </c>
      <c r="P947">
        <v>122.352</v>
      </c>
      <c r="Q947">
        <v>3</v>
      </c>
      <c r="R947">
        <v>0.2</v>
      </c>
      <c r="S947">
        <v>13.7646</v>
      </c>
      <c r="T947" t="s">
        <v>431</v>
      </c>
      <c r="U947" t="s">
        <v>49</v>
      </c>
    </row>
    <row r="948" spans="1:21" x14ac:dyDescent="0.25">
      <c r="A948" t="s">
        <v>2861</v>
      </c>
      <c r="B948" s="1">
        <v>42924</v>
      </c>
      <c r="C948" s="1">
        <v>42928</v>
      </c>
      <c r="D948" t="s">
        <v>40</v>
      </c>
      <c r="E948" t="s">
        <v>2862</v>
      </c>
      <c r="F948" t="s">
        <v>2863</v>
      </c>
      <c r="G948" t="s">
        <v>101</v>
      </c>
      <c r="H948" t="s">
        <v>26</v>
      </c>
      <c r="I948" t="s">
        <v>192</v>
      </c>
      <c r="J948" t="s">
        <v>193</v>
      </c>
      <c r="K948" t="s">
        <v>55</v>
      </c>
      <c r="L948" t="s">
        <v>1659</v>
      </c>
      <c r="M948" t="s">
        <v>31</v>
      </c>
      <c r="N948" t="s">
        <v>57</v>
      </c>
      <c r="O948" t="s">
        <v>1660</v>
      </c>
      <c r="P948">
        <v>15.84</v>
      </c>
      <c r="Q948">
        <v>3</v>
      </c>
      <c r="R948">
        <v>0</v>
      </c>
      <c r="S948">
        <v>4.9104000000000001</v>
      </c>
      <c r="T948" t="s">
        <v>84</v>
      </c>
      <c r="U948" t="s">
        <v>72</v>
      </c>
    </row>
    <row r="949" spans="1:21" x14ac:dyDescent="0.25">
      <c r="A949" t="s">
        <v>2864</v>
      </c>
      <c r="B949" s="1">
        <v>42062</v>
      </c>
      <c r="C949" s="1">
        <v>42065</v>
      </c>
      <c r="D949" t="s">
        <v>40</v>
      </c>
      <c r="E949" t="s">
        <v>2865</v>
      </c>
      <c r="F949" t="s">
        <v>2866</v>
      </c>
      <c r="G949" t="s">
        <v>91</v>
      </c>
      <c r="H949" t="s">
        <v>26</v>
      </c>
      <c r="I949" t="s">
        <v>1645</v>
      </c>
      <c r="J949" t="s">
        <v>1646</v>
      </c>
      <c r="K949" t="s">
        <v>68</v>
      </c>
      <c r="L949" t="s">
        <v>2407</v>
      </c>
      <c r="M949" t="s">
        <v>31</v>
      </c>
      <c r="N949" t="s">
        <v>46</v>
      </c>
      <c r="O949" t="s">
        <v>2408</v>
      </c>
      <c r="P949">
        <v>493.92</v>
      </c>
      <c r="Q949">
        <v>7</v>
      </c>
      <c r="R949">
        <v>0.3</v>
      </c>
      <c r="S949">
        <v>-28.224</v>
      </c>
      <c r="T949" t="s">
        <v>34</v>
      </c>
      <c r="U949" t="s">
        <v>298</v>
      </c>
    </row>
    <row r="950" spans="1:21" x14ac:dyDescent="0.25">
      <c r="A950" t="s">
        <v>2867</v>
      </c>
      <c r="B950" s="1">
        <v>42197</v>
      </c>
      <c r="C950" s="1">
        <v>42202</v>
      </c>
      <c r="D950" t="s">
        <v>22</v>
      </c>
      <c r="E950" t="s">
        <v>2868</v>
      </c>
      <c r="F950" t="s">
        <v>2869</v>
      </c>
      <c r="G950" t="s">
        <v>25</v>
      </c>
      <c r="H950" t="s">
        <v>26</v>
      </c>
      <c r="I950" t="s">
        <v>134</v>
      </c>
      <c r="J950" t="s">
        <v>135</v>
      </c>
      <c r="K950" t="s">
        <v>94</v>
      </c>
      <c r="L950" t="s">
        <v>299</v>
      </c>
      <c r="M950" t="s">
        <v>31</v>
      </c>
      <c r="N950" t="s">
        <v>37</v>
      </c>
      <c r="O950" t="s">
        <v>300</v>
      </c>
      <c r="P950">
        <v>383.60700000000003</v>
      </c>
      <c r="Q950">
        <v>9</v>
      </c>
      <c r="R950">
        <v>0.3</v>
      </c>
      <c r="S950">
        <v>-5.4801000000000002</v>
      </c>
      <c r="T950" t="s">
        <v>59</v>
      </c>
      <c r="U950" t="s">
        <v>72</v>
      </c>
    </row>
    <row r="951" spans="1:21" x14ac:dyDescent="0.25">
      <c r="A951" t="s">
        <v>2867</v>
      </c>
      <c r="B951" s="1">
        <v>42197</v>
      </c>
      <c r="C951" s="1">
        <v>42202</v>
      </c>
      <c r="D951" t="s">
        <v>22</v>
      </c>
      <c r="E951" t="s">
        <v>2868</v>
      </c>
      <c r="F951" t="s">
        <v>2869</v>
      </c>
      <c r="G951" t="s">
        <v>25</v>
      </c>
      <c r="H951" t="s">
        <v>26</v>
      </c>
      <c r="I951" t="s">
        <v>134</v>
      </c>
      <c r="J951" t="s">
        <v>135</v>
      </c>
      <c r="K951" t="s">
        <v>94</v>
      </c>
      <c r="L951" t="s">
        <v>364</v>
      </c>
      <c r="M951" t="s">
        <v>31</v>
      </c>
      <c r="N951" t="s">
        <v>57</v>
      </c>
      <c r="O951" t="s">
        <v>365</v>
      </c>
      <c r="P951">
        <v>7.76</v>
      </c>
      <c r="Q951">
        <v>1</v>
      </c>
      <c r="R951">
        <v>0.6</v>
      </c>
      <c r="S951">
        <v>-2.1339999999999999</v>
      </c>
      <c r="T951" t="s">
        <v>59</v>
      </c>
      <c r="U951" t="s">
        <v>72</v>
      </c>
    </row>
    <row r="952" spans="1:21" x14ac:dyDescent="0.25">
      <c r="A952" t="s">
        <v>2870</v>
      </c>
      <c r="B952" s="1">
        <v>41833</v>
      </c>
      <c r="C952" s="1">
        <v>41837</v>
      </c>
      <c r="D952" t="s">
        <v>40</v>
      </c>
      <c r="E952" t="s">
        <v>2871</v>
      </c>
      <c r="F952" t="s">
        <v>2872</v>
      </c>
      <c r="G952" t="s">
        <v>91</v>
      </c>
      <c r="H952" t="s">
        <v>26</v>
      </c>
      <c r="I952" t="s">
        <v>53</v>
      </c>
      <c r="J952" t="s">
        <v>54</v>
      </c>
      <c r="K952" t="s">
        <v>55</v>
      </c>
      <c r="L952" t="s">
        <v>1628</v>
      </c>
      <c r="M952" t="s">
        <v>31</v>
      </c>
      <c r="N952" t="s">
        <v>46</v>
      </c>
      <c r="O952" t="s">
        <v>1629</v>
      </c>
      <c r="P952">
        <v>351.21600000000001</v>
      </c>
      <c r="Q952">
        <v>3</v>
      </c>
      <c r="R952">
        <v>0.2</v>
      </c>
      <c r="S952">
        <v>4.3902000000000001</v>
      </c>
      <c r="T952" t="s">
        <v>84</v>
      </c>
      <c r="U952" t="s">
        <v>72</v>
      </c>
    </row>
    <row r="953" spans="1:21" x14ac:dyDescent="0.25">
      <c r="A953" t="s">
        <v>2873</v>
      </c>
      <c r="B953" s="1">
        <v>42000</v>
      </c>
      <c r="C953" s="1">
        <v>42006</v>
      </c>
      <c r="D953" t="s">
        <v>40</v>
      </c>
      <c r="E953" t="s">
        <v>2874</v>
      </c>
      <c r="F953" t="s">
        <v>2875</v>
      </c>
      <c r="G953" t="s">
        <v>25</v>
      </c>
      <c r="H953" t="s">
        <v>26</v>
      </c>
      <c r="I953" t="s">
        <v>329</v>
      </c>
      <c r="J953" t="s">
        <v>54</v>
      </c>
      <c r="K953" t="s">
        <v>55</v>
      </c>
      <c r="L953" t="s">
        <v>467</v>
      </c>
      <c r="M953" t="s">
        <v>31</v>
      </c>
      <c r="N953" t="s">
        <v>37</v>
      </c>
      <c r="O953" t="s">
        <v>468</v>
      </c>
      <c r="P953">
        <v>230.28</v>
      </c>
      <c r="Q953">
        <v>3</v>
      </c>
      <c r="R953">
        <v>0.2</v>
      </c>
      <c r="S953">
        <v>23.027999999999999</v>
      </c>
      <c r="T953" t="s">
        <v>130</v>
      </c>
      <c r="U953" t="s">
        <v>97</v>
      </c>
    </row>
    <row r="954" spans="1:21" x14ac:dyDescent="0.25">
      <c r="A954" t="s">
        <v>2876</v>
      </c>
      <c r="B954" s="1">
        <v>41764</v>
      </c>
      <c r="C954" s="1">
        <v>41767</v>
      </c>
      <c r="D954" t="s">
        <v>88</v>
      </c>
      <c r="E954" t="s">
        <v>74</v>
      </c>
      <c r="F954" t="s">
        <v>75</v>
      </c>
      <c r="G954" t="s">
        <v>25</v>
      </c>
      <c r="H954" t="s">
        <v>26</v>
      </c>
      <c r="I954" t="s">
        <v>246</v>
      </c>
      <c r="J954" t="s">
        <v>93</v>
      </c>
      <c r="K954" t="s">
        <v>94</v>
      </c>
      <c r="L954" t="s">
        <v>136</v>
      </c>
      <c r="M954" t="s">
        <v>31</v>
      </c>
      <c r="N954" t="s">
        <v>37</v>
      </c>
      <c r="O954" t="s">
        <v>137</v>
      </c>
      <c r="P954">
        <v>127.869</v>
      </c>
      <c r="Q954">
        <v>3</v>
      </c>
      <c r="R954">
        <v>0.3</v>
      </c>
      <c r="S954">
        <v>-9.1334999999999997</v>
      </c>
      <c r="T954" t="s">
        <v>34</v>
      </c>
      <c r="U954" t="s">
        <v>162</v>
      </c>
    </row>
    <row r="955" spans="1:21" x14ac:dyDescent="0.25">
      <c r="A955" t="s">
        <v>2877</v>
      </c>
      <c r="B955" s="1">
        <v>42342</v>
      </c>
      <c r="C955" s="1">
        <v>42347</v>
      </c>
      <c r="D955" t="s">
        <v>22</v>
      </c>
      <c r="E955" t="s">
        <v>1867</v>
      </c>
      <c r="F955" t="s">
        <v>1868</v>
      </c>
      <c r="G955" t="s">
        <v>91</v>
      </c>
      <c r="H955" t="s">
        <v>26</v>
      </c>
      <c r="I955" t="s">
        <v>53</v>
      </c>
      <c r="J955" t="s">
        <v>54</v>
      </c>
      <c r="K955" t="s">
        <v>55</v>
      </c>
      <c r="L955" t="s">
        <v>2878</v>
      </c>
      <c r="M955" t="s">
        <v>31</v>
      </c>
      <c r="N955" t="s">
        <v>57</v>
      </c>
      <c r="O955" t="s">
        <v>2879</v>
      </c>
      <c r="P955">
        <v>36.4</v>
      </c>
      <c r="Q955">
        <v>5</v>
      </c>
      <c r="R955">
        <v>0</v>
      </c>
      <c r="S955">
        <v>13.832000000000001</v>
      </c>
      <c r="T955" t="s">
        <v>59</v>
      </c>
      <c r="U955" t="s">
        <v>97</v>
      </c>
    </row>
    <row r="956" spans="1:21" x14ac:dyDescent="0.25">
      <c r="A956" t="s">
        <v>2880</v>
      </c>
      <c r="B956" s="1">
        <v>43004</v>
      </c>
      <c r="C956" s="1">
        <v>43008</v>
      </c>
      <c r="D956" t="s">
        <v>40</v>
      </c>
      <c r="E956" t="s">
        <v>1783</v>
      </c>
      <c r="F956" t="s">
        <v>1784</v>
      </c>
      <c r="G956" t="s">
        <v>101</v>
      </c>
      <c r="H956" t="s">
        <v>26</v>
      </c>
      <c r="I956" t="s">
        <v>2709</v>
      </c>
      <c r="J956" t="s">
        <v>44</v>
      </c>
      <c r="K956" t="s">
        <v>29</v>
      </c>
      <c r="L956" t="s">
        <v>2579</v>
      </c>
      <c r="M956" t="s">
        <v>31</v>
      </c>
      <c r="N956" t="s">
        <v>37</v>
      </c>
      <c r="O956" t="s">
        <v>2580</v>
      </c>
      <c r="P956">
        <v>419.13600000000002</v>
      </c>
      <c r="Q956">
        <v>4</v>
      </c>
      <c r="R956">
        <v>0.2</v>
      </c>
      <c r="S956">
        <v>-57.6312</v>
      </c>
      <c r="T956" t="s">
        <v>84</v>
      </c>
      <c r="U956" t="s">
        <v>78</v>
      </c>
    </row>
    <row r="957" spans="1:21" x14ac:dyDescent="0.25">
      <c r="A957" t="s">
        <v>2881</v>
      </c>
      <c r="B957" s="1">
        <v>41748</v>
      </c>
      <c r="C957" s="1">
        <v>41750</v>
      </c>
      <c r="D957" t="s">
        <v>22</v>
      </c>
      <c r="E957" t="s">
        <v>1016</v>
      </c>
      <c r="F957" t="s">
        <v>1017</v>
      </c>
      <c r="G957" t="s">
        <v>101</v>
      </c>
      <c r="H957" t="s">
        <v>26</v>
      </c>
      <c r="I957" t="s">
        <v>1492</v>
      </c>
      <c r="J957" t="s">
        <v>54</v>
      </c>
      <c r="K957" t="s">
        <v>55</v>
      </c>
      <c r="L957" t="s">
        <v>309</v>
      </c>
      <c r="M957" t="s">
        <v>31</v>
      </c>
      <c r="N957" t="s">
        <v>57</v>
      </c>
      <c r="O957" t="s">
        <v>2587</v>
      </c>
      <c r="P957">
        <v>76.14</v>
      </c>
      <c r="Q957">
        <v>3</v>
      </c>
      <c r="R957">
        <v>0</v>
      </c>
      <c r="S957">
        <v>26.649000000000001</v>
      </c>
      <c r="T957" t="s">
        <v>71</v>
      </c>
      <c r="U957" t="s">
        <v>114</v>
      </c>
    </row>
    <row r="958" spans="1:21" x14ac:dyDescent="0.25">
      <c r="A958" t="s">
        <v>2882</v>
      </c>
      <c r="B958" s="1">
        <v>42716</v>
      </c>
      <c r="C958" s="1">
        <v>42722</v>
      </c>
      <c r="D958" t="s">
        <v>40</v>
      </c>
      <c r="E958" t="s">
        <v>2883</v>
      </c>
      <c r="F958" t="s">
        <v>2884</v>
      </c>
      <c r="G958" t="s">
        <v>101</v>
      </c>
      <c r="H958" t="s">
        <v>26</v>
      </c>
      <c r="I958" t="s">
        <v>478</v>
      </c>
      <c r="J958" t="s">
        <v>290</v>
      </c>
      <c r="K958" t="s">
        <v>94</v>
      </c>
      <c r="L958" t="s">
        <v>1148</v>
      </c>
      <c r="M958" t="s">
        <v>31</v>
      </c>
      <c r="N958" t="s">
        <v>57</v>
      </c>
      <c r="O958" t="s">
        <v>1149</v>
      </c>
      <c r="P958">
        <v>33.479999999999997</v>
      </c>
      <c r="Q958">
        <v>4</v>
      </c>
      <c r="R958">
        <v>0</v>
      </c>
      <c r="S958">
        <v>8.7048000000000005</v>
      </c>
      <c r="T958" t="s">
        <v>130</v>
      </c>
      <c r="U958" t="s">
        <v>97</v>
      </c>
    </row>
    <row r="959" spans="1:21" x14ac:dyDescent="0.25">
      <c r="A959" t="s">
        <v>2885</v>
      </c>
      <c r="B959" s="1">
        <v>42632</v>
      </c>
      <c r="C959" s="1">
        <v>42635</v>
      </c>
      <c r="D959" t="s">
        <v>88</v>
      </c>
      <c r="E959" t="s">
        <v>1951</v>
      </c>
      <c r="F959" t="s">
        <v>1952</v>
      </c>
      <c r="G959" t="s">
        <v>101</v>
      </c>
      <c r="H959" t="s">
        <v>26</v>
      </c>
      <c r="I959" t="s">
        <v>66</v>
      </c>
      <c r="J959" t="s">
        <v>67</v>
      </c>
      <c r="K959" t="s">
        <v>68</v>
      </c>
      <c r="L959" t="s">
        <v>2886</v>
      </c>
      <c r="M959" t="s">
        <v>31</v>
      </c>
      <c r="N959" t="s">
        <v>57</v>
      </c>
      <c r="O959" t="s">
        <v>2887</v>
      </c>
      <c r="P959">
        <v>25.632000000000001</v>
      </c>
      <c r="Q959">
        <v>3</v>
      </c>
      <c r="R959">
        <v>0.2</v>
      </c>
      <c r="S959">
        <v>3.8448000000000002</v>
      </c>
      <c r="T959" t="s">
        <v>34</v>
      </c>
      <c r="U959" t="s">
        <v>78</v>
      </c>
    </row>
    <row r="960" spans="1:21" x14ac:dyDescent="0.25">
      <c r="A960" t="s">
        <v>2888</v>
      </c>
      <c r="B960" s="1">
        <v>43041</v>
      </c>
      <c r="C960" s="1">
        <v>43043</v>
      </c>
      <c r="D960" t="s">
        <v>22</v>
      </c>
      <c r="E960" t="s">
        <v>2039</v>
      </c>
      <c r="F960" t="s">
        <v>2040</v>
      </c>
      <c r="G960" t="s">
        <v>101</v>
      </c>
      <c r="H960" t="s">
        <v>26</v>
      </c>
      <c r="I960" t="s">
        <v>2889</v>
      </c>
      <c r="J960" t="s">
        <v>54</v>
      </c>
      <c r="K960" t="s">
        <v>55</v>
      </c>
      <c r="L960" t="s">
        <v>2890</v>
      </c>
      <c r="M960" t="s">
        <v>31</v>
      </c>
      <c r="N960" t="s">
        <v>57</v>
      </c>
      <c r="O960" t="s">
        <v>2891</v>
      </c>
      <c r="P960">
        <v>25.02</v>
      </c>
      <c r="Q960">
        <v>3</v>
      </c>
      <c r="R960">
        <v>0</v>
      </c>
      <c r="S960">
        <v>10.5084</v>
      </c>
      <c r="T960" t="s">
        <v>71</v>
      </c>
      <c r="U960" t="s">
        <v>35</v>
      </c>
    </row>
    <row r="961" spans="1:21" x14ac:dyDescent="0.25">
      <c r="A961" t="s">
        <v>2892</v>
      </c>
      <c r="B961" s="1">
        <v>42730</v>
      </c>
      <c r="C961" s="1">
        <v>42735</v>
      </c>
      <c r="D961" t="s">
        <v>40</v>
      </c>
      <c r="E961" t="s">
        <v>2893</v>
      </c>
      <c r="F961" t="s">
        <v>2894</v>
      </c>
      <c r="G961" t="s">
        <v>91</v>
      </c>
      <c r="H961" t="s">
        <v>26</v>
      </c>
      <c r="I961" t="s">
        <v>53</v>
      </c>
      <c r="J961" t="s">
        <v>54</v>
      </c>
      <c r="K961" t="s">
        <v>55</v>
      </c>
      <c r="L961" t="s">
        <v>2429</v>
      </c>
      <c r="M961" t="s">
        <v>31</v>
      </c>
      <c r="N961" t="s">
        <v>37</v>
      </c>
      <c r="O961" t="s">
        <v>2430</v>
      </c>
      <c r="P961">
        <v>146.352</v>
      </c>
      <c r="Q961">
        <v>3</v>
      </c>
      <c r="R961">
        <v>0.2</v>
      </c>
      <c r="S961">
        <v>-5.4882</v>
      </c>
      <c r="T961" t="s">
        <v>59</v>
      </c>
      <c r="U961" t="s">
        <v>97</v>
      </c>
    </row>
    <row r="962" spans="1:21" x14ac:dyDescent="0.25">
      <c r="A962" t="s">
        <v>2892</v>
      </c>
      <c r="B962" s="1">
        <v>42730</v>
      </c>
      <c r="C962" s="1">
        <v>42735</v>
      </c>
      <c r="D962" t="s">
        <v>40</v>
      </c>
      <c r="E962" t="s">
        <v>2893</v>
      </c>
      <c r="F962" t="s">
        <v>2894</v>
      </c>
      <c r="G962" t="s">
        <v>91</v>
      </c>
      <c r="H962" t="s">
        <v>26</v>
      </c>
      <c r="I962" t="s">
        <v>53</v>
      </c>
      <c r="J962" t="s">
        <v>54</v>
      </c>
      <c r="K962" t="s">
        <v>55</v>
      </c>
      <c r="L962" t="s">
        <v>307</v>
      </c>
      <c r="M962" t="s">
        <v>31</v>
      </c>
      <c r="N962" t="s">
        <v>46</v>
      </c>
      <c r="O962" t="s">
        <v>308</v>
      </c>
      <c r="P962">
        <v>902.71199999999999</v>
      </c>
      <c r="Q962">
        <v>3</v>
      </c>
      <c r="R962">
        <v>0.2</v>
      </c>
      <c r="S962">
        <v>33.851700000000001</v>
      </c>
      <c r="T962" t="s">
        <v>59</v>
      </c>
      <c r="U962" t="s">
        <v>97</v>
      </c>
    </row>
    <row r="963" spans="1:21" x14ac:dyDescent="0.25">
      <c r="A963" t="s">
        <v>2895</v>
      </c>
      <c r="B963" s="1">
        <v>42201</v>
      </c>
      <c r="C963" s="1">
        <v>42205</v>
      </c>
      <c r="D963" t="s">
        <v>40</v>
      </c>
      <c r="E963" t="s">
        <v>2896</v>
      </c>
      <c r="F963" t="s">
        <v>2897</v>
      </c>
      <c r="G963" t="s">
        <v>101</v>
      </c>
      <c r="H963" t="s">
        <v>26</v>
      </c>
      <c r="I963" t="s">
        <v>2755</v>
      </c>
      <c r="J963" t="s">
        <v>1090</v>
      </c>
      <c r="K963" t="s">
        <v>68</v>
      </c>
      <c r="L963" t="s">
        <v>657</v>
      </c>
      <c r="M963" t="s">
        <v>31</v>
      </c>
      <c r="N963" t="s">
        <v>37</v>
      </c>
      <c r="O963" t="s">
        <v>658</v>
      </c>
      <c r="P963">
        <v>150.97999999999999</v>
      </c>
      <c r="Q963">
        <v>1</v>
      </c>
      <c r="R963">
        <v>0</v>
      </c>
      <c r="S963">
        <v>43.784199999999998</v>
      </c>
      <c r="T963" t="s">
        <v>84</v>
      </c>
      <c r="U963" t="s">
        <v>72</v>
      </c>
    </row>
    <row r="964" spans="1:21" x14ac:dyDescent="0.25">
      <c r="A964" t="s">
        <v>2898</v>
      </c>
      <c r="B964" s="1">
        <v>43048</v>
      </c>
      <c r="C964" s="1">
        <v>43053</v>
      </c>
      <c r="D964" t="s">
        <v>40</v>
      </c>
      <c r="E964" t="s">
        <v>139</v>
      </c>
      <c r="F964" t="s">
        <v>140</v>
      </c>
      <c r="G964" t="s">
        <v>25</v>
      </c>
      <c r="H964" t="s">
        <v>26</v>
      </c>
      <c r="I964" t="s">
        <v>762</v>
      </c>
      <c r="J964" t="s">
        <v>54</v>
      </c>
      <c r="K964" t="s">
        <v>55</v>
      </c>
      <c r="L964" t="s">
        <v>423</v>
      </c>
      <c r="M964" t="s">
        <v>31</v>
      </c>
      <c r="N964" t="s">
        <v>57</v>
      </c>
      <c r="O964" t="s">
        <v>424</v>
      </c>
      <c r="P964">
        <v>47.12</v>
      </c>
      <c r="Q964">
        <v>8</v>
      </c>
      <c r="R964">
        <v>0</v>
      </c>
      <c r="S964">
        <v>20.732800000000001</v>
      </c>
      <c r="T964" t="s">
        <v>59</v>
      </c>
      <c r="U964" t="s">
        <v>35</v>
      </c>
    </row>
    <row r="965" spans="1:21" x14ac:dyDescent="0.25">
      <c r="A965" t="s">
        <v>2899</v>
      </c>
      <c r="B965" s="1">
        <v>42268</v>
      </c>
      <c r="C965" s="1">
        <v>42273</v>
      </c>
      <c r="D965" t="s">
        <v>40</v>
      </c>
      <c r="E965" t="s">
        <v>2388</v>
      </c>
      <c r="F965" t="s">
        <v>2389</v>
      </c>
      <c r="G965" t="s">
        <v>101</v>
      </c>
      <c r="H965" t="s">
        <v>26</v>
      </c>
      <c r="I965" t="s">
        <v>1358</v>
      </c>
      <c r="J965" t="s">
        <v>435</v>
      </c>
      <c r="K965" t="s">
        <v>68</v>
      </c>
      <c r="L965" t="s">
        <v>421</v>
      </c>
      <c r="M965" t="s">
        <v>31</v>
      </c>
      <c r="N965" t="s">
        <v>37</v>
      </c>
      <c r="O965" t="s">
        <v>422</v>
      </c>
      <c r="P965">
        <v>542.94000000000005</v>
      </c>
      <c r="Q965">
        <v>3</v>
      </c>
      <c r="R965">
        <v>0</v>
      </c>
      <c r="S965">
        <v>141.1644</v>
      </c>
      <c r="T965" t="s">
        <v>59</v>
      </c>
      <c r="U965" t="s">
        <v>78</v>
      </c>
    </row>
    <row r="966" spans="1:21" x14ac:dyDescent="0.25">
      <c r="A966" t="s">
        <v>2900</v>
      </c>
      <c r="B966" s="1">
        <v>42987</v>
      </c>
      <c r="C966" s="1">
        <v>42992</v>
      </c>
      <c r="D966" t="s">
        <v>40</v>
      </c>
      <c r="E966" t="s">
        <v>41</v>
      </c>
      <c r="F966" t="s">
        <v>42</v>
      </c>
      <c r="G966" t="s">
        <v>25</v>
      </c>
      <c r="H966" t="s">
        <v>26</v>
      </c>
      <c r="I966" t="s">
        <v>158</v>
      </c>
      <c r="J966" t="s">
        <v>142</v>
      </c>
      <c r="K966" t="s">
        <v>29</v>
      </c>
      <c r="L966" t="s">
        <v>423</v>
      </c>
      <c r="M966" t="s">
        <v>31</v>
      </c>
      <c r="N966" t="s">
        <v>57</v>
      </c>
      <c r="O966" t="s">
        <v>424</v>
      </c>
      <c r="P966">
        <v>14.135999999999999</v>
      </c>
      <c r="Q966">
        <v>3</v>
      </c>
      <c r="R966">
        <v>0.2</v>
      </c>
      <c r="S966">
        <v>4.2408000000000001</v>
      </c>
      <c r="T966" t="s">
        <v>59</v>
      </c>
      <c r="U966" t="s">
        <v>78</v>
      </c>
    </row>
    <row r="967" spans="1:21" x14ac:dyDescent="0.25">
      <c r="A967" t="s">
        <v>2901</v>
      </c>
      <c r="B967" s="1">
        <v>42292</v>
      </c>
      <c r="C967" s="1">
        <v>42292</v>
      </c>
      <c r="D967" t="s">
        <v>426</v>
      </c>
      <c r="E967" t="s">
        <v>868</v>
      </c>
      <c r="F967" t="s">
        <v>869</v>
      </c>
      <c r="G967" t="s">
        <v>25</v>
      </c>
      <c r="H967" t="s">
        <v>26</v>
      </c>
      <c r="I967" t="s">
        <v>2222</v>
      </c>
      <c r="J967" t="s">
        <v>290</v>
      </c>
      <c r="K967" t="s">
        <v>94</v>
      </c>
      <c r="L967" t="s">
        <v>2902</v>
      </c>
      <c r="M967" t="s">
        <v>31</v>
      </c>
      <c r="N967" t="s">
        <v>57</v>
      </c>
      <c r="O967" t="s">
        <v>2903</v>
      </c>
      <c r="P967">
        <v>17.14</v>
      </c>
      <c r="Q967">
        <v>2</v>
      </c>
      <c r="R967">
        <v>0</v>
      </c>
      <c r="S967">
        <v>6.1703999999999999</v>
      </c>
      <c r="T967" t="s">
        <v>431</v>
      </c>
      <c r="U967" t="s">
        <v>49</v>
      </c>
    </row>
    <row r="968" spans="1:21" x14ac:dyDescent="0.25">
      <c r="A968" t="s">
        <v>2904</v>
      </c>
      <c r="B968" s="1">
        <v>42950</v>
      </c>
      <c r="C968" s="1">
        <v>42955</v>
      </c>
      <c r="D968" t="s">
        <v>22</v>
      </c>
      <c r="E968" t="s">
        <v>634</v>
      </c>
      <c r="F968" t="s">
        <v>635</v>
      </c>
      <c r="G968" t="s">
        <v>25</v>
      </c>
      <c r="H968" t="s">
        <v>26</v>
      </c>
      <c r="I968" t="s">
        <v>329</v>
      </c>
      <c r="J968" t="s">
        <v>54</v>
      </c>
      <c r="K968" t="s">
        <v>55</v>
      </c>
      <c r="L968" t="s">
        <v>597</v>
      </c>
      <c r="M968" t="s">
        <v>31</v>
      </c>
      <c r="N968" t="s">
        <v>57</v>
      </c>
      <c r="O968" t="s">
        <v>598</v>
      </c>
      <c r="P968">
        <v>123.96</v>
      </c>
      <c r="Q968">
        <v>3</v>
      </c>
      <c r="R968">
        <v>0</v>
      </c>
      <c r="S968">
        <v>11.1564</v>
      </c>
      <c r="T968" t="s">
        <v>59</v>
      </c>
      <c r="U968" t="s">
        <v>254</v>
      </c>
    </row>
    <row r="969" spans="1:21" x14ac:dyDescent="0.25">
      <c r="A969" t="s">
        <v>2905</v>
      </c>
      <c r="B969" s="1">
        <v>42237</v>
      </c>
      <c r="C969" s="1">
        <v>42242</v>
      </c>
      <c r="D969" t="s">
        <v>40</v>
      </c>
      <c r="E969" t="s">
        <v>287</v>
      </c>
      <c r="F969" t="s">
        <v>288</v>
      </c>
      <c r="G969" t="s">
        <v>91</v>
      </c>
      <c r="H969" t="s">
        <v>26</v>
      </c>
      <c r="I969" t="s">
        <v>329</v>
      </c>
      <c r="J969" t="s">
        <v>54</v>
      </c>
      <c r="K969" t="s">
        <v>55</v>
      </c>
      <c r="L969" t="s">
        <v>2906</v>
      </c>
      <c r="M969" t="s">
        <v>31</v>
      </c>
      <c r="N969" t="s">
        <v>32</v>
      </c>
      <c r="O969" t="s">
        <v>2907</v>
      </c>
      <c r="P969">
        <v>586.39800000000002</v>
      </c>
      <c r="Q969">
        <v>6</v>
      </c>
      <c r="R969">
        <v>0.15</v>
      </c>
      <c r="S969">
        <v>34.494</v>
      </c>
      <c r="T969" t="s">
        <v>59</v>
      </c>
      <c r="U969" t="s">
        <v>254</v>
      </c>
    </row>
    <row r="970" spans="1:21" x14ac:dyDescent="0.25">
      <c r="A970" t="s">
        <v>2908</v>
      </c>
      <c r="B970" s="1">
        <v>43030</v>
      </c>
      <c r="C970" s="1">
        <v>43032</v>
      </c>
      <c r="D970" t="s">
        <v>22</v>
      </c>
      <c r="E970" t="s">
        <v>2909</v>
      </c>
      <c r="F970" t="s">
        <v>2910</v>
      </c>
      <c r="G970" t="s">
        <v>25</v>
      </c>
      <c r="H970" t="s">
        <v>26</v>
      </c>
      <c r="I970" t="s">
        <v>2344</v>
      </c>
      <c r="J970" t="s">
        <v>181</v>
      </c>
      <c r="K970" t="s">
        <v>55</v>
      </c>
      <c r="L970" t="s">
        <v>2911</v>
      </c>
      <c r="M970" t="s">
        <v>31</v>
      </c>
      <c r="N970" t="s">
        <v>37</v>
      </c>
      <c r="O970" t="s">
        <v>2912</v>
      </c>
      <c r="P970">
        <v>579.13599999999997</v>
      </c>
      <c r="Q970">
        <v>4</v>
      </c>
      <c r="R970">
        <v>0.2</v>
      </c>
      <c r="S970">
        <v>-28.956800000000001</v>
      </c>
      <c r="T970" t="s">
        <v>71</v>
      </c>
      <c r="U970" t="s">
        <v>49</v>
      </c>
    </row>
    <row r="971" spans="1:21" x14ac:dyDescent="0.25">
      <c r="A971" t="s">
        <v>2913</v>
      </c>
      <c r="B971" s="1">
        <v>42594</v>
      </c>
      <c r="C971" s="1">
        <v>42598</v>
      </c>
      <c r="D971" t="s">
        <v>40</v>
      </c>
      <c r="E971" t="s">
        <v>1821</v>
      </c>
      <c r="F971" t="s">
        <v>1822</v>
      </c>
      <c r="G971" t="s">
        <v>101</v>
      </c>
      <c r="H971" t="s">
        <v>26</v>
      </c>
      <c r="I971" t="s">
        <v>174</v>
      </c>
      <c r="J971" t="s">
        <v>121</v>
      </c>
      <c r="K971" t="s">
        <v>68</v>
      </c>
      <c r="L971" t="s">
        <v>511</v>
      </c>
      <c r="M971" t="s">
        <v>31</v>
      </c>
      <c r="N971" t="s">
        <v>37</v>
      </c>
      <c r="O971" t="s">
        <v>512</v>
      </c>
      <c r="P971">
        <v>145.76400000000001</v>
      </c>
      <c r="Q971">
        <v>2</v>
      </c>
      <c r="R971">
        <v>0.1</v>
      </c>
      <c r="S971">
        <v>-8.0980000000000008</v>
      </c>
      <c r="T971" t="s">
        <v>84</v>
      </c>
      <c r="U971" t="s">
        <v>254</v>
      </c>
    </row>
    <row r="972" spans="1:21" x14ac:dyDescent="0.25">
      <c r="A972" t="s">
        <v>2914</v>
      </c>
      <c r="B972" s="1">
        <v>42486</v>
      </c>
      <c r="C972" s="1">
        <v>42491</v>
      </c>
      <c r="D972" t="s">
        <v>40</v>
      </c>
      <c r="E972" t="s">
        <v>2915</v>
      </c>
      <c r="F972" t="s">
        <v>2916</v>
      </c>
      <c r="G972" t="s">
        <v>101</v>
      </c>
      <c r="H972" t="s">
        <v>26</v>
      </c>
      <c r="I972" t="s">
        <v>174</v>
      </c>
      <c r="J972" t="s">
        <v>121</v>
      </c>
      <c r="K972" t="s">
        <v>68</v>
      </c>
      <c r="L972" t="s">
        <v>2550</v>
      </c>
      <c r="M972" t="s">
        <v>31</v>
      </c>
      <c r="N972" t="s">
        <v>37</v>
      </c>
      <c r="O972" t="s">
        <v>2551</v>
      </c>
      <c r="P972">
        <v>434.64600000000002</v>
      </c>
      <c r="Q972">
        <v>3</v>
      </c>
      <c r="R972">
        <v>0.1</v>
      </c>
      <c r="S972">
        <v>62.782200000000003</v>
      </c>
      <c r="T972" t="s">
        <v>59</v>
      </c>
      <c r="U972" t="s">
        <v>114</v>
      </c>
    </row>
    <row r="973" spans="1:21" x14ac:dyDescent="0.25">
      <c r="A973" t="s">
        <v>2917</v>
      </c>
      <c r="B973" s="1">
        <v>42127</v>
      </c>
      <c r="C973" s="1">
        <v>42131</v>
      </c>
      <c r="D973" t="s">
        <v>40</v>
      </c>
      <c r="E973" t="s">
        <v>2918</v>
      </c>
      <c r="F973" t="s">
        <v>2919</v>
      </c>
      <c r="G973" t="s">
        <v>25</v>
      </c>
      <c r="H973" t="s">
        <v>26</v>
      </c>
      <c r="I973" t="s">
        <v>66</v>
      </c>
      <c r="J973" t="s">
        <v>67</v>
      </c>
      <c r="K973" t="s">
        <v>68</v>
      </c>
      <c r="L973" t="s">
        <v>330</v>
      </c>
      <c r="M973" t="s">
        <v>31</v>
      </c>
      <c r="N973" t="s">
        <v>37</v>
      </c>
      <c r="O973" t="s">
        <v>331</v>
      </c>
      <c r="P973">
        <v>844.11599999999999</v>
      </c>
      <c r="Q973">
        <v>6</v>
      </c>
      <c r="R973">
        <v>0.3</v>
      </c>
      <c r="S973">
        <v>-36.176400000000001</v>
      </c>
      <c r="T973" t="s">
        <v>84</v>
      </c>
      <c r="U973" t="s">
        <v>162</v>
      </c>
    </row>
    <row r="974" spans="1:21" x14ac:dyDescent="0.25">
      <c r="A974" t="s">
        <v>2920</v>
      </c>
      <c r="B974" s="1">
        <v>42379</v>
      </c>
      <c r="C974" s="1">
        <v>42386</v>
      </c>
      <c r="D974" t="s">
        <v>40</v>
      </c>
      <c r="E974" t="s">
        <v>2557</v>
      </c>
      <c r="F974" t="s">
        <v>2558</v>
      </c>
      <c r="G974" t="s">
        <v>91</v>
      </c>
      <c r="H974" t="s">
        <v>26</v>
      </c>
      <c r="I974" t="s">
        <v>192</v>
      </c>
      <c r="J974" t="s">
        <v>193</v>
      </c>
      <c r="K974" t="s">
        <v>55</v>
      </c>
      <c r="L974" t="s">
        <v>1122</v>
      </c>
      <c r="M974" t="s">
        <v>31</v>
      </c>
      <c r="N974" t="s">
        <v>57</v>
      </c>
      <c r="O974" t="s">
        <v>1123</v>
      </c>
      <c r="P974">
        <v>79.92</v>
      </c>
      <c r="Q974">
        <v>4</v>
      </c>
      <c r="R974">
        <v>0</v>
      </c>
      <c r="S974">
        <v>34.365600000000001</v>
      </c>
      <c r="T974" t="s">
        <v>48</v>
      </c>
      <c r="U974" t="s">
        <v>170</v>
      </c>
    </row>
    <row r="975" spans="1:21" x14ac:dyDescent="0.25">
      <c r="A975" t="s">
        <v>2921</v>
      </c>
      <c r="B975" s="1">
        <v>42861</v>
      </c>
      <c r="C975" s="1">
        <v>42866</v>
      </c>
      <c r="D975" t="s">
        <v>40</v>
      </c>
      <c r="E975" t="s">
        <v>2922</v>
      </c>
      <c r="F975" t="s">
        <v>2923</v>
      </c>
      <c r="G975" t="s">
        <v>91</v>
      </c>
      <c r="H975" t="s">
        <v>26</v>
      </c>
      <c r="I975" t="s">
        <v>596</v>
      </c>
      <c r="J975" t="s">
        <v>93</v>
      </c>
      <c r="K975" t="s">
        <v>94</v>
      </c>
      <c r="L975" t="s">
        <v>535</v>
      </c>
      <c r="M975" t="s">
        <v>31</v>
      </c>
      <c r="N975" t="s">
        <v>32</v>
      </c>
      <c r="O975" t="s">
        <v>536</v>
      </c>
      <c r="P975">
        <v>623.46479999999997</v>
      </c>
      <c r="Q975">
        <v>7</v>
      </c>
      <c r="R975">
        <v>0.32</v>
      </c>
      <c r="S975">
        <v>-119.1918</v>
      </c>
      <c r="T975" t="s">
        <v>59</v>
      </c>
      <c r="U975" t="s">
        <v>162</v>
      </c>
    </row>
    <row r="976" spans="1:21" x14ac:dyDescent="0.25">
      <c r="A976" t="s">
        <v>2924</v>
      </c>
      <c r="B976" s="1">
        <v>42582</v>
      </c>
      <c r="C976" s="1">
        <v>42588</v>
      </c>
      <c r="D976" t="s">
        <v>40</v>
      </c>
      <c r="E976" t="s">
        <v>312</v>
      </c>
      <c r="F976" t="s">
        <v>313</v>
      </c>
      <c r="G976" t="s">
        <v>25</v>
      </c>
      <c r="H976" t="s">
        <v>26</v>
      </c>
      <c r="I976" t="s">
        <v>289</v>
      </c>
      <c r="J976" t="s">
        <v>290</v>
      </c>
      <c r="K976" t="s">
        <v>94</v>
      </c>
      <c r="L976" t="s">
        <v>359</v>
      </c>
      <c r="M976" t="s">
        <v>31</v>
      </c>
      <c r="N976" t="s">
        <v>57</v>
      </c>
      <c r="O976" t="s">
        <v>360</v>
      </c>
      <c r="P976">
        <v>272.94</v>
      </c>
      <c r="Q976">
        <v>3</v>
      </c>
      <c r="R976">
        <v>0</v>
      </c>
      <c r="S976">
        <v>30.023399999999999</v>
      </c>
      <c r="T976" t="s">
        <v>130</v>
      </c>
      <c r="U976" t="s">
        <v>72</v>
      </c>
    </row>
    <row r="977" spans="1:21" x14ac:dyDescent="0.25">
      <c r="A977" t="s">
        <v>2925</v>
      </c>
      <c r="B977" s="1">
        <v>42821</v>
      </c>
      <c r="C977" s="1">
        <v>42823</v>
      </c>
      <c r="D977" t="s">
        <v>22</v>
      </c>
      <c r="E977" t="s">
        <v>2926</v>
      </c>
      <c r="F977" t="s">
        <v>2927</v>
      </c>
      <c r="G977" t="s">
        <v>25</v>
      </c>
      <c r="H977" t="s">
        <v>26</v>
      </c>
      <c r="I977" t="s">
        <v>66</v>
      </c>
      <c r="J977" t="s">
        <v>67</v>
      </c>
      <c r="K977" t="s">
        <v>68</v>
      </c>
      <c r="L977" t="s">
        <v>2127</v>
      </c>
      <c r="M977" t="s">
        <v>31</v>
      </c>
      <c r="N977" t="s">
        <v>57</v>
      </c>
      <c r="O977" t="s">
        <v>2128</v>
      </c>
      <c r="P977">
        <v>15.007999999999999</v>
      </c>
      <c r="Q977">
        <v>2</v>
      </c>
      <c r="R977">
        <v>0.2</v>
      </c>
      <c r="S977">
        <v>1.5007999999999999</v>
      </c>
      <c r="T977" t="s">
        <v>71</v>
      </c>
      <c r="U977" t="s">
        <v>196</v>
      </c>
    </row>
    <row r="978" spans="1:21" x14ac:dyDescent="0.25">
      <c r="A978" t="s">
        <v>2928</v>
      </c>
      <c r="B978" s="1">
        <v>42611</v>
      </c>
      <c r="C978" s="1">
        <v>42616</v>
      </c>
      <c r="D978" t="s">
        <v>40</v>
      </c>
      <c r="E978" t="s">
        <v>1081</v>
      </c>
      <c r="F978" t="s">
        <v>1082</v>
      </c>
      <c r="G978" t="s">
        <v>91</v>
      </c>
      <c r="H978" t="s">
        <v>26</v>
      </c>
      <c r="I978" t="s">
        <v>66</v>
      </c>
      <c r="J978" t="s">
        <v>67</v>
      </c>
      <c r="K978" t="s">
        <v>68</v>
      </c>
      <c r="L978" t="s">
        <v>2407</v>
      </c>
      <c r="M978" t="s">
        <v>31</v>
      </c>
      <c r="N978" t="s">
        <v>46</v>
      </c>
      <c r="O978" t="s">
        <v>2408</v>
      </c>
      <c r="P978">
        <v>241.92</v>
      </c>
      <c r="Q978">
        <v>4</v>
      </c>
      <c r="R978">
        <v>0.4</v>
      </c>
      <c r="S978">
        <v>-56.448</v>
      </c>
      <c r="T978" t="s">
        <v>59</v>
      </c>
      <c r="U978" t="s">
        <v>254</v>
      </c>
    </row>
    <row r="979" spans="1:21" x14ac:dyDescent="0.25">
      <c r="A979" t="s">
        <v>2928</v>
      </c>
      <c r="B979" s="1">
        <v>42611</v>
      </c>
      <c r="C979" s="1">
        <v>42616</v>
      </c>
      <c r="D979" t="s">
        <v>40</v>
      </c>
      <c r="E979" t="s">
        <v>1081</v>
      </c>
      <c r="F979" t="s">
        <v>1082</v>
      </c>
      <c r="G979" t="s">
        <v>91</v>
      </c>
      <c r="H979" t="s">
        <v>26</v>
      </c>
      <c r="I979" t="s">
        <v>66</v>
      </c>
      <c r="J979" t="s">
        <v>67</v>
      </c>
      <c r="K979" t="s">
        <v>68</v>
      </c>
      <c r="L979" t="s">
        <v>2734</v>
      </c>
      <c r="M979" t="s">
        <v>31</v>
      </c>
      <c r="N979" t="s">
        <v>32</v>
      </c>
      <c r="O979" t="s">
        <v>2735</v>
      </c>
      <c r="P979">
        <v>163.88</v>
      </c>
      <c r="Q979">
        <v>4</v>
      </c>
      <c r="R979">
        <v>0.5</v>
      </c>
      <c r="S979">
        <v>-81.94</v>
      </c>
      <c r="T979" t="s">
        <v>59</v>
      </c>
      <c r="U979" t="s">
        <v>254</v>
      </c>
    </row>
    <row r="980" spans="1:21" x14ac:dyDescent="0.25">
      <c r="A980" t="s">
        <v>2929</v>
      </c>
      <c r="B980" s="1">
        <v>41993</v>
      </c>
      <c r="C980" s="1">
        <v>41995</v>
      </c>
      <c r="D980" t="s">
        <v>88</v>
      </c>
      <c r="E980" t="s">
        <v>1649</v>
      </c>
      <c r="F980" t="s">
        <v>1650</v>
      </c>
      <c r="G980" t="s">
        <v>25</v>
      </c>
      <c r="H980" t="s">
        <v>26</v>
      </c>
      <c r="I980" t="s">
        <v>1223</v>
      </c>
      <c r="J980" t="s">
        <v>521</v>
      </c>
      <c r="K980" t="s">
        <v>55</v>
      </c>
      <c r="L980" t="s">
        <v>2056</v>
      </c>
      <c r="M980" t="s">
        <v>31</v>
      </c>
      <c r="N980" t="s">
        <v>57</v>
      </c>
      <c r="O980" t="s">
        <v>2057</v>
      </c>
      <c r="P980">
        <v>51.968000000000004</v>
      </c>
      <c r="Q980">
        <v>2</v>
      </c>
      <c r="R980">
        <v>0.2</v>
      </c>
      <c r="S980">
        <v>10.393599999999999</v>
      </c>
      <c r="T980" t="s">
        <v>71</v>
      </c>
      <c r="U980" t="s">
        <v>97</v>
      </c>
    </row>
    <row r="981" spans="1:21" x14ac:dyDescent="0.25">
      <c r="A981" t="s">
        <v>2929</v>
      </c>
      <c r="B981" s="1">
        <v>41993</v>
      </c>
      <c r="C981" s="1">
        <v>41995</v>
      </c>
      <c r="D981" t="s">
        <v>88</v>
      </c>
      <c r="E981" t="s">
        <v>1649</v>
      </c>
      <c r="F981" t="s">
        <v>1650</v>
      </c>
      <c r="G981" t="s">
        <v>25</v>
      </c>
      <c r="H981" t="s">
        <v>26</v>
      </c>
      <c r="I981" t="s">
        <v>1223</v>
      </c>
      <c r="J981" t="s">
        <v>521</v>
      </c>
      <c r="K981" t="s">
        <v>55</v>
      </c>
      <c r="L981" t="s">
        <v>296</v>
      </c>
      <c r="M981" t="s">
        <v>31</v>
      </c>
      <c r="N981" t="s">
        <v>37</v>
      </c>
      <c r="O981" t="s">
        <v>297</v>
      </c>
      <c r="P981">
        <v>242.352</v>
      </c>
      <c r="Q981">
        <v>3</v>
      </c>
      <c r="R981">
        <v>0.2</v>
      </c>
      <c r="S981">
        <v>-42.4116</v>
      </c>
      <c r="T981" t="s">
        <v>71</v>
      </c>
      <c r="U981" t="s">
        <v>97</v>
      </c>
    </row>
    <row r="982" spans="1:21" x14ac:dyDescent="0.25">
      <c r="A982" t="s">
        <v>2930</v>
      </c>
      <c r="B982" s="1">
        <v>42355</v>
      </c>
      <c r="C982" s="1">
        <v>42355</v>
      </c>
      <c r="D982" t="s">
        <v>426</v>
      </c>
      <c r="E982" t="s">
        <v>2809</v>
      </c>
      <c r="F982" t="s">
        <v>2810</v>
      </c>
      <c r="G982" t="s">
        <v>25</v>
      </c>
      <c r="H982" t="s">
        <v>26</v>
      </c>
      <c r="I982" t="s">
        <v>289</v>
      </c>
      <c r="J982" t="s">
        <v>290</v>
      </c>
      <c r="K982" t="s">
        <v>94</v>
      </c>
      <c r="L982" t="s">
        <v>1187</v>
      </c>
      <c r="M982" t="s">
        <v>31</v>
      </c>
      <c r="N982" t="s">
        <v>37</v>
      </c>
      <c r="O982" t="s">
        <v>1188</v>
      </c>
      <c r="P982">
        <v>302.94</v>
      </c>
      <c r="Q982">
        <v>3</v>
      </c>
      <c r="R982">
        <v>0</v>
      </c>
      <c r="S982">
        <v>48.470399999999998</v>
      </c>
      <c r="T982" t="s">
        <v>431</v>
      </c>
      <c r="U982" t="s">
        <v>97</v>
      </c>
    </row>
    <row r="983" spans="1:21" x14ac:dyDescent="0.25">
      <c r="A983" t="s">
        <v>2930</v>
      </c>
      <c r="B983" s="1">
        <v>42355</v>
      </c>
      <c r="C983" s="1">
        <v>42355</v>
      </c>
      <c r="D983" t="s">
        <v>426</v>
      </c>
      <c r="E983" t="s">
        <v>2809</v>
      </c>
      <c r="F983" t="s">
        <v>2810</v>
      </c>
      <c r="G983" t="s">
        <v>25</v>
      </c>
      <c r="H983" t="s">
        <v>26</v>
      </c>
      <c r="I983" t="s">
        <v>289</v>
      </c>
      <c r="J983" t="s">
        <v>290</v>
      </c>
      <c r="K983" t="s">
        <v>94</v>
      </c>
      <c r="L983" t="s">
        <v>2195</v>
      </c>
      <c r="M983" t="s">
        <v>31</v>
      </c>
      <c r="N983" t="s">
        <v>37</v>
      </c>
      <c r="O983" t="s">
        <v>2196</v>
      </c>
      <c r="P983">
        <v>142.36000000000001</v>
      </c>
      <c r="Q983">
        <v>2</v>
      </c>
      <c r="R983">
        <v>0</v>
      </c>
      <c r="S983">
        <v>38.437199999999997</v>
      </c>
      <c r="T983" t="s">
        <v>431</v>
      </c>
      <c r="U983" t="s">
        <v>97</v>
      </c>
    </row>
    <row r="984" spans="1:21" x14ac:dyDescent="0.25">
      <c r="A984" t="s">
        <v>2930</v>
      </c>
      <c r="B984" s="1">
        <v>42355</v>
      </c>
      <c r="C984" s="1">
        <v>42355</v>
      </c>
      <c r="D984" t="s">
        <v>426</v>
      </c>
      <c r="E984" t="s">
        <v>2809</v>
      </c>
      <c r="F984" t="s">
        <v>2810</v>
      </c>
      <c r="G984" t="s">
        <v>25</v>
      </c>
      <c r="H984" t="s">
        <v>26</v>
      </c>
      <c r="I984" t="s">
        <v>289</v>
      </c>
      <c r="J984" t="s">
        <v>290</v>
      </c>
      <c r="K984" t="s">
        <v>94</v>
      </c>
      <c r="L984" t="s">
        <v>252</v>
      </c>
      <c r="M984" t="s">
        <v>31</v>
      </c>
      <c r="N984" t="s">
        <v>37</v>
      </c>
      <c r="O984" t="s">
        <v>253</v>
      </c>
      <c r="P984">
        <v>546.66</v>
      </c>
      <c r="Q984">
        <v>9</v>
      </c>
      <c r="R984">
        <v>0</v>
      </c>
      <c r="S984">
        <v>136.66499999999999</v>
      </c>
      <c r="T984" t="s">
        <v>431</v>
      </c>
      <c r="U984" t="s">
        <v>97</v>
      </c>
    </row>
    <row r="985" spans="1:21" x14ac:dyDescent="0.25">
      <c r="A985" t="s">
        <v>2930</v>
      </c>
      <c r="B985" s="1">
        <v>42355</v>
      </c>
      <c r="C985" s="1">
        <v>42355</v>
      </c>
      <c r="D985" t="s">
        <v>426</v>
      </c>
      <c r="E985" t="s">
        <v>2809</v>
      </c>
      <c r="F985" t="s">
        <v>2810</v>
      </c>
      <c r="G985" t="s">
        <v>25</v>
      </c>
      <c r="H985" t="s">
        <v>26</v>
      </c>
      <c r="I985" t="s">
        <v>289</v>
      </c>
      <c r="J985" t="s">
        <v>290</v>
      </c>
      <c r="K985" t="s">
        <v>94</v>
      </c>
      <c r="L985" t="s">
        <v>2170</v>
      </c>
      <c r="M985" t="s">
        <v>31</v>
      </c>
      <c r="N985" t="s">
        <v>57</v>
      </c>
      <c r="O985" t="s">
        <v>2171</v>
      </c>
      <c r="P985">
        <v>212.13</v>
      </c>
      <c r="Q985">
        <v>3</v>
      </c>
      <c r="R985">
        <v>0</v>
      </c>
      <c r="S985">
        <v>14.8491</v>
      </c>
      <c r="T985" t="s">
        <v>431</v>
      </c>
      <c r="U985" t="s">
        <v>97</v>
      </c>
    </row>
    <row r="986" spans="1:21" x14ac:dyDescent="0.25">
      <c r="A986" t="s">
        <v>2931</v>
      </c>
      <c r="B986" s="1">
        <v>42866</v>
      </c>
      <c r="C986" s="1">
        <v>42872</v>
      </c>
      <c r="D986" t="s">
        <v>40</v>
      </c>
      <c r="E986" t="s">
        <v>1238</v>
      </c>
      <c r="F986" t="s">
        <v>1239</v>
      </c>
      <c r="G986" t="s">
        <v>101</v>
      </c>
      <c r="H986" t="s">
        <v>26</v>
      </c>
      <c r="I986" t="s">
        <v>2331</v>
      </c>
      <c r="J986" t="s">
        <v>93</v>
      </c>
      <c r="K986" t="s">
        <v>94</v>
      </c>
      <c r="L986" t="s">
        <v>401</v>
      </c>
      <c r="M986" t="s">
        <v>31</v>
      </c>
      <c r="N986" t="s">
        <v>57</v>
      </c>
      <c r="O986" t="s">
        <v>402</v>
      </c>
      <c r="P986">
        <v>7.9960000000000004</v>
      </c>
      <c r="Q986">
        <v>1</v>
      </c>
      <c r="R986">
        <v>0.6</v>
      </c>
      <c r="S986">
        <v>-6.9965000000000002</v>
      </c>
      <c r="T986" t="s">
        <v>130</v>
      </c>
      <c r="U986" t="s">
        <v>162</v>
      </c>
    </row>
    <row r="987" spans="1:21" x14ac:dyDescent="0.25">
      <c r="A987" t="s">
        <v>2932</v>
      </c>
      <c r="B987" s="1">
        <v>42507</v>
      </c>
      <c r="C987" s="1">
        <v>42508</v>
      </c>
      <c r="D987" t="s">
        <v>88</v>
      </c>
      <c r="E987" t="s">
        <v>1473</v>
      </c>
      <c r="F987" t="s">
        <v>1474</v>
      </c>
      <c r="G987" t="s">
        <v>25</v>
      </c>
      <c r="H987" t="s">
        <v>26</v>
      </c>
      <c r="I987" t="s">
        <v>2933</v>
      </c>
      <c r="J987" t="s">
        <v>430</v>
      </c>
      <c r="K987" t="s">
        <v>68</v>
      </c>
      <c r="L987" t="s">
        <v>991</v>
      </c>
      <c r="M987" t="s">
        <v>31</v>
      </c>
      <c r="N987" t="s">
        <v>57</v>
      </c>
      <c r="O987" t="s">
        <v>992</v>
      </c>
      <c r="P987">
        <v>173.24</v>
      </c>
      <c r="Q987">
        <v>4</v>
      </c>
      <c r="R987">
        <v>0</v>
      </c>
      <c r="S987">
        <v>17.324000000000002</v>
      </c>
      <c r="T987" t="s">
        <v>124</v>
      </c>
      <c r="U987" t="s">
        <v>162</v>
      </c>
    </row>
    <row r="988" spans="1:21" x14ac:dyDescent="0.25">
      <c r="A988" t="s">
        <v>2934</v>
      </c>
      <c r="B988" s="1">
        <v>41989</v>
      </c>
      <c r="C988" s="1">
        <v>41994</v>
      </c>
      <c r="D988" t="s">
        <v>40</v>
      </c>
      <c r="E988" t="s">
        <v>2565</v>
      </c>
      <c r="F988" t="s">
        <v>2566</v>
      </c>
      <c r="G988" t="s">
        <v>25</v>
      </c>
      <c r="H988" t="s">
        <v>26</v>
      </c>
      <c r="I988" t="s">
        <v>1869</v>
      </c>
      <c r="J988" t="s">
        <v>93</v>
      </c>
      <c r="K988" t="s">
        <v>94</v>
      </c>
      <c r="L988" t="s">
        <v>2170</v>
      </c>
      <c r="M988" t="s">
        <v>31</v>
      </c>
      <c r="N988" t="s">
        <v>57</v>
      </c>
      <c r="O988" t="s">
        <v>2171</v>
      </c>
      <c r="P988">
        <v>56.567999999999998</v>
      </c>
      <c r="Q988">
        <v>2</v>
      </c>
      <c r="R988">
        <v>0.6</v>
      </c>
      <c r="S988">
        <v>-74.952600000000004</v>
      </c>
      <c r="T988" t="s">
        <v>59</v>
      </c>
      <c r="U988" t="s">
        <v>97</v>
      </c>
    </row>
    <row r="989" spans="1:21" x14ac:dyDescent="0.25">
      <c r="A989" t="s">
        <v>2935</v>
      </c>
      <c r="B989" s="1">
        <v>43072</v>
      </c>
      <c r="C989" s="1">
        <v>43076</v>
      </c>
      <c r="D989" t="s">
        <v>22</v>
      </c>
      <c r="E989" t="s">
        <v>1315</v>
      </c>
      <c r="F989" t="s">
        <v>1316</v>
      </c>
      <c r="G989" t="s">
        <v>101</v>
      </c>
      <c r="H989" t="s">
        <v>26</v>
      </c>
      <c r="I989" t="s">
        <v>192</v>
      </c>
      <c r="J989" t="s">
        <v>193</v>
      </c>
      <c r="K989" t="s">
        <v>55</v>
      </c>
      <c r="L989" t="s">
        <v>1248</v>
      </c>
      <c r="M989" t="s">
        <v>31</v>
      </c>
      <c r="N989" t="s">
        <v>46</v>
      </c>
      <c r="O989" t="s">
        <v>1249</v>
      </c>
      <c r="P989">
        <v>521.96</v>
      </c>
      <c r="Q989">
        <v>2</v>
      </c>
      <c r="R989">
        <v>0</v>
      </c>
      <c r="S989">
        <v>88.733199999999997</v>
      </c>
      <c r="T989" t="s">
        <v>84</v>
      </c>
      <c r="U989" t="s">
        <v>97</v>
      </c>
    </row>
    <row r="990" spans="1:21" x14ac:dyDescent="0.25">
      <c r="A990" t="s">
        <v>2936</v>
      </c>
      <c r="B990" s="1">
        <v>41797</v>
      </c>
      <c r="C990" s="1">
        <v>41801</v>
      </c>
      <c r="D990" t="s">
        <v>22</v>
      </c>
      <c r="E990" t="s">
        <v>2937</v>
      </c>
      <c r="F990" t="s">
        <v>2938</v>
      </c>
      <c r="G990" t="s">
        <v>25</v>
      </c>
      <c r="H990" t="s">
        <v>26</v>
      </c>
      <c r="I990" t="s">
        <v>180</v>
      </c>
      <c r="J990" t="s">
        <v>135</v>
      </c>
      <c r="K990" t="s">
        <v>94</v>
      </c>
      <c r="L990" t="s">
        <v>455</v>
      </c>
      <c r="M990" t="s">
        <v>31</v>
      </c>
      <c r="N990" t="s">
        <v>46</v>
      </c>
      <c r="O990" t="s">
        <v>456</v>
      </c>
      <c r="P990">
        <v>268.935</v>
      </c>
      <c r="Q990">
        <v>3</v>
      </c>
      <c r="R990">
        <v>0.5</v>
      </c>
      <c r="S990">
        <v>-209.76929999999999</v>
      </c>
      <c r="T990" t="s">
        <v>84</v>
      </c>
      <c r="U990" t="s">
        <v>60</v>
      </c>
    </row>
    <row r="991" spans="1:21" x14ac:dyDescent="0.25">
      <c r="A991" t="s">
        <v>2939</v>
      </c>
      <c r="B991" s="1">
        <v>41968</v>
      </c>
      <c r="C991" s="1">
        <v>41972</v>
      </c>
      <c r="D991" t="s">
        <v>22</v>
      </c>
      <c r="E991" t="s">
        <v>1352</v>
      </c>
      <c r="F991" t="s">
        <v>1353</v>
      </c>
      <c r="G991" t="s">
        <v>101</v>
      </c>
      <c r="H991" t="s">
        <v>26</v>
      </c>
      <c r="I991" t="s">
        <v>174</v>
      </c>
      <c r="J991" t="s">
        <v>121</v>
      </c>
      <c r="K991" t="s">
        <v>68</v>
      </c>
      <c r="L991" t="s">
        <v>1477</v>
      </c>
      <c r="M991" t="s">
        <v>31</v>
      </c>
      <c r="N991" t="s">
        <v>32</v>
      </c>
      <c r="O991" t="s">
        <v>1478</v>
      </c>
      <c r="P991">
        <v>275.952</v>
      </c>
      <c r="Q991">
        <v>3</v>
      </c>
      <c r="R991">
        <v>0.2</v>
      </c>
      <c r="S991">
        <v>-37.943399999999997</v>
      </c>
      <c r="T991" t="s">
        <v>84</v>
      </c>
      <c r="U991" t="s">
        <v>35</v>
      </c>
    </row>
    <row r="992" spans="1:21" x14ac:dyDescent="0.25">
      <c r="A992" t="s">
        <v>2940</v>
      </c>
      <c r="B992" s="1">
        <v>42092</v>
      </c>
      <c r="C992" s="1">
        <v>42094</v>
      </c>
      <c r="D992" t="s">
        <v>22</v>
      </c>
      <c r="E992" t="s">
        <v>2941</v>
      </c>
      <c r="F992" t="s">
        <v>2942</v>
      </c>
      <c r="G992" t="s">
        <v>25</v>
      </c>
      <c r="H992" t="s">
        <v>26</v>
      </c>
      <c r="I992" t="s">
        <v>640</v>
      </c>
      <c r="J992" t="s">
        <v>54</v>
      </c>
      <c r="K992" t="s">
        <v>55</v>
      </c>
      <c r="L992" t="s">
        <v>2327</v>
      </c>
      <c r="M992" t="s">
        <v>31</v>
      </c>
      <c r="N992" t="s">
        <v>57</v>
      </c>
      <c r="O992" t="s">
        <v>2328</v>
      </c>
      <c r="P992">
        <v>19.920000000000002</v>
      </c>
      <c r="Q992">
        <v>3</v>
      </c>
      <c r="R992">
        <v>0</v>
      </c>
      <c r="S992">
        <v>9.5616000000000003</v>
      </c>
      <c r="T992" t="s">
        <v>71</v>
      </c>
      <c r="U992" t="s">
        <v>196</v>
      </c>
    </row>
    <row r="993" spans="1:21" x14ac:dyDescent="0.25">
      <c r="A993" t="s">
        <v>2943</v>
      </c>
      <c r="B993" s="1">
        <v>42467</v>
      </c>
      <c r="C993" s="1">
        <v>42472</v>
      </c>
      <c r="D993" t="s">
        <v>40</v>
      </c>
      <c r="E993" t="s">
        <v>721</v>
      </c>
      <c r="F993" t="s">
        <v>722</v>
      </c>
      <c r="G993" t="s">
        <v>91</v>
      </c>
      <c r="H993" t="s">
        <v>26</v>
      </c>
      <c r="I993" t="s">
        <v>174</v>
      </c>
      <c r="J993" t="s">
        <v>121</v>
      </c>
      <c r="K993" t="s">
        <v>68</v>
      </c>
      <c r="L993" t="s">
        <v>36</v>
      </c>
      <c r="M993" t="s">
        <v>31</v>
      </c>
      <c r="N993" t="s">
        <v>37</v>
      </c>
      <c r="O993" t="s">
        <v>38</v>
      </c>
      <c r="P993">
        <v>658.74599999999998</v>
      </c>
      <c r="Q993">
        <v>3</v>
      </c>
      <c r="R993">
        <v>0.1</v>
      </c>
      <c r="S993">
        <v>146.38800000000001</v>
      </c>
      <c r="T993" t="s">
        <v>59</v>
      </c>
      <c r="U993" t="s">
        <v>114</v>
      </c>
    </row>
    <row r="994" spans="1:21" x14ac:dyDescent="0.25">
      <c r="A994" t="s">
        <v>2944</v>
      </c>
      <c r="B994" s="1">
        <v>42053</v>
      </c>
      <c r="C994" s="1">
        <v>42059</v>
      </c>
      <c r="D994" t="s">
        <v>40</v>
      </c>
      <c r="E994" t="s">
        <v>2945</v>
      </c>
      <c r="F994" t="s">
        <v>2946</v>
      </c>
      <c r="G994" t="s">
        <v>25</v>
      </c>
      <c r="H994" t="s">
        <v>26</v>
      </c>
      <c r="I994" t="s">
        <v>731</v>
      </c>
      <c r="J994" t="s">
        <v>54</v>
      </c>
      <c r="K994" t="s">
        <v>55</v>
      </c>
      <c r="L994" t="s">
        <v>1250</v>
      </c>
      <c r="M994" t="s">
        <v>31</v>
      </c>
      <c r="N994" t="s">
        <v>46</v>
      </c>
      <c r="O994" t="s">
        <v>1251</v>
      </c>
      <c r="P994">
        <v>35.543999999999997</v>
      </c>
      <c r="Q994">
        <v>1</v>
      </c>
      <c r="R994">
        <v>0.2</v>
      </c>
      <c r="S994">
        <v>-0.88859999999999995</v>
      </c>
      <c r="T994" t="s">
        <v>130</v>
      </c>
      <c r="U994" t="s">
        <v>298</v>
      </c>
    </row>
    <row r="995" spans="1:21" x14ac:dyDescent="0.25">
      <c r="A995" t="s">
        <v>2947</v>
      </c>
      <c r="B995" s="1">
        <v>42432</v>
      </c>
      <c r="C995" s="1">
        <v>42432</v>
      </c>
      <c r="D995" t="s">
        <v>426</v>
      </c>
      <c r="E995" t="s">
        <v>1727</v>
      </c>
      <c r="F995" t="s">
        <v>1728</v>
      </c>
      <c r="G995" t="s">
        <v>91</v>
      </c>
      <c r="H995" t="s">
        <v>26</v>
      </c>
      <c r="I995" t="s">
        <v>329</v>
      </c>
      <c r="J995" t="s">
        <v>54</v>
      </c>
      <c r="K995" t="s">
        <v>55</v>
      </c>
      <c r="L995" t="s">
        <v>2410</v>
      </c>
      <c r="M995" t="s">
        <v>31</v>
      </c>
      <c r="N995" t="s">
        <v>57</v>
      </c>
      <c r="O995" t="s">
        <v>2411</v>
      </c>
      <c r="P995">
        <v>35.28</v>
      </c>
      <c r="Q995">
        <v>3</v>
      </c>
      <c r="R995">
        <v>0</v>
      </c>
      <c r="S995">
        <v>11.995200000000001</v>
      </c>
      <c r="T995" t="s">
        <v>431</v>
      </c>
      <c r="U995" t="s">
        <v>196</v>
      </c>
    </row>
    <row r="996" spans="1:21" x14ac:dyDescent="0.25">
      <c r="A996" t="s">
        <v>2948</v>
      </c>
      <c r="B996" s="1">
        <v>43059</v>
      </c>
      <c r="C996" s="1">
        <v>43063</v>
      </c>
      <c r="D996" t="s">
        <v>40</v>
      </c>
      <c r="E996" t="s">
        <v>2949</v>
      </c>
      <c r="F996" t="s">
        <v>2950</v>
      </c>
      <c r="G996" t="s">
        <v>25</v>
      </c>
      <c r="H996" t="s">
        <v>26</v>
      </c>
      <c r="I996" t="s">
        <v>478</v>
      </c>
      <c r="J996" t="s">
        <v>142</v>
      </c>
      <c r="K996" t="s">
        <v>29</v>
      </c>
      <c r="L996" t="s">
        <v>669</v>
      </c>
      <c r="M996" t="s">
        <v>31</v>
      </c>
      <c r="N996" t="s">
        <v>37</v>
      </c>
      <c r="O996" t="s">
        <v>670</v>
      </c>
      <c r="P996">
        <v>209.56800000000001</v>
      </c>
      <c r="Q996">
        <v>2</v>
      </c>
      <c r="R996">
        <v>0.2</v>
      </c>
      <c r="S996">
        <v>-23.5764</v>
      </c>
      <c r="T996" t="s">
        <v>84</v>
      </c>
      <c r="U996" t="s">
        <v>35</v>
      </c>
    </row>
    <row r="997" spans="1:21" x14ac:dyDescent="0.25">
      <c r="A997" t="s">
        <v>2951</v>
      </c>
      <c r="B997" s="1">
        <v>43062</v>
      </c>
      <c r="C997" s="1">
        <v>43066</v>
      </c>
      <c r="D997" t="s">
        <v>40</v>
      </c>
      <c r="E997" t="s">
        <v>2952</v>
      </c>
      <c r="F997" t="s">
        <v>2953</v>
      </c>
      <c r="G997" t="s">
        <v>25</v>
      </c>
      <c r="H997" t="s">
        <v>26</v>
      </c>
      <c r="I997" t="s">
        <v>134</v>
      </c>
      <c r="J997" t="s">
        <v>135</v>
      </c>
      <c r="K997" t="s">
        <v>94</v>
      </c>
      <c r="L997" t="s">
        <v>1963</v>
      </c>
      <c r="M997" t="s">
        <v>31</v>
      </c>
      <c r="N997" t="s">
        <v>57</v>
      </c>
      <c r="O997" t="s">
        <v>1964</v>
      </c>
      <c r="P997">
        <v>6.4640000000000004</v>
      </c>
      <c r="Q997">
        <v>1</v>
      </c>
      <c r="R997">
        <v>0.6</v>
      </c>
      <c r="S997">
        <v>-4.04</v>
      </c>
      <c r="T997" t="s">
        <v>84</v>
      </c>
      <c r="U997" t="s">
        <v>35</v>
      </c>
    </row>
    <row r="998" spans="1:21" x14ac:dyDescent="0.25">
      <c r="A998" t="s">
        <v>2954</v>
      </c>
      <c r="B998" s="1">
        <v>41828</v>
      </c>
      <c r="C998" s="1">
        <v>41830</v>
      </c>
      <c r="D998" t="s">
        <v>88</v>
      </c>
      <c r="E998" t="s">
        <v>2108</v>
      </c>
      <c r="F998" t="s">
        <v>2109</v>
      </c>
      <c r="G998" t="s">
        <v>25</v>
      </c>
      <c r="H998" t="s">
        <v>26</v>
      </c>
      <c r="I998" t="s">
        <v>2955</v>
      </c>
      <c r="J998" t="s">
        <v>121</v>
      </c>
      <c r="K998" t="s">
        <v>68</v>
      </c>
      <c r="L998" t="s">
        <v>591</v>
      </c>
      <c r="M998" t="s">
        <v>31</v>
      </c>
      <c r="N998" t="s">
        <v>37</v>
      </c>
      <c r="O998" t="s">
        <v>592</v>
      </c>
      <c r="P998">
        <v>63.881999999999998</v>
      </c>
      <c r="Q998">
        <v>1</v>
      </c>
      <c r="R998">
        <v>0.1</v>
      </c>
      <c r="S998">
        <v>10.647</v>
      </c>
      <c r="T998" t="s">
        <v>71</v>
      </c>
      <c r="U998" t="s">
        <v>72</v>
      </c>
    </row>
    <row r="999" spans="1:21" x14ac:dyDescent="0.25">
      <c r="A999" t="s">
        <v>2956</v>
      </c>
      <c r="B999" s="1">
        <v>41950</v>
      </c>
      <c r="C999" s="1">
        <v>41955</v>
      </c>
      <c r="D999" t="s">
        <v>40</v>
      </c>
      <c r="E999" t="s">
        <v>198</v>
      </c>
      <c r="F999" t="s">
        <v>199</v>
      </c>
      <c r="G999" t="s">
        <v>25</v>
      </c>
      <c r="H999" t="s">
        <v>26</v>
      </c>
      <c r="I999" t="s">
        <v>102</v>
      </c>
      <c r="J999" t="s">
        <v>93</v>
      </c>
      <c r="K999" t="s">
        <v>94</v>
      </c>
      <c r="L999" t="s">
        <v>2078</v>
      </c>
      <c r="M999" t="s">
        <v>31</v>
      </c>
      <c r="N999" t="s">
        <v>37</v>
      </c>
      <c r="O999" t="s">
        <v>2079</v>
      </c>
      <c r="P999">
        <v>683.14400000000001</v>
      </c>
      <c r="Q999">
        <v>4</v>
      </c>
      <c r="R999">
        <v>0.3</v>
      </c>
      <c r="S999">
        <v>0</v>
      </c>
      <c r="T999" t="s">
        <v>59</v>
      </c>
      <c r="U999" t="s">
        <v>35</v>
      </c>
    </row>
    <row r="1000" spans="1:21" x14ac:dyDescent="0.25">
      <c r="A1000" t="s">
        <v>2957</v>
      </c>
      <c r="B1000" s="1">
        <v>42349</v>
      </c>
      <c r="C1000" s="1">
        <v>42354</v>
      </c>
      <c r="D1000" t="s">
        <v>40</v>
      </c>
      <c r="E1000" t="s">
        <v>1275</v>
      </c>
      <c r="F1000" t="s">
        <v>1276</v>
      </c>
      <c r="G1000" t="s">
        <v>25</v>
      </c>
      <c r="H1000" t="s">
        <v>26</v>
      </c>
      <c r="I1000" t="s">
        <v>354</v>
      </c>
      <c r="J1000" t="s">
        <v>181</v>
      </c>
      <c r="K1000" t="s">
        <v>55</v>
      </c>
      <c r="L1000" t="s">
        <v>1954</v>
      </c>
      <c r="M1000" t="s">
        <v>31</v>
      </c>
      <c r="N1000" t="s">
        <v>32</v>
      </c>
      <c r="O1000" t="s">
        <v>1955</v>
      </c>
      <c r="P1000">
        <v>69.575999999999993</v>
      </c>
      <c r="Q1000">
        <v>4</v>
      </c>
      <c r="R1000">
        <v>0.7</v>
      </c>
      <c r="S1000">
        <v>-143.79040000000001</v>
      </c>
      <c r="T1000" t="s">
        <v>59</v>
      </c>
      <c r="U1000" t="s">
        <v>97</v>
      </c>
    </row>
    <row r="1001" spans="1:21" x14ac:dyDescent="0.25">
      <c r="A1001" t="s">
        <v>2957</v>
      </c>
      <c r="B1001" s="1">
        <v>42349</v>
      </c>
      <c r="C1001" s="1">
        <v>42354</v>
      </c>
      <c r="D1001" t="s">
        <v>40</v>
      </c>
      <c r="E1001" t="s">
        <v>1275</v>
      </c>
      <c r="F1001" t="s">
        <v>1276</v>
      </c>
      <c r="G1001" t="s">
        <v>25</v>
      </c>
      <c r="H1001" t="s">
        <v>26</v>
      </c>
      <c r="I1001" t="s">
        <v>354</v>
      </c>
      <c r="J1001" t="s">
        <v>181</v>
      </c>
      <c r="K1001" t="s">
        <v>55</v>
      </c>
      <c r="L1001" t="s">
        <v>1349</v>
      </c>
      <c r="M1001" t="s">
        <v>31</v>
      </c>
      <c r="N1001" t="s">
        <v>57</v>
      </c>
      <c r="O1001" t="s">
        <v>1350</v>
      </c>
      <c r="P1001">
        <v>52.415999999999997</v>
      </c>
      <c r="Q1001">
        <v>9</v>
      </c>
      <c r="R1001">
        <v>0.2</v>
      </c>
      <c r="S1001">
        <v>15.069599999999999</v>
      </c>
      <c r="T1001" t="s">
        <v>59</v>
      </c>
      <c r="U1001" t="s">
        <v>97</v>
      </c>
    </row>
    <row r="1002" spans="1:21" x14ac:dyDescent="0.25">
      <c r="A1002" t="s">
        <v>2957</v>
      </c>
      <c r="B1002" s="1">
        <v>42349</v>
      </c>
      <c r="C1002" s="1">
        <v>42354</v>
      </c>
      <c r="D1002" t="s">
        <v>40</v>
      </c>
      <c r="E1002" t="s">
        <v>1275</v>
      </c>
      <c r="F1002" t="s">
        <v>1276</v>
      </c>
      <c r="G1002" t="s">
        <v>25</v>
      </c>
      <c r="H1002" t="s">
        <v>26</v>
      </c>
      <c r="I1002" t="s">
        <v>354</v>
      </c>
      <c r="J1002" t="s">
        <v>181</v>
      </c>
      <c r="K1002" t="s">
        <v>55</v>
      </c>
      <c r="L1002" t="s">
        <v>1291</v>
      </c>
      <c r="M1002" t="s">
        <v>31</v>
      </c>
      <c r="N1002" t="s">
        <v>57</v>
      </c>
      <c r="O1002" t="s">
        <v>1292</v>
      </c>
      <c r="P1002">
        <v>54.92</v>
      </c>
      <c r="Q1002">
        <v>5</v>
      </c>
      <c r="R1002">
        <v>0.2</v>
      </c>
      <c r="S1002">
        <v>10.984</v>
      </c>
      <c r="T1002" t="s">
        <v>59</v>
      </c>
      <c r="U1002" t="s">
        <v>97</v>
      </c>
    </row>
    <row r="1003" spans="1:21" x14ac:dyDescent="0.25">
      <c r="A1003" t="s">
        <v>2957</v>
      </c>
      <c r="B1003" s="1">
        <v>42349</v>
      </c>
      <c r="C1003" s="1">
        <v>42354</v>
      </c>
      <c r="D1003" t="s">
        <v>40</v>
      </c>
      <c r="E1003" t="s">
        <v>1275</v>
      </c>
      <c r="F1003" t="s">
        <v>1276</v>
      </c>
      <c r="G1003" t="s">
        <v>25</v>
      </c>
      <c r="H1003" t="s">
        <v>26</v>
      </c>
      <c r="I1003" t="s">
        <v>354</v>
      </c>
      <c r="J1003" t="s">
        <v>181</v>
      </c>
      <c r="K1003" t="s">
        <v>55</v>
      </c>
      <c r="L1003" t="s">
        <v>1901</v>
      </c>
      <c r="M1003" t="s">
        <v>31</v>
      </c>
      <c r="N1003" t="s">
        <v>46</v>
      </c>
      <c r="O1003" t="s">
        <v>1902</v>
      </c>
      <c r="P1003">
        <v>364.95</v>
      </c>
      <c r="Q1003">
        <v>5</v>
      </c>
      <c r="R1003">
        <v>0.5</v>
      </c>
      <c r="S1003">
        <v>-248.166</v>
      </c>
      <c r="T1003" t="s">
        <v>59</v>
      </c>
      <c r="U1003" t="s">
        <v>97</v>
      </c>
    </row>
    <row r="1004" spans="1:21" x14ac:dyDescent="0.25">
      <c r="A1004" t="s">
        <v>2958</v>
      </c>
      <c r="B1004" s="1">
        <v>42079</v>
      </c>
      <c r="C1004" s="1">
        <v>42086</v>
      </c>
      <c r="D1004" t="s">
        <v>40</v>
      </c>
      <c r="E1004" t="s">
        <v>2959</v>
      </c>
      <c r="F1004" t="s">
        <v>2960</v>
      </c>
      <c r="G1004" t="s">
        <v>91</v>
      </c>
      <c r="H1004" t="s">
        <v>26</v>
      </c>
      <c r="I1004" t="s">
        <v>53</v>
      </c>
      <c r="J1004" t="s">
        <v>54</v>
      </c>
      <c r="K1004" t="s">
        <v>55</v>
      </c>
      <c r="L1004" t="s">
        <v>2691</v>
      </c>
      <c r="M1004" t="s">
        <v>31</v>
      </c>
      <c r="N1004" t="s">
        <v>57</v>
      </c>
      <c r="O1004" t="s">
        <v>2692</v>
      </c>
      <c r="P1004">
        <v>43.13</v>
      </c>
      <c r="Q1004">
        <v>1</v>
      </c>
      <c r="R1004">
        <v>0</v>
      </c>
      <c r="S1004">
        <v>18.114599999999999</v>
      </c>
      <c r="T1004" t="s">
        <v>48</v>
      </c>
      <c r="U1004" t="s">
        <v>196</v>
      </c>
    </row>
    <row r="1005" spans="1:21" x14ac:dyDescent="0.25">
      <c r="A1005" t="s">
        <v>2961</v>
      </c>
      <c r="B1005" s="1">
        <v>42504</v>
      </c>
      <c r="C1005" s="1">
        <v>42509</v>
      </c>
      <c r="D1005" t="s">
        <v>40</v>
      </c>
      <c r="E1005" t="s">
        <v>427</v>
      </c>
      <c r="F1005" t="s">
        <v>428</v>
      </c>
      <c r="G1005" t="s">
        <v>91</v>
      </c>
      <c r="H1005" t="s">
        <v>26</v>
      </c>
      <c r="I1005" t="s">
        <v>607</v>
      </c>
      <c r="J1005" t="s">
        <v>44</v>
      </c>
      <c r="K1005" t="s">
        <v>29</v>
      </c>
      <c r="L1005" t="s">
        <v>2615</v>
      </c>
      <c r="M1005" t="s">
        <v>31</v>
      </c>
      <c r="N1005" t="s">
        <v>57</v>
      </c>
      <c r="O1005" t="s">
        <v>2616</v>
      </c>
      <c r="P1005">
        <v>30.192</v>
      </c>
      <c r="Q1005">
        <v>3</v>
      </c>
      <c r="R1005">
        <v>0.2</v>
      </c>
      <c r="S1005">
        <v>8.3027999999999995</v>
      </c>
      <c r="T1005" t="s">
        <v>59</v>
      </c>
      <c r="U1005" t="s">
        <v>162</v>
      </c>
    </row>
    <row r="1006" spans="1:21" x14ac:dyDescent="0.25">
      <c r="A1006" t="s">
        <v>2962</v>
      </c>
      <c r="B1006" s="1">
        <v>42929</v>
      </c>
      <c r="C1006" s="1">
        <v>42933</v>
      </c>
      <c r="D1006" t="s">
        <v>22</v>
      </c>
      <c r="E1006" t="s">
        <v>2634</v>
      </c>
      <c r="F1006" t="s">
        <v>2635</v>
      </c>
      <c r="G1006" t="s">
        <v>25</v>
      </c>
      <c r="H1006" t="s">
        <v>26</v>
      </c>
      <c r="I1006" t="s">
        <v>66</v>
      </c>
      <c r="J1006" t="s">
        <v>67</v>
      </c>
      <c r="K1006" t="s">
        <v>68</v>
      </c>
      <c r="L1006" t="s">
        <v>1835</v>
      </c>
      <c r="M1006" t="s">
        <v>31</v>
      </c>
      <c r="N1006" t="s">
        <v>57</v>
      </c>
      <c r="O1006" t="s">
        <v>1836</v>
      </c>
      <c r="P1006">
        <v>91.007999999999996</v>
      </c>
      <c r="Q1006">
        <v>9</v>
      </c>
      <c r="R1006">
        <v>0.2</v>
      </c>
      <c r="S1006">
        <v>19.339200000000002</v>
      </c>
      <c r="T1006" t="s">
        <v>84</v>
      </c>
      <c r="U1006" t="s">
        <v>72</v>
      </c>
    </row>
    <row r="1007" spans="1:21" x14ac:dyDescent="0.25">
      <c r="A1007" t="s">
        <v>2963</v>
      </c>
      <c r="B1007" s="1">
        <v>42688</v>
      </c>
      <c r="C1007" s="1">
        <v>42693</v>
      </c>
      <c r="D1007" t="s">
        <v>22</v>
      </c>
      <c r="E1007" t="s">
        <v>2964</v>
      </c>
      <c r="F1007" t="s">
        <v>2965</v>
      </c>
      <c r="G1007" t="s">
        <v>25</v>
      </c>
      <c r="H1007" t="s">
        <v>26</v>
      </c>
      <c r="I1007" t="s">
        <v>66</v>
      </c>
      <c r="J1007" t="s">
        <v>67</v>
      </c>
      <c r="K1007" t="s">
        <v>68</v>
      </c>
      <c r="L1007" t="s">
        <v>421</v>
      </c>
      <c r="M1007" t="s">
        <v>31</v>
      </c>
      <c r="N1007" t="s">
        <v>37</v>
      </c>
      <c r="O1007" t="s">
        <v>422</v>
      </c>
      <c r="P1007">
        <v>380.05799999999999</v>
      </c>
      <c r="Q1007">
        <v>3</v>
      </c>
      <c r="R1007">
        <v>0.3</v>
      </c>
      <c r="S1007">
        <v>-21.717600000000001</v>
      </c>
      <c r="T1007" t="s">
        <v>59</v>
      </c>
      <c r="U1007" t="s">
        <v>35</v>
      </c>
    </row>
    <row r="1008" spans="1:21" x14ac:dyDescent="0.25">
      <c r="A1008" t="s">
        <v>2963</v>
      </c>
      <c r="B1008" s="1">
        <v>42688</v>
      </c>
      <c r="C1008" s="1">
        <v>42693</v>
      </c>
      <c r="D1008" t="s">
        <v>22</v>
      </c>
      <c r="E1008" t="s">
        <v>2964</v>
      </c>
      <c r="F1008" t="s">
        <v>2965</v>
      </c>
      <c r="G1008" t="s">
        <v>25</v>
      </c>
      <c r="H1008" t="s">
        <v>26</v>
      </c>
      <c r="I1008" t="s">
        <v>66</v>
      </c>
      <c r="J1008" t="s">
        <v>67</v>
      </c>
      <c r="K1008" t="s">
        <v>68</v>
      </c>
      <c r="L1008" t="s">
        <v>2966</v>
      </c>
      <c r="M1008" t="s">
        <v>31</v>
      </c>
      <c r="N1008" t="s">
        <v>57</v>
      </c>
      <c r="O1008" t="s">
        <v>2967</v>
      </c>
      <c r="P1008">
        <v>48.576000000000001</v>
      </c>
      <c r="Q1008">
        <v>3</v>
      </c>
      <c r="R1008">
        <v>0.2</v>
      </c>
      <c r="S1008">
        <v>9.7151999999999994</v>
      </c>
      <c r="T1008" t="s">
        <v>59</v>
      </c>
      <c r="U1008" t="s">
        <v>35</v>
      </c>
    </row>
    <row r="1009" spans="1:21" x14ac:dyDescent="0.25">
      <c r="A1009" t="s">
        <v>2968</v>
      </c>
      <c r="B1009" s="1">
        <v>42695</v>
      </c>
      <c r="C1009" s="1">
        <v>42700</v>
      </c>
      <c r="D1009" t="s">
        <v>40</v>
      </c>
      <c r="E1009" t="s">
        <v>1360</v>
      </c>
      <c r="F1009" t="s">
        <v>1361</v>
      </c>
      <c r="G1009" t="s">
        <v>25</v>
      </c>
      <c r="H1009" t="s">
        <v>26</v>
      </c>
      <c r="I1009" t="s">
        <v>348</v>
      </c>
      <c r="J1009" t="s">
        <v>232</v>
      </c>
      <c r="K1009" t="s">
        <v>68</v>
      </c>
      <c r="L1009" t="s">
        <v>252</v>
      </c>
      <c r="M1009" t="s">
        <v>31</v>
      </c>
      <c r="N1009" t="s">
        <v>37</v>
      </c>
      <c r="O1009" t="s">
        <v>253</v>
      </c>
      <c r="P1009">
        <v>127.554</v>
      </c>
      <c r="Q1009">
        <v>3</v>
      </c>
      <c r="R1009">
        <v>0.3</v>
      </c>
      <c r="S1009">
        <v>-9.1110000000000007</v>
      </c>
      <c r="T1009" t="s">
        <v>59</v>
      </c>
      <c r="U1009" t="s">
        <v>35</v>
      </c>
    </row>
    <row r="1010" spans="1:21" x14ac:dyDescent="0.25">
      <c r="A1010" t="s">
        <v>2968</v>
      </c>
      <c r="B1010" s="1">
        <v>42695</v>
      </c>
      <c r="C1010" s="1">
        <v>42700</v>
      </c>
      <c r="D1010" t="s">
        <v>40</v>
      </c>
      <c r="E1010" t="s">
        <v>1360</v>
      </c>
      <c r="F1010" t="s">
        <v>1361</v>
      </c>
      <c r="G1010" t="s">
        <v>25</v>
      </c>
      <c r="H1010" t="s">
        <v>26</v>
      </c>
      <c r="I1010" t="s">
        <v>348</v>
      </c>
      <c r="J1010" t="s">
        <v>232</v>
      </c>
      <c r="K1010" t="s">
        <v>68</v>
      </c>
      <c r="L1010" t="s">
        <v>2056</v>
      </c>
      <c r="M1010" t="s">
        <v>31</v>
      </c>
      <c r="N1010" t="s">
        <v>57</v>
      </c>
      <c r="O1010" t="s">
        <v>2057</v>
      </c>
      <c r="P1010">
        <v>77.951999999999998</v>
      </c>
      <c r="Q1010">
        <v>3</v>
      </c>
      <c r="R1010">
        <v>0.2</v>
      </c>
      <c r="S1010">
        <v>15.590400000000001</v>
      </c>
      <c r="T1010" t="s">
        <v>59</v>
      </c>
      <c r="U1010" t="s">
        <v>35</v>
      </c>
    </row>
    <row r="1011" spans="1:21" x14ac:dyDescent="0.25">
      <c r="A1011" t="s">
        <v>2969</v>
      </c>
      <c r="B1011" s="1">
        <v>43059</v>
      </c>
      <c r="C1011" s="1">
        <v>43064</v>
      </c>
      <c r="D1011" t="s">
        <v>40</v>
      </c>
      <c r="E1011" t="s">
        <v>902</v>
      </c>
      <c r="F1011" t="s">
        <v>903</v>
      </c>
      <c r="G1011" t="s">
        <v>101</v>
      </c>
      <c r="H1011" t="s">
        <v>26</v>
      </c>
      <c r="I1011" t="s">
        <v>27</v>
      </c>
      <c r="J1011" t="s">
        <v>28</v>
      </c>
      <c r="K1011" t="s">
        <v>29</v>
      </c>
      <c r="L1011" t="s">
        <v>175</v>
      </c>
      <c r="M1011" t="s">
        <v>31</v>
      </c>
      <c r="N1011" t="s">
        <v>57</v>
      </c>
      <c r="O1011" t="s">
        <v>176</v>
      </c>
      <c r="P1011">
        <v>27.58</v>
      </c>
      <c r="Q1011">
        <v>2</v>
      </c>
      <c r="R1011">
        <v>0</v>
      </c>
      <c r="S1011">
        <v>11.583600000000001</v>
      </c>
      <c r="T1011" t="s">
        <v>59</v>
      </c>
      <c r="U1011" t="s">
        <v>35</v>
      </c>
    </row>
    <row r="1012" spans="1:21" x14ac:dyDescent="0.25">
      <c r="A1012" t="s">
        <v>2970</v>
      </c>
      <c r="B1012" s="1">
        <v>41890</v>
      </c>
      <c r="C1012" s="1">
        <v>41896</v>
      </c>
      <c r="D1012" t="s">
        <v>40</v>
      </c>
      <c r="E1012" t="s">
        <v>1404</v>
      </c>
      <c r="F1012" t="s">
        <v>1405</v>
      </c>
      <c r="G1012" t="s">
        <v>25</v>
      </c>
      <c r="H1012" t="s">
        <v>26</v>
      </c>
      <c r="I1012" t="s">
        <v>2971</v>
      </c>
      <c r="J1012" t="s">
        <v>193</v>
      </c>
      <c r="K1012" t="s">
        <v>55</v>
      </c>
      <c r="L1012" t="s">
        <v>36</v>
      </c>
      <c r="M1012" t="s">
        <v>31</v>
      </c>
      <c r="N1012" t="s">
        <v>37</v>
      </c>
      <c r="O1012" t="s">
        <v>38</v>
      </c>
      <c r="P1012">
        <v>975.92</v>
      </c>
      <c r="Q1012">
        <v>5</v>
      </c>
      <c r="R1012">
        <v>0.2</v>
      </c>
      <c r="S1012">
        <v>121.99</v>
      </c>
      <c r="T1012" t="s">
        <v>130</v>
      </c>
      <c r="U1012" t="s">
        <v>78</v>
      </c>
    </row>
    <row r="1013" spans="1:21" x14ac:dyDescent="0.25">
      <c r="A1013" t="s">
        <v>2972</v>
      </c>
      <c r="B1013" s="1">
        <v>41985</v>
      </c>
      <c r="C1013" s="1">
        <v>41988</v>
      </c>
      <c r="D1013" t="s">
        <v>22</v>
      </c>
      <c r="E1013" t="s">
        <v>327</v>
      </c>
      <c r="F1013" t="s">
        <v>328</v>
      </c>
      <c r="G1013" t="s">
        <v>25</v>
      </c>
      <c r="H1013" t="s">
        <v>26</v>
      </c>
      <c r="I1013" t="s">
        <v>1471</v>
      </c>
      <c r="J1013" t="s">
        <v>54</v>
      </c>
      <c r="K1013" t="s">
        <v>55</v>
      </c>
      <c r="L1013" t="s">
        <v>1312</v>
      </c>
      <c r="M1013" t="s">
        <v>31</v>
      </c>
      <c r="N1013" t="s">
        <v>57</v>
      </c>
      <c r="O1013" t="s">
        <v>1313</v>
      </c>
      <c r="P1013">
        <v>12.54</v>
      </c>
      <c r="Q1013">
        <v>3</v>
      </c>
      <c r="R1013">
        <v>0</v>
      </c>
      <c r="S1013">
        <v>4.5144000000000002</v>
      </c>
      <c r="T1013" t="s">
        <v>34</v>
      </c>
      <c r="U1013" t="s">
        <v>97</v>
      </c>
    </row>
    <row r="1014" spans="1:21" x14ac:dyDescent="0.25">
      <c r="A1014" t="s">
        <v>2972</v>
      </c>
      <c r="B1014" s="1">
        <v>41985</v>
      </c>
      <c r="C1014" s="1">
        <v>41988</v>
      </c>
      <c r="D1014" t="s">
        <v>22</v>
      </c>
      <c r="E1014" t="s">
        <v>327</v>
      </c>
      <c r="F1014" t="s">
        <v>328</v>
      </c>
      <c r="G1014" t="s">
        <v>25</v>
      </c>
      <c r="H1014" t="s">
        <v>26</v>
      </c>
      <c r="I1014" t="s">
        <v>1471</v>
      </c>
      <c r="J1014" t="s">
        <v>54</v>
      </c>
      <c r="K1014" t="s">
        <v>55</v>
      </c>
      <c r="L1014" t="s">
        <v>112</v>
      </c>
      <c r="M1014" t="s">
        <v>31</v>
      </c>
      <c r="N1014" t="s">
        <v>57</v>
      </c>
      <c r="O1014" t="s">
        <v>113</v>
      </c>
      <c r="P1014">
        <v>9.24</v>
      </c>
      <c r="Q1014">
        <v>3</v>
      </c>
      <c r="R1014">
        <v>0</v>
      </c>
      <c r="S1014">
        <v>4.4352</v>
      </c>
      <c r="T1014" t="s">
        <v>34</v>
      </c>
      <c r="U1014" t="s">
        <v>97</v>
      </c>
    </row>
    <row r="1015" spans="1:21" x14ac:dyDescent="0.25">
      <c r="A1015" t="s">
        <v>2973</v>
      </c>
      <c r="B1015" s="1">
        <v>42017</v>
      </c>
      <c r="C1015" s="1">
        <v>42021</v>
      </c>
      <c r="D1015" t="s">
        <v>40</v>
      </c>
      <c r="E1015" t="s">
        <v>465</v>
      </c>
      <c r="F1015" t="s">
        <v>466</v>
      </c>
      <c r="G1015" t="s">
        <v>25</v>
      </c>
      <c r="H1015" t="s">
        <v>26</v>
      </c>
      <c r="I1015" t="s">
        <v>53</v>
      </c>
      <c r="J1015" t="s">
        <v>54</v>
      </c>
      <c r="K1015" t="s">
        <v>55</v>
      </c>
      <c r="L1015" t="s">
        <v>364</v>
      </c>
      <c r="M1015" t="s">
        <v>31</v>
      </c>
      <c r="N1015" t="s">
        <v>57</v>
      </c>
      <c r="O1015" t="s">
        <v>365</v>
      </c>
      <c r="P1015">
        <v>77.599999999999994</v>
      </c>
      <c r="Q1015">
        <v>4</v>
      </c>
      <c r="R1015">
        <v>0</v>
      </c>
      <c r="S1015">
        <v>38.024000000000001</v>
      </c>
      <c r="T1015" t="s">
        <v>84</v>
      </c>
      <c r="U1015" t="s">
        <v>170</v>
      </c>
    </row>
    <row r="1016" spans="1:21" x14ac:dyDescent="0.25">
      <c r="A1016" t="s">
        <v>2973</v>
      </c>
      <c r="B1016" s="1">
        <v>42017</v>
      </c>
      <c r="C1016" s="1">
        <v>42021</v>
      </c>
      <c r="D1016" t="s">
        <v>40</v>
      </c>
      <c r="E1016" t="s">
        <v>465</v>
      </c>
      <c r="F1016" t="s">
        <v>466</v>
      </c>
      <c r="G1016" t="s">
        <v>25</v>
      </c>
      <c r="H1016" t="s">
        <v>26</v>
      </c>
      <c r="I1016" t="s">
        <v>53</v>
      </c>
      <c r="J1016" t="s">
        <v>54</v>
      </c>
      <c r="K1016" t="s">
        <v>55</v>
      </c>
      <c r="L1016" t="s">
        <v>2974</v>
      </c>
      <c r="M1016" t="s">
        <v>31</v>
      </c>
      <c r="N1016" t="s">
        <v>57</v>
      </c>
      <c r="O1016" t="s">
        <v>2975</v>
      </c>
      <c r="P1016">
        <v>464.85</v>
      </c>
      <c r="Q1016">
        <v>9</v>
      </c>
      <c r="R1016">
        <v>0</v>
      </c>
      <c r="S1016">
        <v>92.97</v>
      </c>
      <c r="T1016" t="s">
        <v>84</v>
      </c>
      <c r="U1016" t="s">
        <v>170</v>
      </c>
    </row>
    <row r="1017" spans="1:21" x14ac:dyDescent="0.25">
      <c r="A1017" t="s">
        <v>2976</v>
      </c>
      <c r="B1017" s="1">
        <v>43052</v>
      </c>
      <c r="C1017" s="1">
        <v>43057</v>
      </c>
      <c r="D1017" t="s">
        <v>40</v>
      </c>
      <c r="E1017" t="s">
        <v>2349</v>
      </c>
      <c r="F1017" t="s">
        <v>2350</v>
      </c>
      <c r="G1017" t="s">
        <v>25</v>
      </c>
      <c r="H1017" t="s">
        <v>26</v>
      </c>
      <c r="I1017" t="s">
        <v>192</v>
      </c>
      <c r="J1017" t="s">
        <v>193</v>
      </c>
      <c r="K1017" t="s">
        <v>55</v>
      </c>
      <c r="L1017" t="s">
        <v>560</v>
      </c>
      <c r="M1017" t="s">
        <v>31</v>
      </c>
      <c r="N1017" t="s">
        <v>37</v>
      </c>
      <c r="O1017" t="s">
        <v>561</v>
      </c>
      <c r="P1017">
        <v>2404.7040000000002</v>
      </c>
      <c r="Q1017">
        <v>6</v>
      </c>
      <c r="R1017">
        <v>0.2</v>
      </c>
      <c r="S1017">
        <v>150.29400000000001</v>
      </c>
      <c r="T1017" t="s">
        <v>59</v>
      </c>
      <c r="U1017" t="s">
        <v>35</v>
      </c>
    </row>
    <row r="1018" spans="1:21" x14ac:dyDescent="0.25">
      <c r="A1018" t="s">
        <v>2977</v>
      </c>
      <c r="B1018" s="1">
        <v>43041</v>
      </c>
      <c r="C1018" s="1">
        <v>43044</v>
      </c>
      <c r="D1018" t="s">
        <v>22</v>
      </c>
      <c r="E1018" t="s">
        <v>2978</v>
      </c>
      <c r="F1018" t="s">
        <v>2979</v>
      </c>
      <c r="G1018" t="s">
        <v>91</v>
      </c>
      <c r="H1018" t="s">
        <v>26</v>
      </c>
      <c r="I1018" t="s">
        <v>27</v>
      </c>
      <c r="J1018" t="s">
        <v>28</v>
      </c>
      <c r="K1018" t="s">
        <v>29</v>
      </c>
      <c r="L1018" t="s">
        <v>36</v>
      </c>
      <c r="M1018" t="s">
        <v>31</v>
      </c>
      <c r="N1018" t="s">
        <v>37</v>
      </c>
      <c r="O1018" t="s">
        <v>38</v>
      </c>
      <c r="P1018">
        <v>975.92</v>
      </c>
      <c r="Q1018">
        <v>4</v>
      </c>
      <c r="R1018">
        <v>0</v>
      </c>
      <c r="S1018">
        <v>292.77600000000001</v>
      </c>
      <c r="T1018" t="s">
        <v>34</v>
      </c>
      <c r="U1018" t="s">
        <v>35</v>
      </c>
    </row>
    <row r="1019" spans="1:21" x14ac:dyDescent="0.25">
      <c r="A1019" t="s">
        <v>2980</v>
      </c>
      <c r="B1019" s="1">
        <v>42702</v>
      </c>
      <c r="C1019" s="1">
        <v>42705</v>
      </c>
      <c r="D1019" t="s">
        <v>22</v>
      </c>
      <c r="E1019" t="s">
        <v>1713</v>
      </c>
      <c r="F1019" t="s">
        <v>1714</v>
      </c>
      <c r="G1019" t="s">
        <v>91</v>
      </c>
      <c r="H1019" t="s">
        <v>26</v>
      </c>
      <c r="I1019" t="s">
        <v>2981</v>
      </c>
      <c r="J1019" t="s">
        <v>668</v>
      </c>
      <c r="K1019" t="s">
        <v>29</v>
      </c>
      <c r="L1019" t="s">
        <v>299</v>
      </c>
      <c r="M1019" t="s">
        <v>31</v>
      </c>
      <c r="N1019" t="s">
        <v>37</v>
      </c>
      <c r="O1019" t="s">
        <v>300</v>
      </c>
      <c r="P1019">
        <v>182.67</v>
      </c>
      <c r="Q1019">
        <v>3</v>
      </c>
      <c r="R1019">
        <v>0</v>
      </c>
      <c r="S1019">
        <v>52.974299999999999</v>
      </c>
      <c r="T1019" t="s">
        <v>34</v>
      </c>
      <c r="U1019" t="s">
        <v>35</v>
      </c>
    </row>
    <row r="1020" spans="1:21" x14ac:dyDescent="0.25">
      <c r="A1020" t="s">
        <v>2982</v>
      </c>
      <c r="B1020" s="1">
        <v>41927</v>
      </c>
      <c r="C1020" s="1">
        <v>41929</v>
      </c>
      <c r="D1020" t="s">
        <v>88</v>
      </c>
      <c r="E1020" t="s">
        <v>2983</v>
      </c>
      <c r="F1020" t="s">
        <v>2984</v>
      </c>
      <c r="G1020" t="s">
        <v>25</v>
      </c>
      <c r="H1020" t="s">
        <v>26</v>
      </c>
      <c r="I1020" t="s">
        <v>2985</v>
      </c>
      <c r="J1020" t="s">
        <v>232</v>
      </c>
      <c r="K1020" t="s">
        <v>68</v>
      </c>
      <c r="L1020" t="s">
        <v>2045</v>
      </c>
      <c r="M1020" t="s">
        <v>31</v>
      </c>
      <c r="N1020" t="s">
        <v>37</v>
      </c>
      <c r="O1020" t="s">
        <v>2046</v>
      </c>
      <c r="P1020">
        <v>183.37200000000001</v>
      </c>
      <c r="Q1020">
        <v>2</v>
      </c>
      <c r="R1020">
        <v>0.3</v>
      </c>
      <c r="S1020">
        <v>-7.8587999999999996</v>
      </c>
      <c r="T1020" t="s">
        <v>71</v>
      </c>
      <c r="U1020" t="s">
        <v>49</v>
      </c>
    </row>
    <row r="1021" spans="1:21" x14ac:dyDescent="0.25">
      <c r="A1021" t="s">
        <v>2986</v>
      </c>
      <c r="B1021" s="1">
        <v>41974</v>
      </c>
      <c r="C1021" s="1">
        <v>41976</v>
      </c>
      <c r="D1021" t="s">
        <v>22</v>
      </c>
      <c r="E1021" t="s">
        <v>570</v>
      </c>
      <c r="F1021" t="s">
        <v>571</v>
      </c>
      <c r="G1021" t="s">
        <v>91</v>
      </c>
      <c r="H1021" t="s">
        <v>26</v>
      </c>
      <c r="I1021" t="s">
        <v>102</v>
      </c>
      <c r="J1021" t="s">
        <v>93</v>
      </c>
      <c r="K1021" t="s">
        <v>94</v>
      </c>
      <c r="L1021" t="s">
        <v>796</v>
      </c>
      <c r="M1021" t="s">
        <v>31</v>
      </c>
      <c r="N1021" t="s">
        <v>37</v>
      </c>
      <c r="O1021" t="s">
        <v>797</v>
      </c>
      <c r="P1021">
        <v>674.05799999999999</v>
      </c>
      <c r="Q1021">
        <v>3</v>
      </c>
      <c r="R1021">
        <v>0.3</v>
      </c>
      <c r="S1021">
        <v>-19.258800000000001</v>
      </c>
      <c r="T1021" t="s">
        <v>71</v>
      </c>
      <c r="U1021" t="s">
        <v>97</v>
      </c>
    </row>
    <row r="1022" spans="1:21" x14ac:dyDescent="0.25">
      <c r="A1022" t="s">
        <v>2987</v>
      </c>
      <c r="B1022" s="1">
        <v>43017</v>
      </c>
      <c r="C1022" s="1">
        <v>43019</v>
      </c>
      <c r="D1022" t="s">
        <v>22</v>
      </c>
      <c r="E1022" t="s">
        <v>1301</v>
      </c>
      <c r="F1022" t="s">
        <v>1302</v>
      </c>
      <c r="G1022" t="s">
        <v>25</v>
      </c>
      <c r="H1022" t="s">
        <v>26</v>
      </c>
      <c r="I1022" t="s">
        <v>2988</v>
      </c>
      <c r="J1022" t="s">
        <v>93</v>
      </c>
      <c r="K1022" t="s">
        <v>94</v>
      </c>
      <c r="L1022" t="s">
        <v>2989</v>
      </c>
      <c r="M1022" t="s">
        <v>31</v>
      </c>
      <c r="N1022" t="s">
        <v>37</v>
      </c>
      <c r="O1022" t="s">
        <v>2990</v>
      </c>
      <c r="P1022">
        <v>254.05799999999999</v>
      </c>
      <c r="Q1022">
        <v>3</v>
      </c>
      <c r="R1022">
        <v>0.3</v>
      </c>
      <c r="S1022">
        <v>-32.6646</v>
      </c>
      <c r="T1022" t="s">
        <v>71</v>
      </c>
      <c r="U1022" t="s">
        <v>49</v>
      </c>
    </row>
    <row r="1023" spans="1:21" x14ac:dyDescent="0.25">
      <c r="A1023" t="s">
        <v>2991</v>
      </c>
      <c r="B1023" s="1">
        <v>42371</v>
      </c>
      <c r="C1023" s="1">
        <v>42376</v>
      </c>
      <c r="D1023" t="s">
        <v>40</v>
      </c>
      <c r="E1023" t="s">
        <v>1829</v>
      </c>
      <c r="F1023" t="s">
        <v>1830</v>
      </c>
      <c r="G1023" t="s">
        <v>91</v>
      </c>
      <c r="H1023" t="s">
        <v>26</v>
      </c>
      <c r="I1023" t="s">
        <v>2992</v>
      </c>
      <c r="J1023" t="s">
        <v>1090</v>
      </c>
      <c r="K1023" t="s">
        <v>68</v>
      </c>
      <c r="L1023" t="s">
        <v>349</v>
      </c>
      <c r="M1023" t="s">
        <v>31</v>
      </c>
      <c r="N1023" t="s">
        <v>32</v>
      </c>
      <c r="O1023" t="s">
        <v>350</v>
      </c>
      <c r="P1023">
        <v>173.94</v>
      </c>
      <c r="Q1023">
        <v>3</v>
      </c>
      <c r="R1023">
        <v>0</v>
      </c>
      <c r="S1023">
        <v>38.266800000000003</v>
      </c>
      <c r="T1023" t="s">
        <v>59</v>
      </c>
      <c r="U1023" t="s">
        <v>170</v>
      </c>
    </row>
    <row r="1024" spans="1:21" x14ac:dyDescent="0.25">
      <c r="A1024" t="s">
        <v>2993</v>
      </c>
      <c r="B1024" s="1">
        <v>43027</v>
      </c>
      <c r="C1024" s="1">
        <v>43031</v>
      </c>
      <c r="D1024" t="s">
        <v>40</v>
      </c>
      <c r="E1024" t="s">
        <v>998</v>
      </c>
      <c r="F1024" t="s">
        <v>999</v>
      </c>
      <c r="G1024" t="s">
        <v>25</v>
      </c>
      <c r="H1024" t="s">
        <v>26</v>
      </c>
      <c r="I1024" t="s">
        <v>134</v>
      </c>
      <c r="J1024" t="s">
        <v>135</v>
      </c>
      <c r="K1024" t="s">
        <v>94</v>
      </c>
      <c r="L1024" t="s">
        <v>1235</v>
      </c>
      <c r="M1024" t="s">
        <v>31</v>
      </c>
      <c r="N1024" t="s">
        <v>46</v>
      </c>
      <c r="O1024" t="s">
        <v>1236</v>
      </c>
      <c r="P1024">
        <v>91.275000000000006</v>
      </c>
      <c r="Q1024">
        <v>1</v>
      </c>
      <c r="R1024">
        <v>0.5</v>
      </c>
      <c r="S1024">
        <v>-67.543499999999995</v>
      </c>
      <c r="T1024" t="s">
        <v>84</v>
      </c>
      <c r="U1024" t="s">
        <v>49</v>
      </c>
    </row>
    <row r="1025" spans="1:21" x14ac:dyDescent="0.25">
      <c r="A1025" t="s">
        <v>2994</v>
      </c>
      <c r="B1025" s="1">
        <v>43070</v>
      </c>
      <c r="C1025" s="1">
        <v>43075</v>
      </c>
      <c r="D1025" t="s">
        <v>40</v>
      </c>
      <c r="E1025" t="s">
        <v>205</v>
      </c>
      <c r="F1025" t="s">
        <v>206</v>
      </c>
      <c r="G1025" t="s">
        <v>101</v>
      </c>
      <c r="H1025" t="s">
        <v>26</v>
      </c>
      <c r="I1025" t="s">
        <v>1581</v>
      </c>
      <c r="J1025" t="s">
        <v>430</v>
      </c>
      <c r="K1025" t="s">
        <v>68</v>
      </c>
      <c r="L1025" t="s">
        <v>1586</v>
      </c>
      <c r="M1025" t="s">
        <v>31</v>
      </c>
      <c r="N1025" t="s">
        <v>37</v>
      </c>
      <c r="O1025" t="s">
        <v>1587</v>
      </c>
      <c r="P1025">
        <v>897.15</v>
      </c>
      <c r="Q1025">
        <v>3</v>
      </c>
      <c r="R1025">
        <v>0</v>
      </c>
      <c r="S1025">
        <v>251.202</v>
      </c>
      <c r="T1025" t="s">
        <v>59</v>
      </c>
      <c r="U1025" t="s">
        <v>97</v>
      </c>
    </row>
    <row r="1026" spans="1:21" x14ac:dyDescent="0.25">
      <c r="A1026" t="s">
        <v>2995</v>
      </c>
      <c r="B1026" s="1">
        <v>41652</v>
      </c>
      <c r="C1026" s="1">
        <v>41657</v>
      </c>
      <c r="D1026" t="s">
        <v>40</v>
      </c>
      <c r="E1026" t="s">
        <v>1061</v>
      </c>
      <c r="F1026" t="s">
        <v>1062</v>
      </c>
      <c r="G1026" t="s">
        <v>25</v>
      </c>
      <c r="H1026" t="s">
        <v>26</v>
      </c>
      <c r="I1026" t="s">
        <v>329</v>
      </c>
      <c r="J1026" t="s">
        <v>54</v>
      </c>
      <c r="K1026" t="s">
        <v>55</v>
      </c>
      <c r="L1026" t="s">
        <v>1637</v>
      </c>
      <c r="M1026" t="s">
        <v>31</v>
      </c>
      <c r="N1026" t="s">
        <v>32</v>
      </c>
      <c r="O1026" t="s">
        <v>1638</v>
      </c>
      <c r="P1026">
        <v>333.99900000000002</v>
      </c>
      <c r="Q1026">
        <v>3</v>
      </c>
      <c r="R1026">
        <v>0.15</v>
      </c>
      <c r="S1026">
        <v>3.9293999999999998</v>
      </c>
      <c r="T1026" t="s">
        <v>59</v>
      </c>
      <c r="U1026" t="s">
        <v>170</v>
      </c>
    </row>
    <row r="1027" spans="1:21" x14ac:dyDescent="0.25">
      <c r="A1027" t="s">
        <v>2996</v>
      </c>
      <c r="B1027" s="1">
        <v>42041</v>
      </c>
      <c r="C1027" s="1">
        <v>42048</v>
      </c>
      <c r="D1027" t="s">
        <v>40</v>
      </c>
      <c r="E1027" t="s">
        <v>1751</v>
      </c>
      <c r="F1027" t="s">
        <v>1752</v>
      </c>
      <c r="G1027" t="s">
        <v>25</v>
      </c>
      <c r="H1027" t="s">
        <v>26</v>
      </c>
      <c r="I1027" t="s">
        <v>200</v>
      </c>
      <c r="J1027" t="s">
        <v>201</v>
      </c>
      <c r="K1027" t="s">
        <v>68</v>
      </c>
      <c r="L1027" t="s">
        <v>1142</v>
      </c>
      <c r="M1027" t="s">
        <v>31</v>
      </c>
      <c r="N1027" t="s">
        <v>37</v>
      </c>
      <c r="O1027" t="s">
        <v>1143</v>
      </c>
      <c r="P1027">
        <v>1268.82</v>
      </c>
      <c r="Q1027">
        <v>9</v>
      </c>
      <c r="R1027">
        <v>0</v>
      </c>
      <c r="S1027">
        <v>266.4522</v>
      </c>
      <c r="T1027" t="s">
        <v>48</v>
      </c>
      <c r="U1027" t="s">
        <v>298</v>
      </c>
    </row>
    <row r="1028" spans="1:21" x14ac:dyDescent="0.25">
      <c r="A1028" t="s">
        <v>2996</v>
      </c>
      <c r="B1028" s="1">
        <v>42041</v>
      </c>
      <c r="C1028" s="1">
        <v>42048</v>
      </c>
      <c r="D1028" t="s">
        <v>40</v>
      </c>
      <c r="E1028" t="s">
        <v>1751</v>
      </c>
      <c r="F1028" t="s">
        <v>1752</v>
      </c>
      <c r="G1028" t="s">
        <v>25</v>
      </c>
      <c r="H1028" t="s">
        <v>26</v>
      </c>
      <c r="I1028" t="s">
        <v>200</v>
      </c>
      <c r="J1028" t="s">
        <v>201</v>
      </c>
      <c r="K1028" t="s">
        <v>68</v>
      </c>
      <c r="L1028" t="s">
        <v>2421</v>
      </c>
      <c r="M1028" t="s">
        <v>31</v>
      </c>
      <c r="N1028" t="s">
        <v>32</v>
      </c>
      <c r="O1028" t="s">
        <v>2422</v>
      </c>
      <c r="P1028">
        <v>283.92</v>
      </c>
      <c r="Q1028">
        <v>4</v>
      </c>
      <c r="R1028">
        <v>0</v>
      </c>
      <c r="S1028">
        <v>82.336799999999997</v>
      </c>
      <c r="T1028" t="s">
        <v>48</v>
      </c>
      <c r="U1028" t="s">
        <v>298</v>
      </c>
    </row>
    <row r="1029" spans="1:21" x14ac:dyDescent="0.25">
      <c r="A1029" t="s">
        <v>2997</v>
      </c>
      <c r="B1029" s="1">
        <v>43066</v>
      </c>
      <c r="C1029" s="1">
        <v>43071</v>
      </c>
      <c r="D1029" t="s">
        <v>40</v>
      </c>
      <c r="E1029" t="s">
        <v>600</v>
      </c>
      <c r="F1029" t="s">
        <v>601</v>
      </c>
      <c r="G1029" t="s">
        <v>25</v>
      </c>
      <c r="H1029" t="s">
        <v>26</v>
      </c>
      <c r="I1029" t="s">
        <v>53</v>
      </c>
      <c r="J1029" t="s">
        <v>54</v>
      </c>
      <c r="K1029" t="s">
        <v>55</v>
      </c>
      <c r="L1029" t="s">
        <v>678</v>
      </c>
      <c r="M1029" t="s">
        <v>31</v>
      </c>
      <c r="N1029" t="s">
        <v>57</v>
      </c>
      <c r="O1029" t="s">
        <v>679</v>
      </c>
      <c r="P1029">
        <v>18.84</v>
      </c>
      <c r="Q1029">
        <v>3</v>
      </c>
      <c r="R1029">
        <v>0</v>
      </c>
      <c r="S1029">
        <v>6.0288000000000004</v>
      </c>
      <c r="T1029" t="s">
        <v>59</v>
      </c>
      <c r="U1029" t="s">
        <v>35</v>
      </c>
    </row>
    <row r="1030" spans="1:21" x14ac:dyDescent="0.25">
      <c r="A1030" t="s">
        <v>2998</v>
      </c>
      <c r="B1030" s="1">
        <v>41799</v>
      </c>
      <c r="C1030" s="1">
        <v>41803</v>
      </c>
      <c r="D1030" t="s">
        <v>22</v>
      </c>
      <c r="E1030" t="s">
        <v>387</v>
      </c>
      <c r="F1030" t="s">
        <v>388</v>
      </c>
      <c r="G1030" t="s">
        <v>91</v>
      </c>
      <c r="H1030" t="s">
        <v>26</v>
      </c>
      <c r="I1030" t="s">
        <v>1340</v>
      </c>
      <c r="J1030" t="s">
        <v>1341</v>
      </c>
      <c r="K1030" t="s">
        <v>55</v>
      </c>
      <c r="L1030" t="s">
        <v>2184</v>
      </c>
      <c r="M1030" t="s">
        <v>31</v>
      </c>
      <c r="N1030" t="s">
        <v>57</v>
      </c>
      <c r="O1030" t="s">
        <v>2185</v>
      </c>
      <c r="P1030">
        <v>37.4</v>
      </c>
      <c r="Q1030">
        <v>2</v>
      </c>
      <c r="R1030">
        <v>0</v>
      </c>
      <c r="S1030">
        <v>14.212</v>
      </c>
      <c r="T1030" t="s">
        <v>84</v>
      </c>
      <c r="U1030" t="s">
        <v>60</v>
      </c>
    </row>
    <row r="1031" spans="1:21" x14ac:dyDescent="0.25">
      <c r="A1031" t="s">
        <v>2999</v>
      </c>
      <c r="B1031" s="1">
        <v>41705</v>
      </c>
      <c r="C1031" s="1">
        <v>41706</v>
      </c>
      <c r="D1031" t="s">
        <v>88</v>
      </c>
      <c r="E1031" t="s">
        <v>3000</v>
      </c>
      <c r="F1031" t="s">
        <v>3001</v>
      </c>
      <c r="G1031" t="s">
        <v>25</v>
      </c>
      <c r="H1031" t="s">
        <v>26</v>
      </c>
      <c r="I1031" t="s">
        <v>192</v>
      </c>
      <c r="J1031" t="s">
        <v>193</v>
      </c>
      <c r="K1031" t="s">
        <v>55</v>
      </c>
      <c r="L1031" t="s">
        <v>299</v>
      </c>
      <c r="M1031" t="s">
        <v>31</v>
      </c>
      <c r="N1031" t="s">
        <v>37</v>
      </c>
      <c r="O1031" t="s">
        <v>300</v>
      </c>
      <c r="P1031">
        <v>48.712000000000003</v>
      </c>
      <c r="Q1031">
        <v>1</v>
      </c>
      <c r="R1031">
        <v>0.2</v>
      </c>
      <c r="S1031">
        <v>5.4801000000000002</v>
      </c>
      <c r="T1031" t="s">
        <v>124</v>
      </c>
      <c r="U1031" t="s">
        <v>196</v>
      </c>
    </row>
    <row r="1032" spans="1:21" x14ac:dyDescent="0.25">
      <c r="A1032" t="s">
        <v>3002</v>
      </c>
      <c r="B1032" s="1">
        <v>42218</v>
      </c>
      <c r="C1032" s="1">
        <v>42221</v>
      </c>
      <c r="D1032" t="s">
        <v>22</v>
      </c>
      <c r="E1032" t="s">
        <v>1860</v>
      </c>
      <c r="F1032" t="s">
        <v>1861</v>
      </c>
      <c r="G1032" t="s">
        <v>101</v>
      </c>
      <c r="H1032" t="s">
        <v>26</v>
      </c>
      <c r="I1032" t="s">
        <v>1645</v>
      </c>
      <c r="J1032" t="s">
        <v>1646</v>
      </c>
      <c r="K1032" t="s">
        <v>68</v>
      </c>
      <c r="L1032" t="s">
        <v>1165</v>
      </c>
      <c r="M1032" t="s">
        <v>31</v>
      </c>
      <c r="N1032" t="s">
        <v>37</v>
      </c>
      <c r="O1032" t="s">
        <v>1166</v>
      </c>
      <c r="P1032">
        <v>110.98</v>
      </c>
      <c r="Q1032">
        <v>1</v>
      </c>
      <c r="R1032">
        <v>0</v>
      </c>
      <c r="S1032">
        <v>15.5372</v>
      </c>
      <c r="T1032" t="s">
        <v>34</v>
      </c>
      <c r="U1032" t="s">
        <v>254</v>
      </c>
    </row>
    <row r="1033" spans="1:21" x14ac:dyDescent="0.25">
      <c r="A1033" t="s">
        <v>3003</v>
      </c>
      <c r="B1033" s="1">
        <v>42680</v>
      </c>
      <c r="C1033" s="1">
        <v>42683</v>
      </c>
      <c r="D1033" t="s">
        <v>88</v>
      </c>
      <c r="E1033" t="s">
        <v>352</v>
      </c>
      <c r="F1033" t="s">
        <v>353</v>
      </c>
      <c r="G1033" t="s">
        <v>91</v>
      </c>
      <c r="H1033" t="s">
        <v>26</v>
      </c>
      <c r="I1033" t="s">
        <v>607</v>
      </c>
      <c r="J1033" t="s">
        <v>44</v>
      </c>
      <c r="K1033" t="s">
        <v>29</v>
      </c>
      <c r="L1033" t="s">
        <v>143</v>
      </c>
      <c r="M1033" t="s">
        <v>31</v>
      </c>
      <c r="N1033" t="s">
        <v>37</v>
      </c>
      <c r="O1033" t="s">
        <v>144</v>
      </c>
      <c r="P1033">
        <v>207.98400000000001</v>
      </c>
      <c r="Q1033">
        <v>2</v>
      </c>
      <c r="R1033">
        <v>0.2</v>
      </c>
      <c r="S1033">
        <v>-28.597799999999999</v>
      </c>
      <c r="T1033" t="s">
        <v>34</v>
      </c>
      <c r="U1033" t="s">
        <v>35</v>
      </c>
    </row>
    <row r="1034" spans="1:21" x14ac:dyDescent="0.25">
      <c r="A1034" t="s">
        <v>3003</v>
      </c>
      <c r="B1034" s="1">
        <v>42680</v>
      </c>
      <c r="C1034" s="1">
        <v>42683</v>
      </c>
      <c r="D1034" t="s">
        <v>88</v>
      </c>
      <c r="E1034" t="s">
        <v>352</v>
      </c>
      <c r="F1034" t="s">
        <v>353</v>
      </c>
      <c r="G1034" t="s">
        <v>91</v>
      </c>
      <c r="H1034" t="s">
        <v>26</v>
      </c>
      <c r="I1034" t="s">
        <v>607</v>
      </c>
      <c r="J1034" t="s">
        <v>44</v>
      </c>
      <c r="K1034" t="s">
        <v>29</v>
      </c>
      <c r="L1034" t="s">
        <v>831</v>
      </c>
      <c r="M1034" t="s">
        <v>31</v>
      </c>
      <c r="N1034" t="s">
        <v>57</v>
      </c>
      <c r="O1034" t="s">
        <v>832</v>
      </c>
      <c r="P1034">
        <v>35.567999999999998</v>
      </c>
      <c r="Q1034">
        <v>2</v>
      </c>
      <c r="R1034">
        <v>0.2</v>
      </c>
      <c r="S1034">
        <v>5.7797999999999998</v>
      </c>
      <c r="T1034" t="s">
        <v>34</v>
      </c>
      <c r="U1034" t="s">
        <v>35</v>
      </c>
    </row>
    <row r="1035" spans="1:21" x14ac:dyDescent="0.25">
      <c r="A1035" t="s">
        <v>3004</v>
      </c>
      <c r="B1035" s="1">
        <v>42484</v>
      </c>
      <c r="C1035" s="1">
        <v>42488</v>
      </c>
      <c r="D1035" t="s">
        <v>40</v>
      </c>
      <c r="E1035" t="s">
        <v>3005</v>
      </c>
      <c r="F1035" t="s">
        <v>3006</v>
      </c>
      <c r="G1035" t="s">
        <v>101</v>
      </c>
      <c r="H1035" t="s">
        <v>26</v>
      </c>
      <c r="I1035" t="s">
        <v>354</v>
      </c>
      <c r="J1035" t="s">
        <v>181</v>
      </c>
      <c r="K1035" t="s">
        <v>55</v>
      </c>
      <c r="L1035" t="s">
        <v>247</v>
      </c>
      <c r="M1035" t="s">
        <v>31</v>
      </c>
      <c r="N1035" t="s">
        <v>37</v>
      </c>
      <c r="O1035" t="s">
        <v>248</v>
      </c>
      <c r="P1035">
        <v>1325.76</v>
      </c>
      <c r="Q1035">
        <v>6</v>
      </c>
      <c r="R1035">
        <v>0.2</v>
      </c>
      <c r="S1035">
        <v>149.148</v>
      </c>
      <c r="T1035" t="s">
        <v>84</v>
      </c>
      <c r="U1035" t="s">
        <v>114</v>
      </c>
    </row>
    <row r="1036" spans="1:21" x14ac:dyDescent="0.25">
      <c r="A1036" t="s">
        <v>3007</v>
      </c>
      <c r="B1036" s="1">
        <v>42356</v>
      </c>
      <c r="C1036" s="1">
        <v>42363</v>
      </c>
      <c r="D1036" t="s">
        <v>40</v>
      </c>
      <c r="E1036" t="s">
        <v>3008</v>
      </c>
      <c r="F1036" t="s">
        <v>3009</v>
      </c>
      <c r="G1036" t="s">
        <v>91</v>
      </c>
      <c r="H1036" t="s">
        <v>26</v>
      </c>
      <c r="I1036" t="s">
        <v>141</v>
      </c>
      <c r="J1036" t="s">
        <v>142</v>
      </c>
      <c r="K1036" t="s">
        <v>29</v>
      </c>
      <c r="L1036" t="s">
        <v>662</v>
      </c>
      <c r="M1036" t="s">
        <v>31</v>
      </c>
      <c r="N1036" t="s">
        <v>57</v>
      </c>
      <c r="O1036" t="s">
        <v>663</v>
      </c>
      <c r="P1036">
        <v>20.32</v>
      </c>
      <c r="Q1036">
        <v>5</v>
      </c>
      <c r="R1036">
        <v>0.2</v>
      </c>
      <c r="S1036">
        <v>3.556</v>
      </c>
      <c r="T1036" t="s">
        <v>48</v>
      </c>
      <c r="U1036" t="s">
        <v>97</v>
      </c>
    </row>
    <row r="1037" spans="1:21" x14ac:dyDescent="0.25">
      <c r="A1037" t="s">
        <v>3010</v>
      </c>
      <c r="B1037" s="1">
        <v>42866</v>
      </c>
      <c r="C1037" s="1">
        <v>42868</v>
      </c>
      <c r="D1037" t="s">
        <v>88</v>
      </c>
      <c r="E1037" t="s">
        <v>1318</v>
      </c>
      <c r="F1037" t="s">
        <v>1319</v>
      </c>
      <c r="G1037" t="s">
        <v>91</v>
      </c>
      <c r="H1037" t="s">
        <v>26</v>
      </c>
      <c r="I1037" t="s">
        <v>520</v>
      </c>
      <c r="J1037" t="s">
        <v>521</v>
      </c>
      <c r="K1037" t="s">
        <v>55</v>
      </c>
      <c r="L1037" t="s">
        <v>1137</v>
      </c>
      <c r="M1037" t="s">
        <v>31</v>
      </c>
      <c r="N1037" t="s">
        <v>32</v>
      </c>
      <c r="O1037" t="s">
        <v>1138</v>
      </c>
      <c r="P1037">
        <v>209.97900000000001</v>
      </c>
      <c r="Q1037">
        <v>7</v>
      </c>
      <c r="R1037">
        <v>0.7</v>
      </c>
      <c r="S1037">
        <v>-356.96429999999998</v>
      </c>
      <c r="T1037" t="s">
        <v>71</v>
      </c>
      <c r="U1037" t="s">
        <v>162</v>
      </c>
    </row>
    <row r="1038" spans="1:21" x14ac:dyDescent="0.25">
      <c r="A1038" t="s">
        <v>3011</v>
      </c>
      <c r="B1038" s="1">
        <v>41967</v>
      </c>
      <c r="C1038" s="1">
        <v>41972</v>
      </c>
      <c r="D1038" t="s">
        <v>40</v>
      </c>
      <c r="E1038" t="s">
        <v>2376</v>
      </c>
      <c r="F1038" t="s">
        <v>2377</v>
      </c>
      <c r="G1038" t="s">
        <v>25</v>
      </c>
      <c r="H1038" t="s">
        <v>26</v>
      </c>
      <c r="I1038" t="s">
        <v>2532</v>
      </c>
      <c r="J1038" t="s">
        <v>232</v>
      </c>
      <c r="K1038" t="s">
        <v>68</v>
      </c>
      <c r="L1038" t="s">
        <v>272</v>
      </c>
      <c r="M1038" t="s">
        <v>31</v>
      </c>
      <c r="N1038" t="s">
        <v>57</v>
      </c>
      <c r="O1038" t="s">
        <v>273</v>
      </c>
      <c r="P1038">
        <v>35.167999999999999</v>
      </c>
      <c r="Q1038">
        <v>7</v>
      </c>
      <c r="R1038">
        <v>0.2</v>
      </c>
      <c r="S1038">
        <v>9.6712000000000007</v>
      </c>
      <c r="T1038" t="s">
        <v>59</v>
      </c>
      <c r="U1038" t="s">
        <v>35</v>
      </c>
    </row>
    <row r="1039" spans="1:21" x14ac:dyDescent="0.25">
      <c r="A1039" t="s">
        <v>3012</v>
      </c>
      <c r="B1039" s="1">
        <v>41958</v>
      </c>
      <c r="C1039" s="1">
        <v>41961</v>
      </c>
      <c r="D1039" t="s">
        <v>88</v>
      </c>
      <c r="E1039" t="s">
        <v>3013</v>
      </c>
      <c r="F1039" t="s">
        <v>3014</v>
      </c>
      <c r="G1039" t="s">
        <v>25</v>
      </c>
      <c r="H1039" t="s">
        <v>26</v>
      </c>
      <c r="I1039" t="s">
        <v>53</v>
      </c>
      <c r="J1039" t="s">
        <v>54</v>
      </c>
      <c r="K1039" t="s">
        <v>55</v>
      </c>
      <c r="L1039" t="s">
        <v>320</v>
      </c>
      <c r="M1039" t="s">
        <v>31</v>
      </c>
      <c r="N1039" t="s">
        <v>57</v>
      </c>
      <c r="O1039" t="s">
        <v>321</v>
      </c>
      <c r="P1039">
        <v>10.11</v>
      </c>
      <c r="Q1039">
        <v>3</v>
      </c>
      <c r="R1039">
        <v>0</v>
      </c>
      <c r="S1039">
        <v>3.2351999999999999</v>
      </c>
      <c r="T1039" t="s">
        <v>34</v>
      </c>
      <c r="U1039" t="s">
        <v>35</v>
      </c>
    </row>
    <row r="1040" spans="1:21" x14ac:dyDescent="0.25">
      <c r="A1040" t="s">
        <v>3015</v>
      </c>
      <c r="B1040" s="1">
        <v>42722</v>
      </c>
      <c r="C1040" s="1">
        <v>42728</v>
      </c>
      <c r="D1040" t="s">
        <v>40</v>
      </c>
      <c r="E1040" t="s">
        <v>538</v>
      </c>
      <c r="F1040" t="s">
        <v>539</v>
      </c>
      <c r="G1040" t="s">
        <v>25</v>
      </c>
      <c r="H1040" t="s">
        <v>26</v>
      </c>
      <c r="I1040" t="s">
        <v>640</v>
      </c>
      <c r="J1040" t="s">
        <v>54</v>
      </c>
      <c r="K1040" t="s">
        <v>55</v>
      </c>
      <c r="L1040" t="s">
        <v>2660</v>
      </c>
      <c r="M1040" t="s">
        <v>31</v>
      </c>
      <c r="N1040" t="s">
        <v>57</v>
      </c>
      <c r="O1040" t="s">
        <v>2661</v>
      </c>
      <c r="P1040">
        <v>39.92</v>
      </c>
      <c r="Q1040">
        <v>4</v>
      </c>
      <c r="R1040">
        <v>0</v>
      </c>
      <c r="S1040">
        <v>11.1776</v>
      </c>
      <c r="T1040" t="s">
        <v>130</v>
      </c>
      <c r="U1040" t="s">
        <v>97</v>
      </c>
    </row>
    <row r="1041" spans="1:21" x14ac:dyDescent="0.25">
      <c r="A1041" t="s">
        <v>3016</v>
      </c>
      <c r="B1041" s="1">
        <v>42945</v>
      </c>
      <c r="C1041" s="1">
        <v>42950</v>
      </c>
      <c r="D1041" t="s">
        <v>40</v>
      </c>
      <c r="E1041" t="s">
        <v>774</v>
      </c>
      <c r="F1041" t="s">
        <v>775</v>
      </c>
      <c r="G1041" t="s">
        <v>25</v>
      </c>
      <c r="H1041" t="s">
        <v>26</v>
      </c>
      <c r="I1041" t="s">
        <v>3017</v>
      </c>
      <c r="J1041" t="s">
        <v>1523</v>
      </c>
      <c r="K1041" t="s">
        <v>94</v>
      </c>
      <c r="L1041" t="s">
        <v>3018</v>
      </c>
      <c r="M1041" t="s">
        <v>31</v>
      </c>
      <c r="N1041" t="s">
        <v>37</v>
      </c>
      <c r="O1041" t="s">
        <v>3019</v>
      </c>
      <c r="P1041">
        <v>302.67</v>
      </c>
      <c r="Q1041">
        <v>3</v>
      </c>
      <c r="R1041">
        <v>0</v>
      </c>
      <c r="S1041">
        <v>72.640799999999999</v>
      </c>
      <c r="T1041" t="s">
        <v>59</v>
      </c>
      <c r="U1041" t="s">
        <v>72</v>
      </c>
    </row>
    <row r="1042" spans="1:21" x14ac:dyDescent="0.25">
      <c r="A1042" t="s">
        <v>3020</v>
      </c>
      <c r="B1042" s="1">
        <v>42730</v>
      </c>
      <c r="C1042" s="1">
        <v>42737</v>
      </c>
      <c r="D1042" t="s">
        <v>40</v>
      </c>
      <c r="E1042" t="s">
        <v>1936</v>
      </c>
      <c r="F1042" t="s">
        <v>1937</v>
      </c>
      <c r="G1042" t="s">
        <v>91</v>
      </c>
      <c r="H1042" t="s">
        <v>26</v>
      </c>
      <c r="I1042" t="s">
        <v>1296</v>
      </c>
      <c r="J1042" t="s">
        <v>363</v>
      </c>
      <c r="K1042" t="s">
        <v>68</v>
      </c>
      <c r="L1042" t="s">
        <v>122</v>
      </c>
      <c r="M1042" t="s">
        <v>31</v>
      </c>
      <c r="N1042" t="s">
        <v>37</v>
      </c>
      <c r="O1042" t="s">
        <v>123</v>
      </c>
      <c r="P1042">
        <v>212.94</v>
      </c>
      <c r="Q1042">
        <v>3</v>
      </c>
      <c r="R1042">
        <v>0</v>
      </c>
      <c r="S1042">
        <v>25.552800000000001</v>
      </c>
      <c r="T1042" t="s">
        <v>48</v>
      </c>
      <c r="U1042" t="s">
        <v>97</v>
      </c>
    </row>
    <row r="1043" spans="1:21" x14ac:dyDescent="0.25">
      <c r="A1043" t="s">
        <v>3021</v>
      </c>
      <c r="B1043" s="1">
        <v>42225</v>
      </c>
      <c r="C1043" s="1">
        <v>42229</v>
      </c>
      <c r="D1043" t="s">
        <v>22</v>
      </c>
      <c r="E1043" t="s">
        <v>3022</v>
      </c>
      <c r="F1043" t="s">
        <v>3023</v>
      </c>
      <c r="G1043" t="s">
        <v>101</v>
      </c>
      <c r="H1043" t="s">
        <v>26</v>
      </c>
      <c r="I1043" t="s">
        <v>906</v>
      </c>
      <c r="J1043" t="s">
        <v>239</v>
      </c>
      <c r="K1043" t="s">
        <v>94</v>
      </c>
      <c r="L1043" t="s">
        <v>2805</v>
      </c>
      <c r="M1043" t="s">
        <v>31</v>
      </c>
      <c r="N1043" t="s">
        <v>32</v>
      </c>
      <c r="O1043" t="s">
        <v>2806</v>
      </c>
      <c r="P1043">
        <v>687.4</v>
      </c>
      <c r="Q1043">
        <v>5</v>
      </c>
      <c r="R1043">
        <v>0</v>
      </c>
      <c r="S1043">
        <v>48.118000000000002</v>
      </c>
      <c r="T1043" t="s">
        <v>84</v>
      </c>
      <c r="U1043" t="s">
        <v>254</v>
      </c>
    </row>
    <row r="1044" spans="1:21" x14ac:dyDescent="0.25">
      <c r="A1044" t="s">
        <v>3024</v>
      </c>
      <c r="B1044" s="1">
        <v>41735</v>
      </c>
      <c r="C1044" s="1">
        <v>41741</v>
      </c>
      <c r="D1044" t="s">
        <v>40</v>
      </c>
      <c r="E1044" t="s">
        <v>1839</v>
      </c>
      <c r="F1044" t="s">
        <v>1840</v>
      </c>
      <c r="G1044" t="s">
        <v>91</v>
      </c>
      <c r="H1044" t="s">
        <v>26</v>
      </c>
      <c r="I1044" t="s">
        <v>192</v>
      </c>
      <c r="J1044" t="s">
        <v>193</v>
      </c>
      <c r="K1044" t="s">
        <v>55</v>
      </c>
      <c r="L1044" t="s">
        <v>700</v>
      </c>
      <c r="M1044" t="s">
        <v>31</v>
      </c>
      <c r="N1044" t="s">
        <v>46</v>
      </c>
      <c r="O1044" t="s">
        <v>701</v>
      </c>
      <c r="P1044">
        <v>653.54999999999995</v>
      </c>
      <c r="Q1044">
        <v>3</v>
      </c>
      <c r="R1044">
        <v>0</v>
      </c>
      <c r="S1044">
        <v>111.1035</v>
      </c>
      <c r="T1044" t="s">
        <v>130</v>
      </c>
      <c r="U1044" t="s">
        <v>114</v>
      </c>
    </row>
    <row r="1045" spans="1:21" x14ac:dyDescent="0.25">
      <c r="A1045" t="s">
        <v>3025</v>
      </c>
      <c r="B1045" s="1">
        <v>42196</v>
      </c>
      <c r="C1045" s="1">
        <v>42197</v>
      </c>
      <c r="D1045" t="s">
        <v>88</v>
      </c>
      <c r="E1045" t="s">
        <v>1318</v>
      </c>
      <c r="F1045" t="s">
        <v>1319</v>
      </c>
      <c r="G1045" t="s">
        <v>91</v>
      </c>
      <c r="H1045" t="s">
        <v>26</v>
      </c>
      <c r="I1045" t="s">
        <v>200</v>
      </c>
      <c r="J1045" t="s">
        <v>201</v>
      </c>
      <c r="K1045" t="s">
        <v>68</v>
      </c>
      <c r="L1045" t="s">
        <v>908</v>
      </c>
      <c r="M1045" t="s">
        <v>31</v>
      </c>
      <c r="N1045" t="s">
        <v>46</v>
      </c>
      <c r="O1045" t="s">
        <v>909</v>
      </c>
      <c r="P1045">
        <v>199.83600000000001</v>
      </c>
      <c r="Q1045">
        <v>4</v>
      </c>
      <c r="R1045">
        <v>0.3</v>
      </c>
      <c r="S1045">
        <v>-37.112400000000001</v>
      </c>
      <c r="T1045" t="s">
        <v>124</v>
      </c>
      <c r="U1045" t="s">
        <v>72</v>
      </c>
    </row>
    <row r="1046" spans="1:21" x14ac:dyDescent="0.25">
      <c r="A1046" t="s">
        <v>3026</v>
      </c>
      <c r="B1046" s="1">
        <v>42684</v>
      </c>
      <c r="C1046" s="1">
        <v>42687</v>
      </c>
      <c r="D1046" t="s">
        <v>22</v>
      </c>
      <c r="E1046" t="s">
        <v>1335</v>
      </c>
      <c r="F1046" t="s">
        <v>1336</v>
      </c>
      <c r="G1046" t="s">
        <v>25</v>
      </c>
      <c r="H1046" t="s">
        <v>26</v>
      </c>
      <c r="I1046" t="s">
        <v>53</v>
      </c>
      <c r="J1046" t="s">
        <v>54</v>
      </c>
      <c r="K1046" t="s">
        <v>55</v>
      </c>
      <c r="L1046" t="s">
        <v>880</v>
      </c>
      <c r="M1046" t="s">
        <v>31</v>
      </c>
      <c r="N1046" t="s">
        <v>57</v>
      </c>
      <c r="O1046" t="s">
        <v>881</v>
      </c>
      <c r="P1046">
        <v>467.46</v>
      </c>
      <c r="Q1046">
        <v>9</v>
      </c>
      <c r="R1046">
        <v>0</v>
      </c>
      <c r="S1046">
        <v>191.65860000000001</v>
      </c>
      <c r="T1046" t="s">
        <v>34</v>
      </c>
      <c r="U1046" t="s">
        <v>35</v>
      </c>
    </row>
    <row r="1047" spans="1:21" x14ac:dyDescent="0.25">
      <c r="A1047" t="s">
        <v>3027</v>
      </c>
      <c r="B1047" s="1">
        <v>42007</v>
      </c>
      <c r="C1047" s="1">
        <v>42012</v>
      </c>
      <c r="D1047" t="s">
        <v>22</v>
      </c>
      <c r="E1047" t="s">
        <v>3028</v>
      </c>
      <c r="F1047" t="s">
        <v>3029</v>
      </c>
      <c r="G1047" t="s">
        <v>25</v>
      </c>
      <c r="H1047" t="s">
        <v>26</v>
      </c>
      <c r="I1047" t="s">
        <v>1740</v>
      </c>
      <c r="J1047" t="s">
        <v>93</v>
      </c>
      <c r="K1047" t="s">
        <v>94</v>
      </c>
      <c r="L1047" t="s">
        <v>737</v>
      </c>
      <c r="M1047" t="s">
        <v>31</v>
      </c>
      <c r="N1047" t="s">
        <v>32</v>
      </c>
      <c r="O1047" t="s">
        <v>738</v>
      </c>
      <c r="P1047">
        <v>1352.3976</v>
      </c>
      <c r="Q1047">
        <v>9</v>
      </c>
      <c r="R1047">
        <v>0.32</v>
      </c>
      <c r="S1047">
        <v>-437.54039999999998</v>
      </c>
      <c r="T1047" t="s">
        <v>59</v>
      </c>
      <c r="U1047" t="s">
        <v>170</v>
      </c>
    </row>
    <row r="1048" spans="1:21" x14ac:dyDescent="0.25">
      <c r="A1048" t="s">
        <v>3030</v>
      </c>
      <c r="B1048" s="1">
        <v>42132</v>
      </c>
      <c r="C1048" s="1">
        <v>42136</v>
      </c>
      <c r="D1048" t="s">
        <v>40</v>
      </c>
      <c r="E1048" t="s">
        <v>934</v>
      </c>
      <c r="F1048" t="s">
        <v>935</v>
      </c>
      <c r="G1048" t="s">
        <v>25</v>
      </c>
      <c r="H1048" t="s">
        <v>26</v>
      </c>
      <c r="I1048" t="s">
        <v>166</v>
      </c>
      <c r="J1048" t="s">
        <v>167</v>
      </c>
      <c r="K1048" t="s">
        <v>94</v>
      </c>
      <c r="L1048" t="s">
        <v>597</v>
      </c>
      <c r="M1048" t="s">
        <v>31</v>
      </c>
      <c r="N1048" t="s">
        <v>57</v>
      </c>
      <c r="O1048" t="s">
        <v>598</v>
      </c>
      <c r="P1048">
        <v>123.96</v>
      </c>
      <c r="Q1048">
        <v>3</v>
      </c>
      <c r="R1048">
        <v>0</v>
      </c>
      <c r="S1048">
        <v>11.1564</v>
      </c>
      <c r="T1048" t="s">
        <v>84</v>
      </c>
      <c r="U1048" t="s">
        <v>162</v>
      </c>
    </row>
    <row r="1049" spans="1:21" x14ac:dyDescent="0.25">
      <c r="A1049" t="s">
        <v>3031</v>
      </c>
      <c r="B1049" s="1">
        <v>43069</v>
      </c>
      <c r="C1049" s="1">
        <v>43076</v>
      </c>
      <c r="D1049" t="s">
        <v>40</v>
      </c>
      <c r="E1049" t="s">
        <v>2137</v>
      </c>
      <c r="F1049" t="s">
        <v>2138</v>
      </c>
      <c r="G1049" t="s">
        <v>25</v>
      </c>
      <c r="H1049" t="s">
        <v>26</v>
      </c>
      <c r="I1049" t="s">
        <v>3032</v>
      </c>
      <c r="J1049" t="s">
        <v>1037</v>
      </c>
      <c r="K1049" t="s">
        <v>29</v>
      </c>
      <c r="L1049" t="s">
        <v>522</v>
      </c>
      <c r="M1049" t="s">
        <v>31</v>
      </c>
      <c r="N1049" t="s">
        <v>46</v>
      </c>
      <c r="O1049" t="s">
        <v>523</v>
      </c>
      <c r="P1049">
        <v>1781.682</v>
      </c>
      <c r="Q1049">
        <v>7</v>
      </c>
      <c r="R1049">
        <v>0.4</v>
      </c>
      <c r="S1049">
        <v>-653.28340000000003</v>
      </c>
      <c r="T1049" t="s">
        <v>48</v>
      </c>
      <c r="U1049" t="s">
        <v>35</v>
      </c>
    </row>
    <row r="1050" spans="1:21" x14ac:dyDescent="0.25">
      <c r="A1050" t="s">
        <v>3033</v>
      </c>
      <c r="B1050" s="1">
        <v>41859</v>
      </c>
      <c r="C1050" s="1">
        <v>41863</v>
      </c>
      <c r="D1050" t="s">
        <v>40</v>
      </c>
      <c r="E1050" t="s">
        <v>3034</v>
      </c>
      <c r="F1050" t="s">
        <v>3035</v>
      </c>
      <c r="G1050" t="s">
        <v>101</v>
      </c>
      <c r="H1050" t="s">
        <v>26</v>
      </c>
      <c r="I1050" t="s">
        <v>776</v>
      </c>
      <c r="J1050" t="s">
        <v>290</v>
      </c>
      <c r="K1050" t="s">
        <v>94</v>
      </c>
      <c r="L1050" t="s">
        <v>1452</v>
      </c>
      <c r="M1050" t="s">
        <v>31</v>
      </c>
      <c r="N1050" t="s">
        <v>57</v>
      </c>
      <c r="O1050" t="s">
        <v>1453</v>
      </c>
      <c r="P1050">
        <v>53.88</v>
      </c>
      <c r="Q1050">
        <v>6</v>
      </c>
      <c r="R1050">
        <v>0</v>
      </c>
      <c r="S1050">
        <v>22.6296</v>
      </c>
      <c r="T1050" t="s">
        <v>84</v>
      </c>
      <c r="U1050" t="s">
        <v>254</v>
      </c>
    </row>
    <row r="1051" spans="1:21" x14ac:dyDescent="0.25">
      <c r="A1051" t="s">
        <v>3036</v>
      </c>
      <c r="B1051" s="1">
        <v>41749</v>
      </c>
      <c r="C1051" s="1">
        <v>41751</v>
      </c>
      <c r="D1051" t="s">
        <v>22</v>
      </c>
      <c r="E1051" t="s">
        <v>740</v>
      </c>
      <c r="F1051" t="s">
        <v>741</v>
      </c>
      <c r="G1051" t="s">
        <v>25</v>
      </c>
      <c r="H1051" t="s">
        <v>26</v>
      </c>
      <c r="I1051" t="s">
        <v>102</v>
      </c>
      <c r="J1051" t="s">
        <v>93</v>
      </c>
      <c r="K1051" t="s">
        <v>94</v>
      </c>
      <c r="L1051" t="s">
        <v>305</v>
      </c>
      <c r="M1051" t="s">
        <v>31</v>
      </c>
      <c r="N1051" t="s">
        <v>46</v>
      </c>
      <c r="O1051" t="s">
        <v>306</v>
      </c>
      <c r="P1051">
        <v>744.1</v>
      </c>
      <c r="Q1051">
        <v>5</v>
      </c>
      <c r="R1051">
        <v>0.3</v>
      </c>
      <c r="S1051">
        <v>-95.67</v>
      </c>
      <c r="T1051" t="s">
        <v>71</v>
      </c>
      <c r="U1051" t="s">
        <v>114</v>
      </c>
    </row>
    <row r="1052" spans="1:21" x14ac:dyDescent="0.25">
      <c r="A1052" t="s">
        <v>3036</v>
      </c>
      <c r="B1052" s="1">
        <v>41749</v>
      </c>
      <c r="C1052" s="1">
        <v>41751</v>
      </c>
      <c r="D1052" t="s">
        <v>22</v>
      </c>
      <c r="E1052" t="s">
        <v>740</v>
      </c>
      <c r="F1052" t="s">
        <v>741</v>
      </c>
      <c r="G1052" t="s">
        <v>25</v>
      </c>
      <c r="H1052" t="s">
        <v>26</v>
      </c>
      <c r="I1052" t="s">
        <v>102</v>
      </c>
      <c r="J1052" t="s">
        <v>93</v>
      </c>
      <c r="K1052" t="s">
        <v>94</v>
      </c>
      <c r="L1052" t="s">
        <v>2832</v>
      </c>
      <c r="M1052" t="s">
        <v>31</v>
      </c>
      <c r="N1052" t="s">
        <v>46</v>
      </c>
      <c r="O1052" t="s">
        <v>2833</v>
      </c>
      <c r="P1052">
        <v>401.59</v>
      </c>
      <c r="Q1052">
        <v>2</v>
      </c>
      <c r="R1052">
        <v>0.3</v>
      </c>
      <c r="S1052">
        <v>-131.95099999999999</v>
      </c>
      <c r="T1052" t="s">
        <v>71</v>
      </c>
      <c r="U1052" t="s">
        <v>114</v>
      </c>
    </row>
    <row r="1053" spans="1:21" x14ac:dyDescent="0.25">
      <c r="A1053" t="s">
        <v>3037</v>
      </c>
      <c r="B1053" s="1">
        <v>43064</v>
      </c>
      <c r="C1053" s="1">
        <v>43068</v>
      </c>
      <c r="D1053" t="s">
        <v>40</v>
      </c>
      <c r="E1053" t="s">
        <v>3038</v>
      </c>
      <c r="F1053" t="s">
        <v>3039</v>
      </c>
      <c r="G1053" t="s">
        <v>25</v>
      </c>
      <c r="H1053" t="s">
        <v>26</v>
      </c>
      <c r="I1053" t="s">
        <v>329</v>
      </c>
      <c r="J1053" t="s">
        <v>54</v>
      </c>
      <c r="K1053" t="s">
        <v>55</v>
      </c>
      <c r="L1053" t="s">
        <v>1696</v>
      </c>
      <c r="M1053" t="s">
        <v>31</v>
      </c>
      <c r="N1053" t="s">
        <v>32</v>
      </c>
      <c r="O1053" t="s">
        <v>1915</v>
      </c>
      <c r="P1053">
        <v>359.49900000000002</v>
      </c>
      <c r="Q1053">
        <v>3</v>
      </c>
      <c r="R1053">
        <v>0.15</v>
      </c>
      <c r="S1053">
        <v>-29.605799999999999</v>
      </c>
      <c r="T1053" t="s">
        <v>84</v>
      </c>
      <c r="U1053" t="s">
        <v>35</v>
      </c>
    </row>
    <row r="1054" spans="1:21" x14ac:dyDescent="0.25">
      <c r="A1054" t="s">
        <v>3040</v>
      </c>
      <c r="B1054" s="1">
        <v>41979</v>
      </c>
      <c r="C1054" s="1">
        <v>41983</v>
      </c>
      <c r="D1054" t="s">
        <v>40</v>
      </c>
      <c r="E1054" t="s">
        <v>2150</v>
      </c>
      <c r="F1054" t="s">
        <v>2151</v>
      </c>
      <c r="G1054" t="s">
        <v>25</v>
      </c>
      <c r="H1054" t="s">
        <v>26</v>
      </c>
      <c r="I1054" t="s">
        <v>134</v>
      </c>
      <c r="J1054" t="s">
        <v>135</v>
      </c>
      <c r="K1054" t="s">
        <v>94</v>
      </c>
      <c r="L1054" t="s">
        <v>1063</v>
      </c>
      <c r="M1054" t="s">
        <v>31</v>
      </c>
      <c r="N1054" t="s">
        <v>46</v>
      </c>
      <c r="O1054" t="s">
        <v>1064</v>
      </c>
      <c r="P1054">
        <v>214.95</v>
      </c>
      <c r="Q1054">
        <v>5</v>
      </c>
      <c r="R1054">
        <v>0.5</v>
      </c>
      <c r="S1054">
        <v>-120.372</v>
      </c>
      <c r="T1054" t="s">
        <v>84</v>
      </c>
      <c r="U1054" t="s">
        <v>97</v>
      </c>
    </row>
    <row r="1055" spans="1:21" x14ac:dyDescent="0.25">
      <c r="A1055" t="s">
        <v>3040</v>
      </c>
      <c r="B1055" s="1">
        <v>41979</v>
      </c>
      <c r="C1055" s="1">
        <v>41983</v>
      </c>
      <c r="D1055" t="s">
        <v>40</v>
      </c>
      <c r="E1055" t="s">
        <v>2150</v>
      </c>
      <c r="F1055" t="s">
        <v>2151</v>
      </c>
      <c r="G1055" t="s">
        <v>25</v>
      </c>
      <c r="H1055" t="s">
        <v>26</v>
      </c>
      <c r="I1055" t="s">
        <v>134</v>
      </c>
      <c r="J1055" t="s">
        <v>135</v>
      </c>
      <c r="K1055" t="s">
        <v>94</v>
      </c>
      <c r="L1055" t="s">
        <v>1452</v>
      </c>
      <c r="M1055" t="s">
        <v>31</v>
      </c>
      <c r="N1055" t="s">
        <v>57</v>
      </c>
      <c r="O1055" t="s">
        <v>1453</v>
      </c>
      <c r="P1055">
        <v>10.776</v>
      </c>
      <c r="Q1055">
        <v>3</v>
      </c>
      <c r="R1055">
        <v>0.6</v>
      </c>
      <c r="S1055">
        <v>-4.8491999999999997</v>
      </c>
      <c r="T1055" t="s">
        <v>84</v>
      </c>
      <c r="U1055" t="s">
        <v>97</v>
      </c>
    </row>
    <row r="1056" spans="1:21" x14ac:dyDescent="0.25">
      <c r="A1056" t="s">
        <v>3041</v>
      </c>
      <c r="B1056" s="1">
        <v>41987</v>
      </c>
      <c r="C1056" s="1">
        <v>41993</v>
      </c>
      <c r="D1056" t="s">
        <v>40</v>
      </c>
      <c r="E1056" t="s">
        <v>809</v>
      </c>
      <c r="F1056" t="s">
        <v>810</v>
      </c>
      <c r="G1056" t="s">
        <v>25</v>
      </c>
      <c r="H1056" t="s">
        <v>26</v>
      </c>
      <c r="I1056" t="s">
        <v>3042</v>
      </c>
      <c r="J1056" t="s">
        <v>44</v>
      </c>
      <c r="K1056" t="s">
        <v>29</v>
      </c>
      <c r="L1056" t="s">
        <v>1893</v>
      </c>
      <c r="M1056" t="s">
        <v>31</v>
      </c>
      <c r="N1056" t="s">
        <v>37</v>
      </c>
      <c r="O1056" t="s">
        <v>1894</v>
      </c>
      <c r="P1056">
        <v>186.304</v>
      </c>
      <c r="Q1056">
        <v>4</v>
      </c>
      <c r="R1056">
        <v>0.2</v>
      </c>
      <c r="S1056">
        <v>13.972799999999999</v>
      </c>
      <c r="T1056" t="s">
        <v>130</v>
      </c>
      <c r="U1056" t="s">
        <v>97</v>
      </c>
    </row>
    <row r="1057" spans="1:21" x14ac:dyDescent="0.25">
      <c r="A1057" t="s">
        <v>3043</v>
      </c>
      <c r="B1057" s="1">
        <v>42321</v>
      </c>
      <c r="C1057" s="1">
        <v>42321</v>
      </c>
      <c r="D1057" t="s">
        <v>426</v>
      </c>
      <c r="E1057" t="s">
        <v>2909</v>
      </c>
      <c r="F1057" t="s">
        <v>2910</v>
      </c>
      <c r="G1057" t="s">
        <v>25</v>
      </c>
      <c r="H1057" t="s">
        <v>26</v>
      </c>
      <c r="I1057" t="s">
        <v>134</v>
      </c>
      <c r="J1057" t="s">
        <v>135</v>
      </c>
      <c r="K1057" t="s">
        <v>94</v>
      </c>
      <c r="L1057" t="s">
        <v>3044</v>
      </c>
      <c r="M1057" t="s">
        <v>31</v>
      </c>
      <c r="N1057" t="s">
        <v>57</v>
      </c>
      <c r="O1057" t="s">
        <v>3045</v>
      </c>
      <c r="P1057">
        <v>17.495999999999999</v>
      </c>
      <c r="Q1057">
        <v>9</v>
      </c>
      <c r="R1057">
        <v>0.6</v>
      </c>
      <c r="S1057">
        <v>-7.4358000000000004</v>
      </c>
      <c r="T1057" t="s">
        <v>431</v>
      </c>
      <c r="U1057" t="s">
        <v>35</v>
      </c>
    </row>
    <row r="1058" spans="1:21" x14ac:dyDescent="0.25">
      <c r="A1058" t="s">
        <v>3046</v>
      </c>
      <c r="B1058" s="1">
        <v>41896</v>
      </c>
      <c r="C1058" s="1">
        <v>41896</v>
      </c>
      <c r="D1058" t="s">
        <v>426</v>
      </c>
      <c r="E1058" t="s">
        <v>2117</v>
      </c>
      <c r="F1058" t="s">
        <v>2118</v>
      </c>
      <c r="G1058" t="s">
        <v>25</v>
      </c>
      <c r="H1058" t="s">
        <v>26</v>
      </c>
      <c r="I1058" t="s">
        <v>174</v>
      </c>
      <c r="J1058" t="s">
        <v>121</v>
      </c>
      <c r="K1058" t="s">
        <v>68</v>
      </c>
      <c r="L1058" t="s">
        <v>1260</v>
      </c>
      <c r="M1058" t="s">
        <v>31</v>
      </c>
      <c r="N1058" t="s">
        <v>46</v>
      </c>
      <c r="O1058" t="s">
        <v>1064</v>
      </c>
      <c r="P1058">
        <v>464.29199999999997</v>
      </c>
      <c r="Q1058">
        <v>9</v>
      </c>
      <c r="R1058">
        <v>0.4</v>
      </c>
      <c r="S1058">
        <v>-108.3348</v>
      </c>
      <c r="T1058" t="s">
        <v>431</v>
      </c>
      <c r="U1058" t="s">
        <v>78</v>
      </c>
    </row>
    <row r="1059" spans="1:21" x14ac:dyDescent="0.25">
      <c r="A1059" t="s">
        <v>3047</v>
      </c>
      <c r="B1059" s="1">
        <v>43098</v>
      </c>
      <c r="C1059" s="1">
        <v>43105</v>
      </c>
      <c r="D1059" t="s">
        <v>40</v>
      </c>
      <c r="E1059" t="s">
        <v>377</v>
      </c>
      <c r="F1059" t="s">
        <v>378</v>
      </c>
      <c r="G1059" t="s">
        <v>91</v>
      </c>
      <c r="H1059" t="s">
        <v>26</v>
      </c>
      <c r="I1059" t="s">
        <v>3048</v>
      </c>
      <c r="J1059" t="s">
        <v>54</v>
      </c>
      <c r="K1059" t="s">
        <v>55</v>
      </c>
      <c r="L1059" t="s">
        <v>1835</v>
      </c>
      <c r="M1059" t="s">
        <v>31</v>
      </c>
      <c r="N1059" t="s">
        <v>57</v>
      </c>
      <c r="O1059" t="s">
        <v>1836</v>
      </c>
      <c r="P1059">
        <v>101.12</v>
      </c>
      <c r="Q1059">
        <v>8</v>
      </c>
      <c r="R1059">
        <v>0</v>
      </c>
      <c r="S1059">
        <v>37.414400000000001</v>
      </c>
      <c r="T1059" t="s">
        <v>48</v>
      </c>
      <c r="U1059" t="s">
        <v>97</v>
      </c>
    </row>
    <row r="1060" spans="1:21" x14ac:dyDescent="0.25">
      <c r="A1060" t="s">
        <v>3049</v>
      </c>
      <c r="B1060" s="1">
        <v>42687</v>
      </c>
      <c r="C1060" s="1">
        <v>42691</v>
      </c>
      <c r="D1060" t="s">
        <v>40</v>
      </c>
      <c r="E1060" t="s">
        <v>3050</v>
      </c>
      <c r="F1060" t="s">
        <v>3051</v>
      </c>
      <c r="G1060" t="s">
        <v>91</v>
      </c>
      <c r="H1060" t="s">
        <v>26</v>
      </c>
      <c r="I1060" t="s">
        <v>3017</v>
      </c>
      <c r="J1060" t="s">
        <v>1523</v>
      </c>
      <c r="K1060" t="s">
        <v>94</v>
      </c>
      <c r="L1060" t="s">
        <v>695</v>
      </c>
      <c r="M1060" t="s">
        <v>31</v>
      </c>
      <c r="N1060" t="s">
        <v>57</v>
      </c>
      <c r="O1060" t="s">
        <v>696</v>
      </c>
      <c r="P1060">
        <v>30.36</v>
      </c>
      <c r="Q1060">
        <v>4</v>
      </c>
      <c r="R1060">
        <v>0</v>
      </c>
      <c r="S1060">
        <v>13.0548</v>
      </c>
      <c r="T1060" t="s">
        <v>84</v>
      </c>
      <c r="U1060" t="s">
        <v>35</v>
      </c>
    </row>
    <row r="1061" spans="1:21" x14ac:dyDescent="0.25">
      <c r="A1061" t="s">
        <v>3052</v>
      </c>
      <c r="B1061" s="1">
        <v>42461</v>
      </c>
      <c r="C1061" s="1">
        <v>42465</v>
      </c>
      <c r="D1061" t="s">
        <v>40</v>
      </c>
      <c r="E1061" t="s">
        <v>3053</v>
      </c>
      <c r="F1061" t="s">
        <v>3054</v>
      </c>
      <c r="G1061" t="s">
        <v>25</v>
      </c>
      <c r="H1061" t="s">
        <v>26</v>
      </c>
      <c r="I1061" t="s">
        <v>174</v>
      </c>
      <c r="J1061" t="s">
        <v>121</v>
      </c>
      <c r="K1061" t="s">
        <v>68</v>
      </c>
      <c r="L1061" t="s">
        <v>36</v>
      </c>
      <c r="M1061" t="s">
        <v>31</v>
      </c>
      <c r="N1061" t="s">
        <v>37</v>
      </c>
      <c r="O1061" t="s">
        <v>38</v>
      </c>
      <c r="P1061">
        <v>1317.492</v>
      </c>
      <c r="Q1061">
        <v>6</v>
      </c>
      <c r="R1061">
        <v>0.1</v>
      </c>
      <c r="S1061">
        <v>292.77600000000001</v>
      </c>
      <c r="T1061" t="s">
        <v>84</v>
      </c>
      <c r="U1061" t="s">
        <v>114</v>
      </c>
    </row>
    <row r="1062" spans="1:21" x14ac:dyDescent="0.25">
      <c r="A1062" t="s">
        <v>3055</v>
      </c>
      <c r="B1062" s="1">
        <v>42768</v>
      </c>
      <c r="C1062" s="1">
        <v>42773</v>
      </c>
      <c r="D1062" t="s">
        <v>40</v>
      </c>
      <c r="E1062" t="s">
        <v>2809</v>
      </c>
      <c r="F1062" t="s">
        <v>2810</v>
      </c>
      <c r="G1062" t="s">
        <v>25</v>
      </c>
      <c r="H1062" t="s">
        <v>26</v>
      </c>
      <c r="I1062" t="s">
        <v>53</v>
      </c>
      <c r="J1062" t="s">
        <v>54</v>
      </c>
      <c r="K1062" t="s">
        <v>55</v>
      </c>
      <c r="L1062" t="s">
        <v>608</v>
      </c>
      <c r="M1062" t="s">
        <v>31</v>
      </c>
      <c r="N1062" t="s">
        <v>57</v>
      </c>
      <c r="O1062" t="s">
        <v>609</v>
      </c>
      <c r="P1062">
        <v>86.26</v>
      </c>
      <c r="Q1062">
        <v>2</v>
      </c>
      <c r="R1062">
        <v>0</v>
      </c>
      <c r="S1062">
        <v>29.328399999999998</v>
      </c>
      <c r="T1062" t="s">
        <v>59</v>
      </c>
      <c r="U1062" t="s">
        <v>298</v>
      </c>
    </row>
    <row r="1063" spans="1:21" x14ac:dyDescent="0.25">
      <c r="A1063" t="s">
        <v>3056</v>
      </c>
      <c r="B1063" s="1">
        <v>43093</v>
      </c>
      <c r="C1063" s="1">
        <v>43100</v>
      </c>
      <c r="D1063" t="s">
        <v>40</v>
      </c>
      <c r="E1063" t="s">
        <v>3057</v>
      </c>
      <c r="F1063" t="s">
        <v>3058</v>
      </c>
      <c r="G1063" t="s">
        <v>101</v>
      </c>
      <c r="H1063" t="s">
        <v>26</v>
      </c>
      <c r="I1063" t="s">
        <v>3059</v>
      </c>
      <c r="J1063" t="s">
        <v>521</v>
      </c>
      <c r="K1063" t="s">
        <v>55</v>
      </c>
      <c r="L1063" t="s">
        <v>2514</v>
      </c>
      <c r="M1063" t="s">
        <v>31</v>
      </c>
      <c r="N1063" t="s">
        <v>57</v>
      </c>
      <c r="O1063" t="s">
        <v>2515</v>
      </c>
      <c r="P1063">
        <v>8.5440000000000005</v>
      </c>
      <c r="Q1063">
        <v>4</v>
      </c>
      <c r="R1063">
        <v>0.2</v>
      </c>
      <c r="S1063">
        <v>1.9224000000000001</v>
      </c>
      <c r="T1063" t="s">
        <v>48</v>
      </c>
      <c r="U1063" t="s">
        <v>97</v>
      </c>
    </row>
    <row r="1064" spans="1:21" x14ac:dyDescent="0.25">
      <c r="A1064" t="s">
        <v>3056</v>
      </c>
      <c r="B1064" s="1">
        <v>43093</v>
      </c>
      <c r="C1064" s="1">
        <v>43100</v>
      </c>
      <c r="D1064" t="s">
        <v>40</v>
      </c>
      <c r="E1064" t="s">
        <v>3057</v>
      </c>
      <c r="F1064" t="s">
        <v>3058</v>
      </c>
      <c r="G1064" t="s">
        <v>101</v>
      </c>
      <c r="H1064" t="s">
        <v>26</v>
      </c>
      <c r="I1064" t="s">
        <v>3059</v>
      </c>
      <c r="J1064" t="s">
        <v>521</v>
      </c>
      <c r="K1064" t="s">
        <v>55</v>
      </c>
      <c r="L1064" t="s">
        <v>852</v>
      </c>
      <c r="M1064" t="s">
        <v>31</v>
      </c>
      <c r="N1064" t="s">
        <v>37</v>
      </c>
      <c r="O1064" t="s">
        <v>853</v>
      </c>
      <c r="P1064">
        <v>842.37599999999998</v>
      </c>
      <c r="Q1064">
        <v>3</v>
      </c>
      <c r="R1064">
        <v>0.2</v>
      </c>
      <c r="S1064">
        <v>105.297</v>
      </c>
      <c r="T1064" t="s">
        <v>48</v>
      </c>
      <c r="U1064" t="s">
        <v>97</v>
      </c>
    </row>
    <row r="1065" spans="1:21" x14ac:dyDescent="0.25">
      <c r="A1065" t="s">
        <v>3060</v>
      </c>
      <c r="B1065" s="1">
        <v>42223</v>
      </c>
      <c r="C1065" s="1">
        <v>42224</v>
      </c>
      <c r="D1065" t="s">
        <v>88</v>
      </c>
      <c r="E1065" t="s">
        <v>3061</v>
      </c>
      <c r="F1065" t="s">
        <v>3062</v>
      </c>
      <c r="G1065" t="s">
        <v>25</v>
      </c>
      <c r="H1065" t="s">
        <v>26</v>
      </c>
      <c r="I1065" t="s">
        <v>3063</v>
      </c>
      <c r="J1065" t="s">
        <v>566</v>
      </c>
      <c r="K1065" t="s">
        <v>94</v>
      </c>
      <c r="L1065" t="s">
        <v>2197</v>
      </c>
      <c r="M1065" t="s">
        <v>31</v>
      </c>
      <c r="N1065" t="s">
        <v>57</v>
      </c>
      <c r="O1065" t="s">
        <v>2198</v>
      </c>
      <c r="P1065">
        <v>212.94</v>
      </c>
      <c r="Q1065">
        <v>3</v>
      </c>
      <c r="R1065">
        <v>0</v>
      </c>
      <c r="S1065">
        <v>34.070399999999999</v>
      </c>
      <c r="T1065" t="s">
        <v>124</v>
      </c>
      <c r="U1065" t="s">
        <v>254</v>
      </c>
    </row>
    <row r="1066" spans="1:21" x14ac:dyDescent="0.25">
      <c r="A1066" t="s">
        <v>3064</v>
      </c>
      <c r="B1066" s="1">
        <v>42916</v>
      </c>
      <c r="C1066" s="1">
        <v>42920</v>
      </c>
      <c r="D1066" t="s">
        <v>22</v>
      </c>
      <c r="E1066" t="s">
        <v>2600</v>
      </c>
      <c r="F1066" t="s">
        <v>2601</v>
      </c>
      <c r="G1066" t="s">
        <v>101</v>
      </c>
      <c r="H1066" t="s">
        <v>26</v>
      </c>
      <c r="I1066" t="s">
        <v>134</v>
      </c>
      <c r="J1066" t="s">
        <v>135</v>
      </c>
      <c r="K1066" t="s">
        <v>94</v>
      </c>
      <c r="L1066" t="s">
        <v>2731</v>
      </c>
      <c r="M1066" t="s">
        <v>31</v>
      </c>
      <c r="N1066" t="s">
        <v>37</v>
      </c>
      <c r="O1066" t="s">
        <v>2732</v>
      </c>
      <c r="P1066">
        <v>569.05799999999999</v>
      </c>
      <c r="Q1066">
        <v>3</v>
      </c>
      <c r="R1066">
        <v>0.3</v>
      </c>
      <c r="S1066">
        <v>-178.8468</v>
      </c>
      <c r="T1066" t="s">
        <v>84</v>
      </c>
      <c r="U1066" t="s">
        <v>60</v>
      </c>
    </row>
    <row r="1067" spans="1:21" x14ac:dyDescent="0.25">
      <c r="A1067" t="s">
        <v>3064</v>
      </c>
      <c r="B1067" s="1">
        <v>42916</v>
      </c>
      <c r="C1067" s="1">
        <v>42920</v>
      </c>
      <c r="D1067" t="s">
        <v>22</v>
      </c>
      <c r="E1067" t="s">
        <v>2600</v>
      </c>
      <c r="F1067" t="s">
        <v>2601</v>
      </c>
      <c r="G1067" t="s">
        <v>101</v>
      </c>
      <c r="H1067" t="s">
        <v>26</v>
      </c>
      <c r="I1067" t="s">
        <v>134</v>
      </c>
      <c r="J1067" t="s">
        <v>135</v>
      </c>
      <c r="K1067" t="s">
        <v>94</v>
      </c>
      <c r="L1067" t="s">
        <v>168</v>
      </c>
      <c r="M1067" t="s">
        <v>31</v>
      </c>
      <c r="N1067" t="s">
        <v>57</v>
      </c>
      <c r="O1067" t="s">
        <v>169</v>
      </c>
      <c r="P1067">
        <v>14.224</v>
      </c>
      <c r="Q1067">
        <v>2</v>
      </c>
      <c r="R1067">
        <v>0.6</v>
      </c>
      <c r="S1067">
        <v>-10.3124</v>
      </c>
      <c r="T1067" t="s">
        <v>84</v>
      </c>
      <c r="U1067" t="s">
        <v>60</v>
      </c>
    </row>
    <row r="1068" spans="1:21" x14ac:dyDescent="0.25">
      <c r="A1068" t="s">
        <v>3065</v>
      </c>
      <c r="B1068" s="1">
        <v>41850</v>
      </c>
      <c r="C1068" s="1">
        <v>41856</v>
      </c>
      <c r="D1068" t="s">
        <v>40</v>
      </c>
      <c r="E1068" t="s">
        <v>3050</v>
      </c>
      <c r="F1068" t="s">
        <v>3051</v>
      </c>
      <c r="G1068" t="s">
        <v>91</v>
      </c>
      <c r="H1068" t="s">
        <v>26</v>
      </c>
      <c r="I1068" t="s">
        <v>192</v>
      </c>
      <c r="J1068" t="s">
        <v>193</v>
      </c>
      <c r="K1068" t="s">
        <v>55</v>
      </c>
      <c r="L1068" t="s">
        <v>2401</v>
      </c>
      <c r="M1068" t="s">
        <v>31</v>
      </c>
      <c r="N1068" t="s">
        <v>32</v>
      </c>
      <c r="O1068" t="s">
        <v>2402</v>
      </c>
      <c r="P1068">
        <v>1367.84</v>
      </c>
      <c r="Q1068">
        <v>8</v>
      </c>
      <c r="R1068">
        <v>0</v>
      </c>
      <c r="S1068">
        <v>259.88959999999997</v>
      </c>
      <c r="T1068" t="s">
        <v>130</v>
      </c>
      <c r="U1068" t="s">
        <v>72</v>
      </c>
    </row>
    <row r="1069" spans="1:21" x14ac:dyDescent="0.25">
      <c r="A1069" t="s">
        <v>3066</v>
      </c>
      <c r="B1069" s="1">
        <v>42692</v>
      </c>
      <c r="C1069" s="1">
        <v>42697</v>
      </c>
      <c r="D1069" t="s">
        <v>22</v>
      </c>
      <c r="E1069" t="s">
        <v>3067</v>
      </c>
      <c r="F1069" t="s">
        <v>3068</v>
      </c>
      <c r="G1069" t="s">
        <v>25</v>
      </c>
      <c r="H1069" t="s">
        <v>26</v>
      </c>
      <c r="I1069" t="s">
        <v>3069</v>
      </c>
      <c r="J1069" t="s">
        <v>290</v>
      </c>
      <c r="K1069" t="s">
        <v>94</v>
      </c>
      <c r="L1069" t="s">
        <v>160</v>
      </c>
      <c r="M1069" t="s">
        <v>31</v>
      </c>
      <c r="N1069" t="s">
        <v>37</v>
      </c>
      <c r="O1069" t="s">
        <v>161</v>
      </c>
      <c r="P1069">
        <v>301.95999999999998</v>
      </c>
      <c r="Q1069">
        <v>2</v>
      </c>
      <c r="R1069">
        <v>0</v>
      </c>
      <c r="S1069">
        <v>33.215600000000002</v>
      </c>
      <c r="T1069" t="s">
        <v>59</v>
      </c>
      <c r="U1069" t="s">
        <v>35</v>
      </c>
    </row>
    <row r="1070" spans="1:21" x14ac:dyDescent="0.25">
      <c r="A1070" t="s">
        <v>3070</v>
      </c>
      <c r="B1070" s="1">
        <v>42191</v>
      </c>
      <c r="C1070" s="1">
        <v>42196</v>
      </c>
      <c r="D1070" t="s">
        <v>40</v>
      </c>
      <c r="E1070" t="s">
        <v>2360</v>
      </c>
      <c r="F1070" t="s">
        <v>2361</v>
      </c>
      <c r="G1070" t="s">
        <v>25</v>
      </c>
      <c r="H1070" t="s">
        <v>26</v>
      </c>
      <c r="I1070" t="s">
        <v>1186</v>
      </c>
      <c r="J1070" t="s">
        <v>54</v>
      </c>
      <c r="K1070" t="s">
        <v>55</v>
      </c>
      <c r="L1070" t="s">
        <v>122</v>
      </c>
      <c r="M1070" t="s">
        <v>31</v>
      </c>
      <c r="N1070" t="s">
        <v>37</v>
      </c>
      <c r="O1070" t="s">
        <v>123</v>
      </c>
      <c r="P1070">
        <v>170.352</v>
      </c>
      <c r="Q1070">
        <v>3</v>
      </c>
      <c r="R1070">
        <v>0.2</v>
      </c>
      <c r="S1070">
        <v>-17.0352</v>
      </c>
      <c r="T1070" t="s">
        <v>59</v>
      </c>
      <c r="U1070" t="s">
        <v>72</v>
      </c>
    </row>
    <row r="1071" spans="1:21" x14ac:dyDescent="0.25">
      <c r="A1071" t="s">
        <v>3071</v>
      </c>
      <c r="B1071" s="1">
        <v>41953</v>
      </c>
      <c r="C1071" s="1">
        <v>41959</v>
      </c>
      <c r="D1071" t="s">
        <v>40</v>
      </c>
      <c r="E1071" t="s">
        <v>2477</v>
      </c>
      <c r="F1071" t="s">
        <v>2478</v>
      </c>
      <c r="G1071" t="s">
        <v>25</v>
      </c>
      <c r="H1071" t="s">
        <v>26</v>
      </c>
      <c r="I1071" t="s">
        <v>3072</v>
      </c>
      <c r="J1071" t="s">
        <v>290</v>
      </c>
      <c r="K1071" t="s">
        <v>94</v>
      </c>
      <c r="L1071" t="s">
        <v>626</v>
      </c>
      <c r="M1071" t="s">
        <v>31</v>
      </c>
      <c r="N1071" t="s">
        <v>37</v>
      </c>
      <c r="O1071" t="s">
        <v>627</v>
      </c>
      <c r="P1071">
        <v>563.94000000000005</v>
      </c>
      <c r="Q1071">
        <v>3</v>
      </c>
      <c r="R1071">
        <v>0</v>
      </c>
      <c r="S1071">
        <v>112.788</v>
      </c>
      <c r="T1071" t="s">
        <v>130</v>
      </c>
      <c r="U1071" t="s">
        <v>35</v>
      </c>
    </row>
    <row r="1072" spans="1:21" x14ac:dyDescent="0.25">
      <c r="A1072" t="s">
        <v>3073</v>
      </c>
      <c r="B1072" s="1">
        <v>42517</v>
      </c>
      <c r="C1072" s="1">
        <v>42519</v>
      </c>
      <c r="D1072" t="s">
        <v>22</v>
      </c>
      <c r="E1072" t="s">
        <v>985</v>
      </c>
      <c r="F1072" t="s">
        <v>986</v>
      </c>
      <c r="G1072" t="s">
        <v>91</v>
      </c>
      <c r="H1072" t="s">
        <v>26</v>
      </c>
      <c r="I1072" t="s">
        <v>289</v>
      </c>
      <c r="J1072" t="s">
        <v>290</v>
      </c>
      <c r="K1072" t="s">
        <v>94</v>
      </c>
      <c r="L1072" t="s">
        <v>602</v>
      </c>
      <c r="M1072" t="s">
        <v>31</v>
      </c>
      <c r="N1072" t="s">
        <v>37</v>
      </c>
      <c r="O1072" t="s">
        <v>603</v>
      </c>
      <c r="P1072">
        <v>3504.9</v>
      </c>
      <c r="Q1072">
        <v>5</v>
      </c>
      <c r="R1072">
        <v>0</v>
      </c>
      <c r="S1072">
        <v>700.98</v>
      </c>
      <c r="T1072" t="s">
        <v>71</v>
      </c>
      <c r="U1072" t="s">
        <v>162</v>
      </c>
    </row>
    <row r="1073" spans="1:21" x14ac:dyDescent="0.25">
      <c r="A1073" t="s">
        <v>3074</v>
      </c>
      <c r="B1073" s="1">
        <v>43027</v>
      </c>
      <c r="C1073" s="1">
        <v>43032</v>
      </c>
      <c r="D1073" t="s">
        <v>40</v>
      </c>
      <c r="E1073" t="s">
        <v>1232</v>
      </c>
      <c r="F1073" t="s">
        <v>1233</v>
      </c>
      <c r="G1073" t="s">
        <v>25</v>
      </c>
      <c r="H1073" t="s">
        <v>26</v>
      </c>
      <c r="I1073" t="s">
        <v>3075</v>
      </c>
      <c r="J1073" t="s">
        <v>93</v>
      </c>
      <c r="K1073" t="s">
        <v>94</v>
      </c>
      <c r="L1073" t="s">
        <v>2721</v>
      </c>
      <c r="M1073" t="s">
        <v>31</v>
      </c>
      <c r="N1073" t="s">
        <v>32</v>
      </c>
      <c r="O1073" t="s">
        <v>2722</v>
      </c>
      <c r="P1073">
        <v>328.39920000000001</v>
      </c>
      <c r="Q1073">
        <v>3</v>
      </c>
      <c r="R1073">
        <v>0.32</v>
      </c>
      <c r="S1073">
        <v>-91.758600000000001</v>
      </c>
      <c r="T1073" t="s">
        <v>59</v>
      </c>
      <c r="U1073" t="s">
        <v>49</v>
      </c>
    </row>
    <row r="1074" spans="1:21" x14ac:dyDescent="0.25">
      <c r="A1074" t="s">
        <v>3076</v>
      </c>
      <c r="B1074" s="1">
        <v>42107</v>
      </c>
      <c r="C1074" s="1">
        <v>42113</v>
      </c>
      <c r="D1074" t="s">
        <v>40</v>
      </c>
      <c r="E1074" t="s">
        <v>1027</v>
      </c>
      <c r="F1074" t="s">
        <v>1028</v>
      </c>
      <c r="G1074" t="s">
        <v>91</v>
      </c>
      <c r="H1074" t="s">
        <v>26</v>
      </c>
      <c r="I1074" t="s">
        <v>53</v>
      </c>
      <c r="J1074" t="s">
        <v>54</v>
      </c>
      <c r="K1074" t="s">
        <v>55</v>
      </c>
      <c r="L1074" t="s">
        <v>1543</v>
      </c>
      <c r="M1074" t="s">
        <v>31</v>
      </c>
      <c r="N1074" t="s">
        <v>57</v>
      </c>
      <c r="O1074" t="s">
        <v>1544</v>
      </c>
      <c r="P1074">
        <v>37.68</v>
      </c>
      <c r="Q1074">
        <v>2</v>
      </c>
      <c r="R1074">
        <v>0</v>
      </c>
      <c r="S1074">
        <v>15.8256</v>
      </c>
      <c r="T1074" t="s">
        <v>130</v>
      </c>
      <c r="U1074" t="s">
        <v>114</v>
      </c>
    </row>
    <row r="1075" spans="1:21" x14ac:dyDescent="0.25">
      <c r="A1075" t="s">
        <v>3077</v>
      </c>
      <c r="B1075" s="1">
        <v>42260</v>
      </c>
      <c r="C1075" s="1">
        <v>42265</v>
      </c>
      <c r="D1075" t="s">
        <v>40</v>
      </c>
      <c r="E1075" t="s">
        <v>844</v>
      </c>
      <c r="F1075" t="s">
        <v>845</v>
      </c>
      <c r="G1075" t="s">
        <v>25</v>
      </c>
      <c r="H1075" t="s">
        <v>26</v>
      </c>
      <c r="I1075" t="s">
        <v>348</v>
      </c>
      <c r="J1075" t="s">
        <v>111</v>
      </c>
      <c r="K1075" t="s">
        <v>94</v>
      </c>
      <c r="L1075" t="s">
        <v>480</v>
      </c>
      <c r="M1075" t="s">
        <v>31</v>
      </c>
      <c r="N1075" t="s">
        <v>37</v>
      </c>
      <c r="O1075" t="s">
        <v>481</v>
      </c>
      <c r="P1075">
        <v>1516.2</v>
      </c>
      <c r="Q1075">
        <v>7</v>
      </c>
      <c r="R1075">
        <v>0</v>
      </c>
      <c r="S1075">
        <v>394.21199999999999</v>
      </c>
      <c r="T1075" t="s">
        <v>59</v>
      </c>
      <c r="U1075" t="s">
        <v>78</v>
      </c>
    </row>
    <row r="1076" spans="1:21" x14ac:dyDescent="0.25">
      <c r="A1076" t="s">
        <v>3078</v>
      </c>
      <c r="B1076" s="1">
        <v>41971</v>
      </c>
      <c r="C1076" s="1">
        <v>41974</v>
      </c>
      <c r="D1076" t="s">
        <v>22</v>
      </c>
      <c r="E1076" t="s">
        <v>3079</v>
      </c>
      <c r="F1076" t="s">
        <v>3080</v>
      </c>
      <c r="G1076" t="s">
        <v>91</v>
      </c>
      <c r="H1076" t="s">
        <v>26</v>
      </c>
      <c r="I1076" t="s">
        <v>158</v>
      </c>
      <c r="J1076" t="s">
        <v>159</v>
      </c>
      <c r="K1076" t="s">
        <v>29</v>
      </c>
      <c r="L1076" t="s">
        <v>219</v>
      </c>
      <c r="M1076" t="s">
        <v>31</v>
      </c>
      <c r="N1076" t="s">
        <v>57</v>
      </c>
      <c r="O1076" t="s">
        <v>220</v>
      </c>
      <c r="P1076">
        <v>397.6</v>
      </c>
      <c r="Q1076">
        <v>5</v>
      </c>
      <c r="R1076">
        <v>0</v>
      </c>
      <c r="S1076">
        <v>43.735999999999997</v>
      </c>
      <c r="T1076" t="s">
        <v>34</v>
      </c>
      <c r="U1076" t="s">
        <v>35</v>
      </c>
    </row>
    <row r="1077" spans="1:21" x14ac:dyDescent="0.25">
      <c r="A1077" t="s">
        <v>3081</v>
      </c>
      <c r="B1077" s="1">
        <v>42231</v>
      </c>
      <c r="C1077" s="1">
        <v>42235</v>
      </c>
      <c r="D1077" t="s">
        <v>40</v>
      </c>
      <c r="E1077" t="s">
        <v>3082</v>
      </c>
      <c r="F1077" t="s">
        <v>3083</v>
      </c>
      <c r="G1077" t="s">
        <v>25</v>
      </c>
      <c r="H1077" t="s">
        <v>26</v>
      </c>
      <c r="I1077" t="s">
        <v>1471</v>
      </c>
      <c r="J1077" t="s">
        <v>54</v>
      </c>
      <c r="K1077" t="s">
        <v>55</v>
      </c>
      <c r="L1077" t="s">
        <v>1205</v>
      </c>
      <c r="M1077" t="s">
        <v>31</v>
      </c>
      <c r="N1077" t="s">
        <v>57</v>
      </c>
      <c r="O1077" t="s">
        <v>1206</v>
      </c>
      <c r="P1077">
        <v>104.23</v>
      </c>
      <c r="Q1077">
        <v>7</v>
      </c>
      <c r="R1077">
        <v>0</v>
      </c>
      <c r="S1077">
        <v>28.142099999999999</v>
      </c>
      <c r="T1077" t="s">
        <v>84</v>
      </c>
      <c r="U1077" t="s">
        <v>254</v>
      </c>
    </row>
    <row r="1078" spans="1:21" x14ac:dyDescent="0.25">
      <c r="A1078" t="s">
        <v>3084</v>
      </c>
      <c r="B1078" s="1">
        <v>42979</v>
      </c>
      <c r="C1078" s="1">
        <v>42979</v>
      </c>
      <c r="D1078" t="s">
        <v>426</v>
      </c>
      <c r="E1078" t="s">
        <v>619</v>
      </c>
      <c r="F1078" t="s">
        <v>620</v>
      </c>
      <c r="G1078" t="s">
        <v>25</v>
      </c>
      <c r="H1078" t="s">
        <v>26</v>
      </c>
      <c r="I1078" t="s">
        <v>289</v>
      </c>
      <c r="J1078" t="s">
        <v>290</v>
      </c>
      <c r="K1078" t="s">
        <v>94</v>
      </c>
      <c r="L1078" t="s">
        <v>2195</v>
      </c>
      <c r="M1078" t="s">
        <v>31</v>
      </c>
      <c r="N1078" t="s">
        <v>37</v>
      </c>
      <c r="O1078" t="s">
        <v>2196</v>
      </c>
      <c r="P1078">
        <v>498.26</v>
      </c>
      <c r="Q1078">
        <v>7</v>
      </c>
      <c r="R1078">
        <v>0</v>
      </c>
      <c r="S1078">
        <v>134.53020000000001</v>
      </c>
      <c r="T1078" t="s">
        <v>431</v>
      </c>
      <c r="U1078" t="s">
        <v>78</v>
      </c>
    </row>
    <row r="1079" spans="1:21" x14ac:dyDescent="0.25">
      <c r="A1079" t="s">
        <v>3085</v>
      </c>
      <c r="B1079" s="1">
        <v>41804</v>
      </c>
      <c r="C1079" s="1">
        <v>41810</v>
      </c>
      <c r="D1079" t="s">
        <v>40</v>
      </c>
      <c r="E1079" t="s">
        <v>3086</v>
      </c>
      <c r="F1079" t="s">
        <v>3087</v>
      </c>
      <c r="G1079" t="s">
        <v>101</v>
      </c>
      <c r="H1079" t="s">
        <v>26</v>
      </c>
      <c r="I1079" t="s">
        <v>289</v>
      </c>
      <c r="J1079" t="s">
        <v>290</v>
      </c>
      <c r="K1079" t="s">
        <v>94</v>
      </c>
      <c r="L1079" t="s">
        <v>2713</v>
      </c>
      <c r="M1079" t="s">
        <v>31</v>
      </c>
      <c r="N1079" t="s">
        <v>32</v>
      </c>
      <c r="O1079" t="s">
        <v>2714</v>
      </c>
      <c r="P1079">
        <v>212.94</v>
      </c>
      <c r="Q1079">
        <v>3</v>
      </c>
      <c r="R1079">
        <v>0</v>
      </c>
      <c r="S1079">
        <v>57.4938</v>
      </c>
      <c r="T1079" t="s">
        <v>130</v>
      </c>
      <c r="U1079" t="s">
        <v>60</v>
      </c>
    </row>
    <row r="1080" spans="1:21" x14ac:dyDescent="0.25">
      <c r="A1080" t="s">
        <v>3088</v>
      </c>
      <c r="B1080" s="1">
        <v>42542</v>
      </c>
      <c r="C1080" s="1">
        <v>42547</v>
      </c>
      <c r="D1080" t="s">
        <v>40</v>
      </c>
      <c r="E1080" t="s">
        <v>1626</v>
      </c>
      <c r="F1080" t="s">
        <v>1627</v>
      </c>
      <c r="G1080" t="s">
        <v>25</v>
      </c>
      <c r="H1080" t="s">
        <v>26</v>
      </c>
      <c r="I1080" t="s">
        <v>174</v>
      </c>
      <c r="J1080" t="s">
        <v>121</v>
      </c>
      <c r="K1080" t="s">
        <v>68</v>
      </c>
      <c r="L1080" t="s">
        <v>737</v>
      </c>
      <c r="M1080" t="s">
        <v>31</v>
      </c>
      <c r="N1080" t="s">
        <v>32</v>
      </c>
      <c r="O1080" t="s">
        <v>738</v>
      </c>
      <c r="P1080">
        <v>353.56799999999998</v>
      </c>
      <c r="Q1080">
        <v>2</v>
      </c>
      <c r="R1080">
        <v>0.2</v>
      </c>
      <c r="S1080">
        <v>-44.195999999999998</v>
      </c>
      <c r="T1080" t="s">
        <v>59</v>
      </c>
      <c r="U1080" t="s">
        <v>60</v>
      </c>
    </row>
    <row r="1081" spans="1:21" x14ac:dyDescent="0.25">
      <c r="A1081" t="s">
        <v>3089</v>
      </c>
      <c r="B1081" s="1">
        <v>42813</v>
      </c>
      <c r="C1081" s="1">
        <v>42816</v>
      </c>
      <c r="D1081" t="s">
        <v>22</v>
      </c>
      <c r="E1081" t="s">
        <v>820</v>
      </c>
      <c r="F1081" t="s">
        <v>821</v>
      </c>
      <c r="G1081" t="s">
        <v>25</v>
      </c>
      <c r="H1081" t="s">
        <v>26</v>
      </c>
      <c r="I1081" t="s">
        <v>1134</v>
      </c>
      <c r="J1081" t="s">
        <v>54</v>
      </c>
      <c r="K1081" t="s">
        <v>55</v>
      </c>
      <c r="L1081" t="s">
        <v>785</v>
      </c>
      <c r="M1081" t="s">
        <v>31</v>
      </c>
      <c r="N1081" t="s">
        <v>46</v>
      </c>
      <c r="O1081" t="s">
        <v>786</v>
      </c>
      <c r="P1081">
        <v>697.16</v>
      </c>
      <c r="Q1081">
        <v>5</v>
      </c>
      <c r="R1081">
        <v>0.2</v>
      </c>
      <c r="S1081">
        <v>8.7144999999999992</v>
      </c>
      <c r="T1081" t="s">
        <v>34</v>
      </c>
      <c r="U1081" t="s">
        <v>196</v>
      </c>
    </row>
    <row r="1082" spans="1:21" x14ac:dyDescent="0.25">
      <c r="A1082" t="s">
        <v>3089</v>
      </c>
      <c r="B1082" s="1">
        <v>42813</v>
      </c>
      <c r="C1082" s="1">
        <v>42816</v>
      </c>
      <c r="D1082" t="s">
        <v>22</v>
      </c>
      <c r="E1082" t="s">
        <v>820</v>
      </c>
      <c r="F1082" t="s">
        <v>821</v>
      </c>
      <c r="G1082" t="s">
        <v>25</v>
      </c>
      <c r="H1082" t="s">
        <v>26</v>
      </c>
      <c r="I1082" t="s">
        <v>1134</v>
      </c>
      <c r="J1082" t="s">
        <v>54</v>
      </c>
      <c r="K1082" t="s">
        <v>55</v>
      </c>
      <c r="L1082" t="s">
        <v>2111</v>
      </c>
      <c r="M1082" t="s">
        <v>31</v>
      </c>
      <c r="N1082" t="s">
        <v>57</v>
      </c>
      <c r="O1082" t="s">
        <v>2112</v>
      </c>
      <c r="P1082">
        <v>30.93</v>
      </c>
      <c r="Q1082">
        <v>1</v>
      </c>
      <c r="R1082">
        <v>0</v>
      </c>
      <c r="S1082">
        <v>12.6813</v>
      </c>
      <c r="T1082" t="s">
        <v>34</v>
      </c>
      <c r="U1082" t="s">
        <v>196</v>
      </c>
    </row>
    <row r="1083" spans="1:21" x14ac:dyDescent="0.25">
      <c r="A1083" t="s">
        <v>3090</v>
      </c>
      <c r="B1083" s="1">
        <v>41930</v>
      </c>
      <c r="C1083" s="1">
        <v>41934</v>
      </c>
      <c r="D1083" t="s">
        <v>40</v>
      </c>
      <c r="E1083" t="s">
        <v>2165</v>
      </c>
      <c r="F1083" t="s">
        <v>2166</v>
      </c>
      <c r="G1083" t="s">
        <v>91</v>
      </c>
      <c r="H1083" t="s">
        <v>26</v>
      </c>
      <c r="I1083" t="s">
        <v>3091</v>
      </c>
      <c r="J1083" t="s">
        <v>1059</v>
      </c>
      <c r="K1083" t="s">
        <v>29</v>
      </c>
      <c r="L1083" t="s">
        <v>3018</v>
      </c>
      <c r="M1083" t="s">
        <v>31</v>
      </c>
      <c r="N1083" t="s">
        <v>37</v>
      </c>
      <c r="O1083" t="s">
        <v>3019</v>
      </c>
      <c r="P1083">
        <v>605.34</v>
      </c>
      <c r="Q1083">
        <v>6</v>
      </c>
      <c r="R1083">
        <v>0</v>
      </c>
      <c r="S1083">
        <v>145.2816</v>
      </c>
      <c r="T1083" t="s">
        <v>84</v>
      </c>
      <c r="U1083" t="s">
        <v>49</v>
      </c>
    </row>
    <row r="1084" spans="1:21" x14ac:dyDescent="0.25">
      <c r="A1084" t="s">
        <v>3092</v>
      </c>
      <c r="B1084" s="1">
        <v>42969</v>
      </c>
      <c r="C1084" s="1">
        <v>42970</v>
      </c>
      <c r="D1084" t="s">
        <v>88</v>
      </c>
      <c r="E1084" t="s">
        <v>3093</v>
      </c>
      <c r="F1084" t="s">
        <v>3094</v>
      </c>
      <c r="G1084" t="s">
        <v>25</v>
      </c>
      <c r="H1084" t="s">
        <v>26</v>
      </c>
      <c r="I1084" t="s">
        <v>329</v>
      </c>
      <c r="J1084" t="s">
        <v>54</v>
      </c>
      <c r="K1084" t="s">
        <v>55</v>
      </c>
      <c r="L1084" t="s">
        <v>194</v>
      </c>
      <c r="M1084" t="s">
        <v>31</v>
      </c>
      <c r="N1084" t="s">
        <v>46</v>
      </c>
      <c r="O1084" t="s">
        <v>195</v>
      </c>
      <c r="P1084">
        <v>210.00800000000001</v>
      </c>
      <c r="Q1084">
        <v>1</v>
      </c>
      <c r="R1084">
        <v>0.2</v>
      </c>
      <c r="S1084">
        <v>2.6251000000000002</v>
      </c>
      <c r="T1084" t="s">
        <v>124</v>
      </c>
      <c r="U1084" t="s">
        <v>254</v>
      </c>
    </row>
    <row r="1085" spans="1:21" x14ac:dyDescent="0.25">
      <c r="A1085" t="s">
        <v>3095</v>
      </c>
      <c r="B1085" s="1">
        <v>41902</v>
      </c>
      <c r="C1085" s="1">
        <v>41906</v>
      </c>
      <c r="D1085" t="s">
        <v>40</v>
      </c>
      <c r="E1085" t="s">
        <v>2643</v>
      </c>
      <c r="F1085" t="s">
        <v>2644</v>
      </c>
      <c r="G1085" t="s">
        <v>25</v>
      </c>
      <c r="H1085" t="s">
        <v>26</v>
      </c>
      <c r="I1085" t="s">
        <v>158</v>
      </c>
      <c r="J1085" t="s">
        <v>1090</v>
      </c>
      <c r="K1085" t="s">
        <v>68</v>
      </c>
      <c r="L1085" t="s">
        <v>1086</v>
      </c>
      <c r="M1085" t="s">
        <v>31</v>
      </c>
      <c r="N1085" t="s">
        <v>57</v>
      </c>
      <c r="O1085" t="s">
        <v>1087</v>
      </c>
      <c r="P1085">
        <v>164.22</v>
      </c>
      <c r="Q1085">
        <v>3</v>
      </c>
      <c r="R1085">
        <v>0</v>
      </c>
      <c r="S1085">
        <v>50.908200000000001</v>
      </c>
      <c r="T1085" t="s">
        <v>84</v>
      </c>
      <c r="U1085" t="s">
        <v>78</v>
      </c>
    </row>
    <row r="1086" spans="1:21" x14ac:dyDescent="0.25">
      <c r="A1086" t="s">
        <v>3095</v>
      </c>
      <c r="B1086" s="1">
        <v>41902</v>
      </c>
      <c r="C1086" s="1">
        <v>41906</v>
      </c>
      <c r="D1086" t="s">
        <v>40</v>
      </c>
      <c r="E1086" t="s">
        <v>2643</v>
      </c>
      <c r="F1086" t="s">
        <v>2644</v>
      </c>
      <c r="G1086" t="s">
        <v>25</v>
      </c>
      <c r="H1086" t="s">
        <v>26</v>
      </c>
      <c r="I1086" t="s">
        <v>158</v>
      </c>
      <c r="J1086" t="s">
        <v>1090</v>
      </c>
      <c r="K1086" t="s">
        <v>68</v>
      </c>
      <c r="L1086" t="s">
        <v>543</v>
      </c>
      <c r="M1086" t="s">
        <v>31</v>
      </c>
      <c r="N1086" t="s">
        <v>32</v>
      </c>
      <c r="O1086" t="s">
        <v>544</v>
      </c>
      <c r="P1086">
        <v>362.94</v>
      </c>
      <c r="Q1086">
        <v>3</v>
      </c>
      <c r="R1086">
        <v>0</v>
      </c>
      <c r="S1086">
        <v>36.293999999999997</v>
      </c>
      <c r="T1086" t="s">
        <v>84</v>
      </c>
      <c r="U1086" t="s">
        <v>78</v>
      </c>
    </row>
    <row r="1087" spans="1:21" x14ac:dyDescent="0.25">
      <c r="A1087" t="s">
        <v>3096</v>
      </c>
      <c r="B1087" s="1">
        <v>42584</v>
      </c>
      <c r="C1087" s="1">
        <v>42586</v>
      </c>
      <c r="D1087" t="s">
        <v>22</v>
      </c>
      <c r="E1087" t="s">
        <v>1857</v>
      </c>
      <c r="F1087" t="s">
        <v>1858</v>
      </c>
      <c r="G1087" t="s">
        <v>91</v>
      </c>
      <c r="H1087" t="s">
        <v>26</v>
      </c>
      <c r="I1087" t="s">
        <v>53</v>
      </c>
      <c r="J1087" t="s">
        <v>54</v>
      </c>
      <c r="K1087" t="s">
        <v>55</v>
      </c>
      <c r="L1087" t="s">
        <v>3097</v>
      </c>
      <c r="M1087" t="s">
        <v>31</v>
      </c>
      <c r="N1087" t="s">
        <v>46</v>
      </c>
      <c r="O1087" t="s">
        <v>3098</v>
      </c>
      <c r="P1087">
        <v>136.464</v>
      </c>
      <c r="Q1087">
        <v>2</v>
      </c>
      <c r="R1087">
        <v>0.2</v>
      </c>
      <c r="S1087">
        <v>15.3522</v>
      </c>
      <c r="T1087" t="s">
        <v>71</v>
      </c>
      <c r="U1087" t="s">
        <v>254</v>
      </c>
    </row>
    <row r="1088" spans="1:21" x14ac:dyDescent="0.25">
      <c r="A1088" t="s">
        <v>3099</v>
      </c>
      <c r="B1088" s="1">
        <v>42068</v>
      </c>
      <c r="C1088" s="1">
        <v>42070</v>
      </c>
      <c r="D1088" t="s">
        <v>22</v>
      </c>
      <c r="E1088" t="s">
        <v>3100</v>
      </c>
      <c r="F1088" t="s">
        <v>3101</v>
      </c>
      <c r="G1088" t="s">
        <v>91</v>
      </c>
      <c r="H1088" t="s">
        <v>26</v>
      </c>
      <c r="I1088" t="s">
        <v>3102</v>
      </c>
      <c r="J1088" t="s">
        <v>67</v>
      </c>
      <c r="K1088" t="s">
        <v>68</v>
      </c>
      <c r="L1088" t="s">
        <v>591</v>
      </c>
      <c r="M1088" t="s">
        <v>31</v>
      </c>
      <c r="N1088" t="s">
        <v>37</v>
      </c>
      <c r="O1088" t="s">
        <v>592</v>
      </c>
      <c r="P1088">
        <v>99.372</v>
      </c>
      <c r="Q1088">
        <v>2</v>
      </c>
      <c r="R1088">
        <v>0.3</v>
      </c>
      <c r="S1088">
        <v>-7.0979999999999999</v>
      </c>
      <c r="T1088" t="s">
        <v>71</v>
      </c>
      <c r="U1088" t="s">
        <v>196</v>
      </c>
    </row>
    <row r="1089" spans="1:21" x14ac:dyDescent="0.25">
      <c r="A1089" t="s">
        <v>3099</v>
      </c>
      <c r="B1089" s="1">
        <v>42068</v>
      </c>
      <c r="C1089" s="1">
        <v>42070</v>
      </c>
      <c r="D1089" t="s">
        <v>22</v>
      </c>
      <c r="E1089" t="s">
        <v>3100</v>
      </c>
      <c r="F1089" t="s">
        <v>3101</v>
      </c>
      <c r="G1089" t="s">
        <v>91</v>
      </c>
      <c r="H1089" t="s">
        <v>26</v>
      </c>
      <c r="I1089" t="s">
        <v>3102</v>
      </c>
      <c r="J1089" t="s">
        <v>67</v>
      </c>
      <c r="K1089" t="s">
        <v>68</v>
      </c>
      <c r="L1089" t="s">
        <v>2282</v>
      </c>
      <c r="M1089" t="s">
        <v>31</v>
      </c>
      <c r="N1089" t="s">
        <v>57</v>
      </c>
      <c r="O1089" t="s">
        <v>2283</v>
      </c>
      <c r="P1089">
        <v>33.567999999999998</v>
      </c>
      <c r="Q1089">
        <v>2</v>
      </c>
      <c r="R1089">
        <v>0.2</v>
      </c>
      <c r="S1089">
        <v>-5.4547999999999996</v>
      </c>
      <c r="T1089" t="s">
        <v>71</v>
      </c>
      <c r="U1089" t="s">
        <v>196</v>
      </c>
    </row>
    <row r="1090" spans="1:21" x14ac:dyDescent="0.25">
      <c r="A1090" t="s">
        <v>3103</v>
      </c>
      <c r="B1090" s="1">
        <v>41889</v>
      </c>
      <c r="C1090" s="1">
        <v>41892</v>
      </c>
      <c r="D1090" t="s">
        <v>88</v>
      </c>
      <c r="E1090" t="s">
        <v>1225</v>
      </c>
      <c r="F1090" t="s">
        <v>1226</v>
      </c>
      <c r="G1090" t="s">
        <v>101</v>
      </c>
      <c r="H1090" t="s">
        <v>26</v>
      </c>
      <c r="I1090" t="s">
        <v>102</v>
      </c>
      <c r="J1090" t="s">
        <v>93</v>
      </c>
      <c r="K1090" t="s">
        <v>94</v>
      </c>
      <c r="L1090" t="s">
        <v>923</v>
      </c>
      <c r="M1090" t="s">
        <v>31</v>
      </c>
      <c r="N1090" t="s">
        <v>46</v>
      </c>
      <c r="O1090" t="s">
        <v>924</v>
      </c>
      <c r="P1090">
        <v>200.79499999999999</v>
      </c>
      <c r="Q1090">
        <v>1</v>
      </c>
      <c r="R1090">
        <v>0.3</v>
      </c>
      <c r="S1090">
        <v>-22.948</v>
      </c>
      <c r="T1090" t="s">
        <v>34</v>
      </c>
      <c r="U1090" t="s">
        <v>78</v>
      </c>
    </row>
    <row r="1091" spans="1:21" x14ac:dyDescent="0.25">
      <c r="A1091" t="s">
        <v>3104</v>
      </c>
      <c r="B1091" s="1">
        <v>42989</v>
      </c>
      <c r="C1091" s="1">
        <v>42989</v>
      </c>
      <c r="D1091" t="s">
        <v>426</v>
      </c>
      <c r="E1091" t="s">
        <v>688</v>
      </c>
      <c r="F1091" t="s">
        <v>689</v>
      </c>
      <c r="G1091" t="s">
        <v>25</v>
      </c>
      <c r="H1091" t="s">
        <v>26</v>
      </c>
      <c r="I1091" t="s">
        <v>329</v>
      </c>
      <c r="J1091" t="s">
        <v>54</v>
      </c>
      <c r="K1091" t="s">
        <v>55</v>
      </c>
      <c r="L1091" t="s">
        <v>150</v>
      </c>
      <c r="M1091" t="s">
        <v>31</v>
      </c>
      <c r="N1091" t="s">
        <v>57</v>
      </c>
      <c r="O1091" t="s">
        <v>151</v>
      </c>
      <c r="P1091">
        <v>32.36</v>
      </c>
      <c r="Q1091">
        <v>4</v>
      </c>
      <c r="R1091">
        <v>0</v>
      </c>
      <c r="S1091">
        <v>11.6496</v>
      </c>
      <c r="T1091" t="s">
        <v>431</v>
      </c>
      <c r="U1091" t="s">
        <v>78</v>
      </c>
    </row>
    <row r="1092" spans="1:21" x14ac:dyDescent="0.25">
      <c r="A1092" t="s">
        <v>3105</v>
      </c>
      <c r="B1092" s="1">
        <v>42751</v>
      </c>
      <c r="C1092" s="1">
        <v>42751</v>
      </c>
      <c r="D1092" t="s">
        <v>426</v>
      </c>
      <c r="E1092" t="s">
        <v>2697</v>
      </c>
      <c r="F1092" t="s">
        <v>2698</v>
      </c>
      <c r="G1092" t="s">
        <v>91</v>
      </c>
      <c r="H1092" t="s">
        <v>26</v>
      </c>
      <c r="I1092" t="s">
        <v>53</v>
      </c>
      <c r="J1092" t="s">
        <v>54</v>
      </c>
      <c r="K1092" t="s">
        <v>55</v>
      </c>
      <c r="L1092" t="s">
        <v>56</v>
      </c>
      <c r="M1092" t="s">
        <v>31</v>
      </c>
      <c r="N1092" t="s">
        <v>57</v>
      </c>
      <c r="O1092" t="s">
        <v>58</v>
      </c>
      <c r="P1092">
        <v>27.92</v>
      </c>
      <c r="Q1092">
        <v>4</v>
      </c>
      <c r="R1092">
        <v>0</v>
      </c>
      <c r="S1092">
        <v>8.0968</v>
      </c>
      <c r="T1092" t="s">
        <v>431</v>
      </c>
      <c r="U1092" t="s">
        <v>170</v>
      </c>
    </row>
    <row r="1093" spans="1:21" x14ac:dyDescent="0.25">
      <c r="A1093" t="s">
        <v>3105</v>
      </c>
      <c r="B1093" s="1">
        <v>42751</v>
      </c>
      <c r="C1093" s="1">
        <v>42751</v>
      </c>
      <c r="D1093" t="s">
        <v>426</v>
      </c>
      <c r="E1093" t="s">
        <v>2697</v>
      </c>
      <c r="F1093" t="s">
        <v>2698</v>
      </c>
      <c r="G1093" t="s">
        <v>91</v>
      </c>
      <c r="H1093" t="s">
        <v>26</v>
      </c>
      <c r="I1093" t="s">
        <v>53</v>
      </c>
      <c r="J1093" t="s">
        <v>54</v>
      </c>
      <c r="K1093" t="s">
        <v>55</v>
      </c>
      <c r="L1093" t="s">
        <v>908</v>
      </c>
      <c r="M1093" t="s">
        <v>31</v>
      </c>
      <c r="N1093" t="s">
        <v>46</v>
      </c>
      <c r="O1093" t="s">
        <v>909</v>
      </c>
      <c r="P1093">
        <v>399.67200000000003</v>
      </c>
      <c r="Q1093">
        <v>7</v>
      </c>
      <c r="R1093">
        <v>0.2</v>
      </c>
      <c r="S1093">
        <v>-14.9877</v>
      </c>
      <c r="T1093" t="s">
        <v>431</v>
      </c>
      <c r="U1093" t="s">
        <v>170</v>
      </c>
    </row>
    <row r="1094" spans="1:21" x14ac:dyDescent="0.25">
      <c r="A1094" t="s">
        <v>3106</v>
      </c>
      <c r="B1094" s="1">
        <v>42315</v>
      </c>
      <c r="C1094" s="1">
        <v>42317</v>
      </c>
      <c r="D1094" t="s">
        <v>22</v>
      </c>
      <c r="E1094" t="s">
        <v>2918</v>
      </c>
      <c r="F1094" t="s">
        <v>2919</v>
      </c>
      <c r="G1094" t="s">
        <v>25</v>
      </c>
      <c r="H1094" t="s">
        <v>26</v>
      </c>
      <c r="I1094" t="s">
        <v>3032</v>
      </c>
      <c r="J1094" t="s">
        <v>3107</v>
      </c>
      <c r="K1094" t="s">
        <v>68</v>
      </c>
      <c r="L1094" t="s">
        <v>581</v>
      </c>
      <c r="M1094" t="s">
        <v>31</v>
      </c>
      <c r="N1094" t="s">
        <v>37</v>
      </c>
      <c r="O1094" t="s">
        <v>582</v>
      </c>
      <c r="P1094">
        <v>715.2</v>
      </c>
      <c r="Q1094">
        <v>3</v>
      </c>
      <c r="R1094">
        <v>0</v>
      </c>
      <c r="S1094">
        <v>178.8</v>
      </c>
      <c r="T1094" t="s">
        <v>71</v>
      </c>
      <c r="U1094" t="s">
        <v>35</v>
      </c>
    </row>
    <row r="1095" spans="1:21" x14ac:dyDescent="0.25">
      <c r="A1095" t="s">
        <v>3108</v>
      </c>
      <c r="B1095" s="1">
        <v>41895</v>
      </c>
      <c r="C1095" s="1">
        <v>41899</v>
      </c>
      <c r="D1095" t="s">
        <v>40</v>
      </c>
      <c r="E1095" t="s">
        <v>1821</v>
      </c>
      <c r="F1095" t="s">
        <v>1822</v>
      </c>
      <c r="G1095" t="s">
        <v>101</v>
      </c>
      <c r="H1095" t="s">
        <v>26</v>
      </c>
      <c r="I1095" t="s">
        <v>2549</v>
      </c>
      <c r="J1095" t="s">
        <v>93</v>
      </c>
      <c r="K1095" t="s">
        <v>94</v>
      </c>
      <c r="L1095" t="s">
        <v>256</v>
      </c>
      <c r="M1095" t="s">
        <v>31</v>
      </c>
      <c r="N1095" t="s">
        <v>37</v>
      </c>
      <c r="O1095" t="s">
        <v>257</v>
      </c>
      <c r="P1095">
        <v>340.11599999999999</v>
      </c>
      <c r="Q1095">
        <v>6</v>
      </c>
      <c r="R1095">
        <v>0.3</v>
      </c>
      <c r="S1095">
        <v>-9.7175999999999991</v>
      </c>
      <c r="T1095" t="s">
        <v>84</v>
      </c>
      <c r="U1095" t="s">
        <v>78</v>
      </c>
    </row>
    <row r="1096" spans="1:21" x14ac:dyDescent="0.25">
      <c r="A1096" t="s">
        <v>3109</v>
      </c>
      <c r="B1096" s="1">
        <v>42252</v>
      </c>
      <c r="C1096" s="1">
        <v>42257</v>
      </c>
      <c r="D1096" t="s">
        <v>40</v>
      </c>
      <c r="E1096" t="s">
        <v>2618</v>
      </c>
      <c r="F1096" t="s">
        <v>2619</v>
      </c>
      <c r="G1096" t="s">
        <v>91</v>
      </c>
      <c r="H1096" t="s">
        <v>26</v>
      </c>
      <c r="I1096" t="s">
        <v>895</v>
      </c>
      <c r="J1096" t="s">
        <v>167</v>
      </c>
      <c r="K1096" t="s">
        <v>94</v>
      </c>
      <c r="L1096" t="s">
        <v>112</v>
      </c>
      <c r="M1096" t="s">
        <v>31</v>
      </c>
      <c r="N1096" t="s">
        <v>57</v>
      </c>
      <c r="O1096" t="s">
        <v>113</v>
      </c>
      <c r="P1096">
        <v>6.16</v>
      </c>
      <c r="Q1096">
        <v>2</v>
      </c>
      <c r="R1096">
        <v>0</v>
      </c>
      <c r="S1096">
        <v>2.9567999999999999</v>
      </c>
      <c r="T1096" t="s">
        <v>59</v>
      </c>
      <c r="U1096" t="s">
        <v>78</v>
      </c>
    </row>
    <row r="1097" spans="1:21" x14ac:dyDescent="0.25">
      <c r="A1097" t="s">
        <v>3110</v>
      </c>
      <c r="B1097" s="1">
        <v>42860</v>
      </c>
      <c r="C1097" s="1">
        <v>42861</v>
      </c>
      <c r="D1097" t="s">
        <v>88</v>
      </c>
      <c r="E1097" t="s">
        <v>2187</v>
      </c>
      <c r="F1097" t="s">
        <v>2188</v>
      </c>
      <c r="G1097" t="s">
        <v>25</v>
      </c>
      <c r="H1097" t="s">
        <v>26</v>
      </c>
      <c r="I1097" t="s">
        <v>866</v>
      </c>
      <c r="J1097" t="s">
        <v>181</v>
      </c>
      <c r="K1097" t="s">
        <v>55</v>
      </c>
      <c r="L1097" t="s">
        <v>1137</v>
      </c>
      <c r="M1097" t="s">
        <v>31</v>
      </c>
      <c r="N1097" t="s">
        <v>32</v>
      </c>
      <c r="O1097" t="s">
        <v>1138</v>
      </c>
      <c r="P1097">
        <v>89.991</v>
      </c>
      <c r="Q1097">
        <v>3</v>
      </c>
      <c r="R1097">
        <v>0.7</v>
      </c>
      <c r="S1097">
        <v>-152.9847</v>
      </c>
      <c r="T1097" t="s">
        <v>124</v>
      </c>
      <c r="U1097" t="s">
        <v>162</v>
      </c>
    </row>
    <row r="1098" spans="1:21" x14ac:dyDescent="0.25">
      <c r="A1098" t="s">
        <v>3111</v>
      </c>
      <c r="B1098" s="1">
        <v>41890</v>
      </c>
      <c r="C1098" s="1">
        <v>41897</v>
      </c>
      <c r="D1098" t="s">
        <v>40</v>
      </c>
      <c r="E1098" t="s">
        <v>1216</v>
      </c>
      <c r="F1098" t="s">
        <v>1217</v>
      </c>
      <c r="G1098" t="s">
        <v>25</v>
      </c>
      <c r="H1098" t="s">
        <v>26</v>
      </c>
      <c r="I1098" t="s">
        <v>102</v>
      </c>
      <c r="J1098" t="s">
        <v>93</v>
      </c>
      <c r="K1098" t="s">
        <v>94</v>
      </c>
      <c r="L1098" t="s">
        <v>247</v>
      </c>
      <c r="M1098" t="s">
        <v>31</v>
      </c>
      <c r="N1098" t="s">
        <v>37</v>
      </c>
      <c r="O1098" t="s">
        <v>248</v>
      </c>
      <c r="P1098">
        <v>966.7</v>
      </c>
      <c r="Q1098">
        <v>5</v>
      </c>
      <c r="R1098">
        <v>0.3</v>
      </c>
      <c r="S1098">
        <v>-13.81</v>
      </c>
      <c r="T1098" t="s">
        <v>48</v>
      </c>
      <c r="U1098" t="s">
        <v>78</v>
      </c>
    </row>
    <row r="1099" spans="1:21" x14ac:dyDescent="0.25">
      <c r="A1099" t="s">
        <v>3112</v>
      </c>
      <c r="B1099" s="1">
        <v>42364</v>
      </c>
      <c r="C1099" s="1">
        <v>42368</v>
      </c>
      <c r="D1099" t="s">
        <v>40</v>
      </c>
      <c r="E1099" t="s">
        <v>1373</v>
      </c>
      <c r="F1099" t="s">
        <v>1374</v>
      </c>
      <c r="G1099" t="s">
        <v>25</v>
      </c>
      <c r="H1099" t="s">
        <v>26</v>
      </c>
      <c r="I1099" t="s">
        <v>277</v>
      </c>
      <c r="J1099" t="s">
        <v>232</v>
      </c>
      <c r="K1099" t="s">
        <v>68</v>
      </c>
      <c r="L1099" t="s">
        <v>1063</v>
      </c>
      <c r="M1099" t="s">
        <v>31</v>
      </c>
      <c r="N1099" t="s">
        <v>46</v>
      </c>
      <c r="O1099" t="s">
        <v>1064</v>
      </c>
      <c r="P1099">
        <v>51.588000000000001</v>
      </c>
      <c r="Q1099">
        <v>1</v>
      </c>
      <c r="R1099">
        <v>0.4</v>
      </c>
      <c r="S1099">
        <v>-15.4764</v>
      </c>
      <c r="T1099" t="s">
        <v>84</v>
      </c>
      <c r="U1099" t="s">
        <v>97</v>
      </c>
    </row>
    <row r="1100" spans="1:21" x14ac:dyDescent="0.25">
      <c r="A1100" t="s">
        <v>3113</v>
      </c>
      <c r="B1100" s="1">
        <v>42943</v>
      </c>
      <c r="C1100" s="1">
        <v>42947</v>
      </c>
      <c r="D1100" t="s">
        <v>40</v>
      </c>
      <c r="E1100" t="s">
        <v>3093</v>
      </c>
      <c r="F1100" t="s">
        <v>3094</v>
      </c>
      <c r="G1100" t="s">
        <v>25</v>
      </c>
      <c r="H1100" t="s">
        <v>26</v>
      </c>
      <c r="I1100" t="s">
        <v>1034</v>
      </c>
      <c r="J1100" t="s">
        <v>121</v>
      </c>
      <c r="K1100" t="s">
        <v>68</v>
      </c>
      <c r="L1100" t="s">
        <v>1205</v>
      </c>
      <c r="M1100" t="s">
        <v>31</v>
      </c>
      <c r="N1100" t="s">
        <v>57</v>
      </c>
      <c r="O1100" t="s">
        <v>1206</v>
      </c>
      <c r="P1100">
        <v>14.89</v>
      </c>
      <c r="Q1100">
        <v>1</v>
      </c>
      <c r="R1100">
        <v>0</v>
      </c>
      <c r="S1100">
        <v>4.0202999999999998</v>
      </c>
      <c r="T1100" t="s">
        <v>84</v>
      </c>
      <c r="U1100" t="s">
        <v>72</v>
      </c>
    </row>
    <row r="1101" spans="1:21" x14ac:dyDescent="0.25">
      <c r="A1101" t="s">
        <v>3114</v>
      </c>
      <c r="B1101" s="1">
        <v>42520</v>
      </c>
      <c r="C1101" s="1">
        <v>42524</v>
      </c>
      <c r="D1101" t="s">
        <v>40</v>
      </c>
      <c r="E1101" t="s">
        <v>2577</v>
      </c>
      <c r="F1101" t="s">
        <v>2578</v>
      </c>
      <c r="G1101" t="s">
        <v>91</v>
      </c>
      <c r="H1101" t="s">
        <v>26</v>
      </c>
      <c r="I1101" t="s">
        <v>879</v>
      </c>
      <c r="J1101" t="s">
        <v>717</v>
      </c>
      <c r="K1101" t="s">
        <v>29</v>
      </c>
      <c r="L1101" t="s">
        <v>1884</v>
      </c>
      <c r="M1101" t="s">
        <v>31</v>
      </c>
      <c r="N1101" t="s">
        <v>46</v>
      </c>
      <c r="O1101" t="s">
        <v>1885</v>
      </c>
      <c r="P1101">
        <v>2275.5</v>
      </c>
      <c r="Q1101">
        <v>10</v>
      </c>
      <c r="R1101">
        <v>0</v>
      </c>
      <c r="S1101">
        <v>386.83499999999998</v>
      </c>
      <c r="T1101" t="s">
        <v>84</v>
      </c>
      <c r="U1101" t="s">
        <v>162</v>
      </c>
    </row>
    <row r="1102" spans="1:21" x14ac:dyDescent="0.25">
      <c r="A1102" t="s">
        <v>3115</v>
      </c>
      <c r="B1102" s="1">
        <v>41959</v>
      </c>
      <c r="C1102" s="1">
        <v>41963</v>
      </c>
      <c r="D1102" t="s">
        <v>40</v>
      </c>
      <c r="E1102" t="s">
        <v>3116</v>
      </c>
      <c r="F1102" t="s">
        <v>3117</v>
      </c>
      <c r="G1102" t="s">
        <v>25</v>
      </c>
      <c r="H1102" t="s">
        <v>26</v>
      </c>
      <c r="I1102" t="s">
        <v>514</v>
      </c>
      <c r="J1102" t="s">
        <v>135</v>
      </c>
      <c r="K1102" t="s">
        <v>94</v>
      </c>
      <c r="L1102" t="s">
        <v>2009</v>
      </c>
      <c r="M1102" t="s">
        <v>31</v>
      </c>
      <c r="N1102" t="s">
        <v>37</v>
      </c>
      <c r="O1102" t="s">
        <v>2010</v>
      </c>
      <c r="P1102">
        <v>37.295999999999999</v>
      </c>
      <c r="Q1102">
        <v>2</v>
      </c>
      <c r="R1102">
        <v>0.3</v>
      </c>
      <c r="S1102">
        <v>-1.0656000000000001</v>
      </c>
      <c r="T1102" t="s">
        <v>84</v>
      </c>
      <c r="U1102" t="s">
        <v>35</v>
      </c>
    </row>
    <row r="1103" spans="1:21" x14ac:dyDescent="0.25">
      <c r="A1103" t="s">
        <v>3118</v>
      </c>
      <c r="B1103" s="1">
        <v>41903</v>
      </c>
      <c r="C1103" s="1">
        <v>41905</v>
      </c>
      <c r="D1103" t="s">
        <v>88</v>
      </c>
      <c r="E1103" t="s">
        <v>525</v>
      </c>
      <c r="F1103" t="s">
        <v>526</v>
      </c>
      <c r="G1103" t="s">
        <v>101</v>
      </c>
      <c r="H1103" t="s">
        <v>26</v>
      </c>
      <c r="I1103" t="s">
        <v>3119</v>
      </c>
      <c r="J1103" t="s">
        <v>93</v>
      </c>
      <c r="K1103" t="s">
        <v>94</v>
      </c>
      <c r="L1103" t="s">
        <v>2141</v>
      </c>
      <c r="M1103" t="s">
        <v>31</v>
      </c>
      <c r="N1103" t="s">
        <v>57</v>
      </c>
      <c r="O1103" t="s">
        <v>2142</v>
      </c>
      <c r="P1103">
        <v>8.5440000000000005</v>
      </c>
      <c r="Q1103">
        <v>2</v>
      </c>
      <c r="R1103">
        <v>0.6</v>
      </c>
      <c r="S1103">
        <v>-7.476</v>
      </c>
      <c r="T1103" t="s">
        <v>71</v>
      </c>
      <c r="U1103" t="s">
        <v>78</v>
      </c>
    </row>
    <row r="1104" spans="1:21" x14ac:dyDescent="0.25">
      <c r="A1104" t="s">
        <v>3120</v>
      </c>
      <c r="B1104" s="1">
        <v>42421</v>
      </c>
      <c r="C1104" s="1">
        <v>42426</v>
      </c>
      <c r="D1104" t="s">
        <v>40</v>
      </c>
      <c r="E1104" t="s">
        <v>799</v>
      </c>
      <c r="F1104" t="s">
        <v>800</v>
      </c>
      <c r="G1104" t="s">
        <v>91</v>
      </c>
      <c r="H1104" t="s">
        <v>26</v>
      </c>
      <c r="I1104" t="s">
        <v>762</v>
      </c>
      <c r="J1104" t="s">
        <v>121</v>
      </c>
      <c r="K1104" t="s">
        <v>68</v>
      </c>
      <c r="L1104" t="s">
        <v>175</v>
      </c>
      <c r="M1104" t="s">
        <v>31</v>
      </c>
      <c r="N1104" t="s">
        <v>57</v>
      </c>
      <c r="O1104" t="s">
        <v>176</v>
      </c>
      <c r="P1104">
        <v>68.95</v>
      </c>
      <c r="Q1104">
        <v>5</v>
      </c>
      <c r="R1104">
        <v>0</v>
      </c>
      <c r="S1104">
        <v>28.959</v>
      </c>
      <c r="T1104" t="s">
        <v>59</v>
      </c>
      <c r="U1104" t="s">
        <v>298</v>
      </c>
    </row>
    <row r="1105" spans="1:21" x14ac:dyDescent="0.25">
      <c r="A1105" t="s">
        <v>3121</v>
      </c>
      <c r="B1105" s="1">
        <v>43058</v>
      </c>
      <c r="C1105" s="1">
        <v>43060</v>
      </c>
      <c r="D1105" t="s">
        <v>88</v>
      </c>
      <c r="E1105" t="s">
        <v>2572</v>
      </c>
      <c r="F1105" t="s">
        <v>2573</v>
      </c>
      <c r="G1105" t="s">
        <v>25</v>
      </c>
      <c r="H1105" t="s">
        <v>26</v>
      </c>
      <c r="I1105" t="s">
        <v>102</v>
      </c>
      <c r="J1105" t="s">
        <v>93</v>
      </c>
      <c r="K1105" t="s">
        <v>94</v>
      </c>
      <c r="L1105" t="s">
        <v>1618</v>
      </c>
      <c r="M1105" t="s">
        <v>31</v>
      </c>
      <c r="N1105" t="s">
        <v>37</v>
      </c>
      <c r="O1105" t="s">
        <v>1619</v>
      </c>
      <c r="P1105">
        <v>191.05799999999999</v>
      </c>
      <c r="Q1105">
        <v>3</v>
      </c>
      <c r="R1105">
        <v>0.3</v>
      </c>
      <c r="S1105">
        <v>-46.399799999999999</v>
      </c>
      <c r="T1105" t="s">
        <v>71</v>
      </c>
      <c r="U1105" t="s">
        <v>35</v>
      </c>
    </row>
    <row r="1106" spans="1:21" x14ac:dyDescent="0.25">
      <c r="A1106" t="s">
        <v>3122</v>
      </c>
      <c r="B1106" s="1">
        <v>42855</v>
      </c>
      <c r="C1106" s="1">
        <v>42860</v>
      </c>
      <c r="D1106" t="s">
        <v>40</v>
      </c>
      <c r="E1106" t="s">
        <v>398</v>
      </c>
      <c r="F1106" t="s">
        <v>399</v>
      </c>
      <c r="G1106" t="s">
        <v>91</v>
      </c>
      <c r="H1106" t="s">
        <v>26</v>
      </c>
      <c r="I1106" t="s">
        <v>329</v>
      </c>
      <c r="J1106" t="s">
        <v>54</v>
      </c>
      <c r="K1106" t="s">
        <v>55</v>
      </c>
      <c r="L1106" t="s">
        <v>757</v>
      </c>
      <c r="M1106" t="s">
        <v>31</v>
      </c>
      <c r="N1106" t="s">
        <v>57</v>
      </c>
      <c r="O1106" t="s">
        <v>758</v>
      </c>
      <c r="P1106">
        <v>64.959999999999994</v>
      </c>
      <c r="Q1106">
        <v>2</v>
      </c>
      <c r="R1106">
        <v>0</v>
      </c>
      <c r="S1106">
        <v>21.436800000000002</v>
      </c>
      <c r="T1106" t="s">
        <v>59</v>
      </c>
      <c r="U1106" t="s">
        <v>114</v>
      </c>
    </row>
    <row r="1107" spans="1:21" x14ac:dyDescent="0.25">
      <c r="A1107" t="s">
        <v>3123</v>
      </c>
      <c r="B1107" s="1">
        <v>42492</v>
      </c>
      <c r="C1107" s="1">
        <v>42498</v>
      </c>
      <c r="D1107" t="s">
        <v>40</v>
      </c>
      <c r="E1107" t="s">
        <v>2049</v>
      </c>
      <c r="F1107" t="s">
        <v>2050</v>
      </c>
      <c r="G1107" t="s">
        <v>25</v>
      </c>
      <c r="H1107" t="s">
        <v>26</v>
      </c>
      <c r="I1107" t="s">
        <v>2570</v>
      </c>
      <c r="J1107" t="s">
        <v>1037</v>
      </c>
      <c r="K1107" t="s">
        <v>29</v>
      </c>
      <c r="L1107" t="s">
        <v>1004</v>
      </c>
      <c r="M1107" t="s">
        <v>31</v>
      </c>
      <c r="N1107" t="s">
        <v>37</v>
      </c>
      <c r="O1107" t="s">
        <v>1005</v>
      </c>
      <c r="P1107">
        <v>187.05600000000001</v>
      </c>
      <c r="Q1107">
        <v>9</v>
      </c>
      <c r="R1107">
        <v>0.2</v>
      </c>
      <c r="S1107">
        <v>11.691000000000001</v>
      </c>
      <c r="T1107" t="s">
        <v>130</v>
      </c>
      <c r="U1107" t="s">
        <v>162</v>
      </c>
    </row>
    <row r="1108" spans="1:21" x14ac:dyDescent="0.25">
      <c r="A1108" t="s">
        <v>3124</v>
      </c>
      <c r="B1108" s="1">
        <v>43010</v>
      </c>
      <c r="C1108" s="1">
        <v>43013</v>
      </c>
      <c r="D1108" t="s">
        <v>88</v>
      </c>
      <c r="E1108" t="s">
        <v>2432</v>
      </c>
      <c r="F1108" t="s">
        <v>2433</v>
      </c>
      <c r="G1108" t="s">
        <v>101</v>
      </c>
      <c r="H1108" t="s">
        <v>26</v>
      </c>
      <c r="I1108" t="s">
        <v>3125</v>
      </c>
      <c r="J1108" t="s">
        <v>142</v>
      </c>
      <c r="K1108" t="s">
        <v>29</v>
      </c>
      <c r="L1108" t="s">
        <v>1719</v>
      </c>
      <c r="M1108" t="s">
        <v>31</v>
      </c>
      <c r="N1108" t="s">
        <v>57</v>
      </c>
      <c r="O1108" t="s">
        <v>1720</v>
      </c>
      <c r="P1108">
        <v>11.808</v>
      </c>
      <c r="Q1108">
        <v>2</v>
      </c>
      <c r="R1108">
        <v>0.2</v>
      </c>
      <c r="S1108">
        <v>1.3284</v>
      </c>
      <c r="T1108" t="s">
        <v>34</v>
      </c>
      <c r="U1108" t="s">
        <v>49</v>
      </c>
    </row>
    <row r="1109" spans="1:21" x14ac:dyDescent="0.25">
      <c r="A1109" t="s">
        <v>3124</v>
      </c>
      <c r="B1109" s="1">
        <v>43010</v>
      </c>
      <c r="C1109" s="1">
        <v>43013</v>
      </c>
      <c r="D1109" t="s">
        <v>88</v>
      </c>
      <c r="E1109" t="s">
        <v>2432</v>
      </c>
      <c r="F1109" t="s">
        <v>2433</v>
      </c>
      <c r="G1109" t="s">
        <v>101</v>
      </c>
      <c r="H1109" t="s">
        <v>26</v>
      </c>
      <c r="I1109" t="s">
        <v>3125</v>
      </c>
      <c r="J1109" t="s">
        <v>142</v>
      </c>
      <c r="K1109" t="s">
        <v>29</v>
      </c>
      <c r="L1109" t="s">
        <v>552</v>
      </c>
      <c r="M1109" t="s">
        <v>31</v>
      </c>
      <c r="N1109" t="s">
        <v>57</v>
      </c>
      <c r="O1109" t="s">
        <v>3126</v>
      </c>
      <c r="P1109">
        <v>9.6560000000000006</v>
      </c>
      <c r="Q1109">
        <v>1</v>
      </c>
      <c r="R1109">
        <v>0.2</v>
      </c>
      <c r="S1109">
        <v>1.5690999999999999</v>
      </c>
      <c r="T1109" t="s">
        <v>34</v>
      </c>
      <c r="U1109" t="s">
        <v>49</v>
      </c>
    </row>
    <row r="1110" spans="1:21" x14ac:dyDescent="0.25">
      <c r="A1110" t="s">
        <v>3124</v>
      </c>
      <c r="B1110" s="1">
        <v>43010</v>
      </c>
      <c r="C1110" s="1">
        <v>43013</v>
      </c>
      <c r="D1110" t="s">
        <v>88</v>
      </c>
      <c r="E1110" t="s">
        <v>2432</v>
      </c>
      <c r="F1110" t="s">
        <v>2433</v>
      </c>
      <c r="G1110" t="s">
        <v>101</v>
      </c>
      <c r="H1110" t="s">
        <v>26</v>
      </c>
      <c r="I1110" t="s">
        <v>3125</v>
      </c>
      <c r="J1110" t="s">
        <v>142</v>
      </c>
      <c r="K1110" t="s">
        <v>29</v>
      </c>
      <c r="L1110" t="s">
        <v>752</v>
      </c>
      <c r="M1110" t="s">
        <v>31</v>
      </c>
      <c r="N1110" t="s">
        <v>46</v>
      </c>
      <c r="O1110" t="s">
        <v>753</v>
      </c>
      <c r="P1110">
        <v>2314.116</v>
      </c>
      <c r="Q1110">
        <v>7</v>
      </c>
      <c r="R1110">
        <v>0.4</v>
      </c>
      <c r="S1110">
        <v>-1002.7836</v>
      </c>
      <c r="T1110" t="s">
        <v>34</v>
      </c>
      <c r="U1110" t="s">
        <v>49</v>
      </c>
    </row>
    <row r="1111" spans="1:21" x14ac:dyDescent="0.25">
      <c r="A1111" t="s">
        <v>3124</v>
      </c>
      <c r="B1111" s="1">
        <v>43010</v>
      </c>
      <c r="C1111" s="1">
        <v>43013</v>
      </c>
      <c r="D1111" t="s">
        <v>88</v>
      </c>
      <c r="E1111" t="s">
        <v>2432</v>
      </c>
      <c r="F1111" t="s">
        <v>2433</v>
      </c>
      <c r="G1111" t="s">
        <v>101</v>
      </c>
      <c r="H1111" t="s">
        <v>26</v>
      </c>
      <c r="I1111" t="s">
        <v>3125</v>
      </c>
      <c r="J1111" t="s">
        <v>142</v>
      </c>
      <c r="K1111" t="s">
        <v>29</v>
      </c>
      <c r="L1111" t="s">
        <v>1129</v>
      </c>
      <c r="M1111" t="s">
        <v>31</v>
      </c>
      <c r="N1111" t="s">
        <v>57</v>
      </c>
      <c r="O1111" t="s">
        <v>1130</v>
      </c>
      <c r="P1111">
        <v>19.760000000000002</v>
      </c>
      <c r="Q1111">
        <v>2</v>
      </c>
      <c r="R1111">
        <v>0.2</v>
      </c>
      <c r="S1111">
        <v>5.9279999999999999</v>
      </c>
      <c r="T1111" t="s">
        <v>34</v>
      </c>
      <c r="U1111" t="s">
        <v>49</v>
      </c>
    </row>
    <row r="1112" spans="1:21" x14ac:dyDescent="0.25">
      <c r="A1112" t="s">
        <v>3127</v>
      </c>
      <c r="B1112" s="1">
        <v>42342</v>
      </c>
      <c r="C1112" s="1">
        <v>42347</v>
      </c>
      <c r="D1112" t="s">
        <v>40</v>
      </c>
      <c r="E1112" t="s">
        <v>948</v>
      </c>
      <c r="F1112" t="s">
        <v>949</v>
      </c>
      <c r="G1112" t="s">
        <v>25</v>
      </c>
      <c r="H1112" t="s">
        <v>26</v>
      </c>
      <c r="I1112" t="s">
        <v>2061</v>
      </c>
      <c r="J1112" t="s">
        <v>54</v>
      </c>
      <c r="K1112" t="s">
        <v>55</v>
      </c>
      <c r="L1112" t="s">
        <v>1312</v>
      </c>
      <c r="M1112" t="s">
        <v>31</v>
      </c>
      <c r="N1112" t="s">
        <v>57</v>
      </c>
      <c r="O1112" t="s">
        <v>1313</v>
      </c>
      <c r="P1112">
        <v>25.08</v>
      </c>
      <c r="Q1112">
        <v>6</v>
      </c>
      <c r="R1112">
        <v>0</v>
      </c>
      <c r="S1112">
        <v>9.0288000000000004</v>
      </c>
      <c r="T1112" t="s">
        <v>59</v>
      </c>
      <c r="U1112" t="s">
        <v>97</v>
      </c>
    </row>
    <row r="1113" spans="1:21" x14ac:dyDescent="0.25">
      <c r="A1113" t="s">
        <v>3128</v>
      </c>
      <c r="B1113" s="1">
        <v>42617</v>
      </c>
      <c r="C1113" s="1">
        <v>42621</v>
      </c>
      <c r="D1113" t="s">
        <v>40</v>
      </c>
      <c r="E1113" t="s">
        <v>3129</v>
      </c>
      <c r="F1113" t="s">
        <v>3130</v>
      </c>
      <c r="G1113" t="s">
        <v>25</v>
      </c>
      <c r="H1113" t="s">
        <v>26</v>
      </c>
      <c r="I1113" t="s">
        <v>174</v>
      </c>
      <c r="J1113" t="s">
        <v>121</v>
      </c>
      <c r="K1113" t="s">
        <v>68</v>
      </c>
      <c r="L1113" t="s">
        <v>1756</v>
      </c>
      <c r="M1113" t="s">
        <v>31</v>
      </c>
      <c r="N1113" t="s">
        <v>57</v>
      </c>
      <c r="O1113" t="s">
        <v>1757</v>
      </c>
      <c r="P1113">
        <v>63.94</v>
      </c>
      <c r="Q1113">
        <v>1</v>
      </c>
      <c r="R1113">
        <v>0</v>
      </c>
      <c r="S1113">
        <v>24.936599999999999</v>
      </c>
      <c r="T1113" t="s">
        <v>84</v>
      </c>
      <c r="U1113" t="s">
        <v>78</v>
      </c>
    </row>
    <row r="1114" spans="1:21" x14ac:dyDescent="0.25">
      <c r="A1114" t="s">
        <v>3131</v>
      </c>
      <c r="B1114" s="1">
        <v>41877</v>
      </c>
      <c r="C1114" s="1">
        <v>41883</v>
      </c>
      <c r="D1114" t="s">
        <v>40</v>
      </c>
      <c r="E1114" t="s">
        <v>164</v>
      </c>
      <c r="F1114" t="s">
        <v>165</v>
      </c>
      <c r="G1114" t="s">
        <v>25</v>
      </c>
      <c r="H1114" t="s">
        <v>26</v>
      </c>
      <c r="I1114" t="s">
        <v>231</v>
      </c>
      <c r="J1114" t="s">
        <v>201</v>
      </c>
      <c r="K1114" t="s">
        <v>68</v>
      </c>
      <c r="L1114" t="s">
        <v>2514</v>
      </c>
      <c r="M1114" t="s">
        <v>31</v>
      </c>
      <c r="N1114" t="s">
        <v>57</v>
      </c>
      <c r="O1114" t="s">
        <v>2515</v>
      </c>
      <c r="P1114">
        <v>10.68</v>
      </c>
      <c r="Q1114">
        <v>4</v>
      </c>
      <c r="R1114">
        <v>0</v>
      </c>
      <c r="S1114">
        <v>4.0583999999999998</v>
      </c>
      <c r="T1114" t="s">
        <v>130</v>
      </c>
      <c r="U1114" t="s">
        <v>254</v>
      </c>
    </row>
    <row r="1115" spans="1:21" x14ac:dyDescent="0.25">
      <c r="A1115" t="s">
        <v>3132</v>
      </c>
      <c r="B1115" s="1">
        <v>41772</v>
      </c>
      <c r="C1115" s="1">
        <v>41778</v>
      </c>
      <c r="D1115" t="s">
        <v>40</v>
      </c>
      <c r="E1115" t="s">
        <v>2372</v>
      </c>
      <c r="F1115" t="s">
        <v>2373</v>
      </c>
      <c r="G1115" t="s">
        <v>91</v>
      </c>
      <c r="H1115" t="s">
        <v>26</v>
      </c>
      <c r="I1115" t="s">
        <v>53</v>
      </c>
      <c r="J1115" t="s">
        <v>54</v>
      </c>
      <c r="K1115" t="s">
        <v>55</v>
      </c>
      <c r="L1115" t="s">
        <v>1893</v>
      </c>
      <c r="M1115" t="s">
        <v>31</v>
      </c>
      <c r="N1115" t="s">
        <v>37</v>
      </c>
      <c r="O1115" t="s">
        <v>1894</v>
      </c>
      <c r="P1115">
        <v>279.45600000000002</v>
      </c>
      <c r="Q1115">
        <v>6</v>
      </c>
      <c r="R1115">
        <v>0.2</v>
      </c>
      <c r="S1115">
        <v>20.959199999999999</v>
      </c>
      <c r="T1115" t="s">
        <v>130</v>
      </c>
      <c r="U1115" t="s">
        <v>162</v>
      </c>
    </row>
    <row r="1116" spans="1:21" x14ac:dyDescent="0.25">
      <c r="A1116" t="s">
        <v>3133</v>
      </c>
      <c r="B1116" s="1">
        <v>42839</v>
      </c>
      <c r="C1116" s="1">
        <v>42843</v>
      </c>
      <c r="D1116" t="s">
        <v>40</v>
      </c>
      <c r="E1116" t="s">
        <v>1939</v>
      </c>
      <c r="F1116" t="s">
        <v>1940</v>
      </c>
      <c r="G1116" t="s">
        <v>91</v>
      </c>
      <c r="H1116" t="s">
        <v>26</v>
      </c>
      <c r="I1116" t="s">
        <v>1912</v>
      </c>
      <c r="J1116" t="s">
        <v>1037</v>
      </c>
      <c r="K1116" t="s">
        <v>29</v>
      </c>
      <c r="L1116" t="s">
        <v>1176</v>
      </c>
      <c r="M1116" t="s">
        <v>31</v>
      </c>
      <c r="N1116" t="s">
        <v>32</v>
      </c>
      <c r="O1116" t="s">
        <v>1177</v>
      </c>
      <c r="P1116">
        <v>198.27199999999999</v>
      </c>
      <c r="Q1116">
        <v>8</v>
      </c>
      <c r="R1116">
        <v>0.2</v>
      </c>
      <c r="S1116">
        <v>-32.219200000000001</v>
      </c>
      <c r="T1116" t="s">
        <v>84</v>
      </c>
      <c r="U1116" t="s">
        <v>114</v>
      </c>
    </row>
    <row r="1117" spans="1:21" x14ac:dyDescent="0.25">
      <c r="A1117" t="s">
        <v>3134</v>
      </c>
      <c r="B1117" s="1">
        <v>42733</v>
      </c>
      <c r="C1117" s="1">
        <v>42737</v>
      </c>
      <c r="D1117" t="s">
        <v>40</v>
      </c>
      <c r="E1117" t="s">
        <v>825</v>
      </c>
      <c r="F1117" t="s">
        <v>826</v>
      </c>
      <c r="G1117" t="s">
        <v>25</v>
      </c>
      <c r="H1117" t="s">
        <v>26</v>
      </c>
      <c r="I1117" t="s">
        <v>3135</v>
      </c>
      <c r="J1117" t="s">
        <v>3136</v>
      </c>
      <c r="K1117" t="s">
        <v>94</v>
      </c>
      <c r="L1117" t="s">
        <v>2410</v>
      </c>
      <c r="M1117" t="s">
        <v>31</v>
      </c>
      <c r="N1117" t="s">
        <v>57</v>
      </c>
      <c r="O1117" t="s">
        <v>2411</v>
      </c>
      <c r="P1117">
        <v>70.56</v>
      </c>
      <c r="Q1117">
        <v>6</v>
      </c>
      <c r="R1117">
        <v>0</v>
      </c>
      <c r="S1117">
        <v>23.990400000000001</v>
      </c>
      <c r="T1117" t="s">
        <v>84</v>
      </c>
      <c r="U1117" t="s">
        <v>97</v>
      </c>
    </row>
    <row r="1118" spans="1:21" x14ac:dyDescent="0.25">
      <c r="A1118" t="s">
        <v>3137</v>
      </c>
      <c r="B1118" s="1">
        <v>42833</v>
      </c>
      <c r="C1118" s="1">
        <v>42837</v>
      </c>
      <c r="D1118" t="s">
        <v>40</v>
      </c>
      <c r="E1118" t="s">
        <v>3138</v>
      </c>
      <c r="F1118" t="s">
        <v>3139</v>
      </c>
      <c r="G1118" t="s">
        <v>91</v>
      </c>
      <c r="H1118" t="s">
        <v>26</v>
      </c>
      <c r="I1118" t="s">
        <v>3140</v>
      </c>
      <c r="J1118" t="s">
        <v>290</v>
      </c>
      <c r="K1118" t="s">
        <v>94</v>
      </c>
      <c r="L1118" t="s">
        <v>1958</v>
      </c>
      <c r="M1118" t="s">
        <v>31</v>
      </c>
      <c r="N1118" t="s">
        <v>57</v>
      </c>
      <c r="O1118" t="s">
        <v>1959</v>
      </c>
      <c r="P1118">
        <v>273.95999999999998</v>
      </c>
      <c r="Q1118">
        <v>2</v>
      </c>
      <c r="R1118">
        <v>0</v>
      </c>
      <c r="S1118">
        <v>71.229600000000005</v>
      </c>
      <c r="T1118" t="s">
        <v>84</v>
      </c>
      <c r="U1118" t="s">
        <v>114</v>
      </c>
    </row>
    <row r="1119" spans="1:21" x14ac:dyDescent="0.25">
      <c r="A1119" t="s">
        <v>3137</v>
      </c>
      <c r="B1119" s="1">
        <v>42833</v>
      </c>
      <c r="C1119" s="1">
        <v>42837</v>
      </c>
      <c r="D1119" t="s">
        <v>40</v>
      </c>
      <c r="E1119" t="s">
        <v>3138</v>
      </c>
      <c r="F1119" t="s">
        <v>3139</v>
      </c>
      <c r="G1119" t="s">
        <v>91</v>
      </c>
      <c r="H1119" t="s">
        <v>26</v>
      </c>
      <c r="I1119" t="s">
        <v>3140</v>
      </c>
      <c r="J1119" t="s">
        <v>290</v>
      </c>
      <c r="K1119" t="s">
        <v>94</v>
      </c>
      <c r="L1119" t="s">
        <v>936</v>
      </c>
      <c r="M1119" t="s">
        <v>31</v>
      </c>
      <c r="N1119" t="s">
        <v>57</v>
      </c>
      <c r="O1119" t="s">
        <v>937</v>
      </c>
      <c r="P1119">
        <v>306.89999999999998</v>
      </c>
      <c r="Q1119">
        <v>3</v>
      </c>
      <c r="R1119">
        <v>0</v>
      </c>
      <c r="S1119">
        <v>79.793999999999997</v>
      </c>
      <c r="T1119" t="s">
        <v>84</v>
      </c>
      <c r="U1119" t="s">
        <v>114</v>
      </c>
    </row>
    <row r="1120" spans="1:21" x14ac:dyDescent="0.25">
      <c r="A1120" t="s">
        <v>3141</v>
      </c>
      <c r="B1120" s="1">
        <v>42301</v>
      </c>
      <c r="C1120" s="1">
        <v>42307</v>
      </c>
      <c r="D1120" t="s">
        <v>40</v>
      </c>
      <c r="E1120" t="s">
        <v>3142</v>
      </c>
      <c r="F1120" t="s">
        <v>3143</v>
      </c>
      <c r="G1120" t="s">
        <v>91</v>
      </c>
      <c r="H1120" t="s">
        <v>26</v>
      </c>
      <c r="I1120" t="s">
        <v>102</v>
      </c>
      <c r="J1120" t="s">
        <v>93</v>
      </c>
      <c r="K1120" t="s">
        <v>94</v>
      </c>
      <c r="L1120" t="s">
        <v>318</v>
      </c>
      <c r="M1120" t="s">
        <v>31</v>
      </c>
      <c r="N1120" t="s">
        <v>46</v>
      </c>
      <c r="O1120" t="s">
        <v>319</v>
      </c>
      <c r="P1120">
        <v>347.36099999999999</v>
      </c>
      <c r="Q1120">
        <v>7</v>
      </c>
      <c r="R1120">
        <v>0.3</v>
      </c>
      <c r="S1120">
        <v>-69.472200000000001</v>
      </c>
      <c r="T1120" t="s">
        <v>130</v>
      </c>
      <c r="U1120" t="s">
        <v>49</v>
      </c>
    </row>
    <row r="1121" spans="1:21" x14ac:dyDescent="0.25">
      <c r="A1121" t="s">
        <v>3144</v>
      </c>
      <c r="B1121" s="1">
        <v>41962</v>
      </c>
      <c r="C1121" s="1">
        <v>41968</v>
      </c>
      <c r="D1121" t="s">
        <v>40</v>
      </c>
      <c r="E1121" t="s">
        <v>3145</v>
      </c>
      <c r="F1121" t="s">
        <v>3146</v>
      </c>
      <c r="G1121" t="s">
        <v>91</v>
      </c>
      <c r="H1121" t="s">
        <v>26</v>
      </c>
      <c r="I1121" t="s">
        <v>200</v>
      </c>
      <c r="J1121" t="s">
        <v>201</v>
      </c>
      <c r="K1121" t="s">
        <v>68</v>
      </c>
      <c r="L1121" t="s">
        <v>1381</v>
      </c>
      <c r="M1121" t="s">
        <v>31</v>
      </c>
      <c r="N1121" t="s">
        <v>32</v>
      </c>
      <c r="O1121" t="s">
        <v>1382</v>
      </c>
      <c r="P1121">
        <v>1025.8800000000001</v>
      </c>
      <c r="Q1121">
        <v>6</v>
      </c>
      <c r="R1121">
        <v>0</v>
      </c>
      <c r="S1121">
        <v>235.95240000000001</v>
      </c>
      <c r="T1121" t="s">
        <v>130</v>
      </c>
      <c r="U1121" t="s">
        <v>35</v>
      </c>
    </row>
    <row r="1122" spans="1:21" x14ac:dyDescent="0.25">
      <c r="A1122" t="s">
        <v>3147</v>
      </c>
      <c r="B1122" s="1">
        <v>42637</v>
      </c>
      <c r="C1122" s="1">
        <v>42637</v>
      </c>
      <c r="D1122" t="s">
        <v>426</v>
      </c>
      <c r="E1122" t="s">
        <v>2382</v>
      </c>
      <c r="F1122" t="s">
        <v>2383</v>
      </c>
      <c r="G1122" t="s">
        <v>91</v>
      </c>
      <c r="H1122" t="s">
        <v>26</v>
      </c>
      <c r="I1122" t="s">
        <v>329</v>
      </c>
      <c r="J1122" t="s">
        <v>54</v>
      </c>
      <c r="K1122" t="s">
        <v>55</v>
      </c>
      <c r="L1122" t="s">
        <v>1835</v>
      </c>
      <c r="M1122" t="s">
        <v>31</v>
      </c>
      <c r="N1122" t="s">
        <v>57</v>
      </c>
      <c r="O1122" t="s">
        <v>1836</v>
      </c>
      <c r="P1122">
        <v>63.2</v>
      </c>
      <c r="Q1122">
        <v>5</v>
      </c>
      <c r="R1122">
        <v>0</v>
      </c>
      <c r="S1122">
        <v>23.384</v>
      </c>
      <c r="T1122" t="s">
        <v>431</v>
      </c>
      <c r="U1122" t="s">
        <v>78</v>
      </c>
    </row>
    <row r="1123" spans="1:21" x14ac:dyDescent="0.25">
      <c r="A1123" t="s">
        <v>3148</v>
      </c>
      <c r="B1123" s="1">
        <v>42469</v>
      </c>
      <c r="C1123" s="1">
        <v>42474</v>
      </c>
      <c r="D1123" t="s">
        <v>40</v>
      </c>
      <c r="E1123" t="s">
        <v>2036</v>
      </c>
      <c r="F1123" t="s">
        <v>2037</v>
      </c>
      <c r="G1123" t="s">
        <v>25</v>
      </c>
      <c r="H1123" t="s">
        <v>26</v>
      </c>
      <c r="I1123" t="s">
        <v>53</v>
      </c>
      <c r="J1123" t="s">
        <v>54</v>
      </c>
      <c r="K1123" t="s">
        <v>55</v>
      </c>
      <c r="L1123" t="s">
        <v>30</v>
      </c>
      <c r="M1123" t="s">
        <v>31</v>
      </c>
      <c r="N1123" t="s">
        <v>32</v>
      </c>
      <c r="O1123" t="s">
        <v>33</v>
      </c>
      <c r="P1123">
        <v>556.66499999999996</v>
      </c>
      <c r="Q1123">
        <v>5</v>
      </c>
      <c r="R1123">
        <v>0.15</v>
      </c>
      <c r="S1123">
        <v>6.5490000000000004</v>
      </c>
      <c r="T1123" t="s">
        <v>59</v>
      </c>
      <c r="U1123" t="s">
        <v>114</v>
      </c>
    </row>
    <row r="1124" spans="1:21" x14ac:dyDescent="0.25">
      <c r="A1124" t="s">
        <v>3149</v>
      </c>
      <c r="B1124" s="1">
        <v>42707</v>
      </c>
      <c r="C1124" s="1">
        <v>42710</v>
      </c>
      <c r="D1124" t="s">
        <v>88</v>
      </c>
      <c r="E1124" t="s">
        <v>1310</v>
      </c>
      <c r="F1124" t="s">
        <v>1311</v>
      </c>
      <c r="G1124" t="s">
        <v>25</v>
      </c>
      <c r="H1124" t="s">
        <v>26</v>
      </c>
      <c r="I1124" t="s">
        <v>53</v>
      </c>
      <c r="J1124" t="s">
        <v>54</v>
      </c>
      <c r="K1124" t="s">
        <v>55</v>
      </c>
      <c r="L1124" t="s">
        <v>2649</v>
      </c>
      <c r="M1124" t="s">
        <v>31</v>
      </c>
      <c r="N1124" t="s">
        <v>57</v>
      </c>
      <c r="O1124" t="s">
        <v>2650</v>
      </c>
      <c r="P1124">
        <v>111.9</v>
      </c>
      <c r="Q1124">
        <v>6</v>
      </c>
      <c r="R1124">
        <v>0</v>
      </c>
      <c r="S1124">
        <v>51.473999999999997</v>
      </c>
      <c r="T1124" t="s">
        <v>34</v>
      </c>
      <c r="U1124" t="s">
        <v>97</v>
      </c>
    </row>
    <row r="1125" spans="1:21" x14ac:dyDescent="0.25">
      <c r="A1125" t="s">
        <v>3150</v>
      </c>
      <c r="B1125" s="1">
        <v>42535</v>
      </c>
      <c r="C1125" s="1">
        <v>42535</v>
      </c>
      <c r="D1125" t="s">
        <v>426</v>
      </c>
      <c r="E1125" t="s">
        <v>3151</v>
      </c>
      <c r="F1125" t="s">
        <v>3152</v>
      </c>
      <c r="G1125" t="s">
        <v>101</v>
      </c>
      <c r="H1125" t="s">
        <v>26</v>
      </c>
      <c r="I1125" t="s">
        <v>53</v>
      </c>
      <c r="J1125" t="s">
        <v>54</v>
      </c>
      <c r="K1125" t="s">
        <v>55</v>
      </c>
      <c r="L1125" t="s">
        <v>2623</v>
      </c>
      <c r="M1125" t="s">
        <v>31</v>
      </c>
      <c r="N1125" t="s">
        <v>32</v>
      </c>
      <c r="O1125" t="s">
        <v>2624</v>
      </c>
      <c r="P1125">
        <v>599.16499999999996</v>
      </c>
      <c r="Q1125">
        <v>5</v>
      </c>
      <c r="R1125">
        <v>0.15</v>
      </c>
      <c r="S1125">
        <v>35.244999999999997</v>
      </c>
      <c r="T1125" t="s">
        <v>431</v>
      </c>
      <c r="U1125" t="s">
        <v>60</v>
      </c>
    </row>
    <row r="1126" spans="1:21" x14ac:dyDescent="0.25">
      <c r="A1126" t="s">
        <v>3153</v>
      </c>
      <c r="B1126" s="1">
        <v>41887</v>
      </c>
      <c r="C1126" s="1">
        <v>41889</v>
      </c>
      <c r="D1126" t="s">
        <v>88</v>
      </c>
      <c r="E1126" t="s">
        <v>2394</v>
      </c>
      <c r="F1126" t="s">
        <v>2395</v>
      </c>
      <c r="G1126" t="s">
        <v>25</v>
      </c>
      <c r="H1126" t="s">
        <v>26</v>
      </c>
      <c r="I1126" t="s">
        <v>790</v>
      </c>
      <c r="J1126" t="s">
        <v>44</v>
      </c>
      <c r="K1126" t="s">
        <v>29</v>
      </c>
      <c r="L1126" t="s">
        <v>401</v>
      </c>
      <c r="M1126" t="s">
        <v>31</v>
      </c>
      <c r="N1126" t="s">
        <v>57</v>
      </c>
      <c r="O1126" t="s">
        <v>402</v>
      </c>
      <c r="P1126">
        <v>31.984000000000002</v>
      </c>
      <c r="Q1126">
        <v>2</v>
      </c>
      <c r="R1126">
        <v>0.2</v>
      </c>
      <c r="S1126">
        <v>1.9990000000000001</v>
      </c>
      <c r="T1126" t="s">
        <v>71</v>
      </c>
      <c r="U1126" t="s">
        <v>78</v>
      </c>
    </row>
    <row r="1127" spans="1:21" x14ac:dyDescent="0.25">
      <c r="A1127" t="s">
        <v>3154</v>
      </c>
      <c r="B1127" s="1">
        <v>41825</v>
      </c>
      <c r="C1127" s="1">
        <v>41828</v>
      </c>
      <c r="D1127" t="s">
        <v>88</v>
      </c>
      <c r="E1127" t="s">
        <v>3155</v>
      </c>
      <c r="F1127" t="s">
        <v>3156</v>
      </c>
      <c r="G1127" t="s">
        <v>91</v>
      </c>
      <c r="H1127" t="s">
        <v>26</v>
      </c>
      <c r="I1127" t="s">
        <v>3157</v>
      </c>
      <c r="J1127" t="s">
        <v>44</v>
      </c>
      <c r="K1127" t="s">
        <v>29</v>
      </c>
      <c r="L1127" t="s">
        <v>1483</v>
      </c>
      <c r="M1127" t="s">
        <v>31</v>
      </c>
      <c r="N1127" t="s">
        <v>57</v>
      </c>
      <c r="O1127" t="s">
        <v>1484</v>
      </c>
      <c r="P1127">
        <v>19.52</v>
      </c>
      <c r="Q1127">
        <v>2</v>
      </c>
      <c r="R1127">
        <v>0.2</v>
      </c>
      <c r="S1127">
        <v>5.3680000000000003</v>
      </c>
      <c r="T1127" t="s">
        <v>34</v>
      </c>
      <c r="U1127" t="s">
        <v>72</v>
      </c>
    </row>
    <row r="1128" spans="1:21" x14ac:dyDescent="0.25">
      <c r="A1128" t="s">
        <v>3154</v>
      </c>
      <c r="B1128" s="1">
        <v>41825</v>
      </c>
      <c r="C1128" s="1">
        <v>41828</v>
      </c>
      <c r="D1128" t="s">
        <v>88</v>
      </c>
      <c r="E1128" t="s">
        <v>3155</v>
      </c>
      <c r="F1128" t="s">
        <v>3156</v>
      </c>
      <c r="G1128" t="s">
        <v>91</v>
      </c>
      <c r="H1128" t="s">
        <v>26</v>
      </c>
      <c r="I1128" t="s">
        <v>3157</v>
      </c>
      <c r="J1128" t="s">
        <v>44</v>
      </c>
      <c r="K1128" t="s">
        <v>29</v>
      </c>
      <c r="L1128" t="s">
        <v>3158</v>
      </c>
      <c r="M1128" t="s">
        <v>31</v>
      </c>
      <c r="N1128" t="s">
        <v>57</v>
      </c>
      <c r="O1128" t="s">
        <v>3159</v>
      </c>
      <c r="P1128">
        <v>213.21600000000001</v>
      </c>
      <c r="Q1128">
        <v>3</v>
      </c>
      <c r="R1128">
        <v>0.2</v>
      </c>
      <c r="S1128">
        <v>15.991199999999999</v>
      </c>
      <c r="T1128" t="s">
        <v>34</v>
      </c>
      <c r="U1128" t="s">
        <v>72</v>
      </c>
    </row>
    <row r="1129" spans="1:21" x14ac:dyDescent="0.25">
      <c r="A1129" t="s">
        <v>3160</v>
      </c>
      <c r="B1129" s="1">
        <v>41894</v>
      </c>
      <c r="C1129" s="1">
        <v>41901</v>
      </c>
      <c r="D1129" t="s">
        <v>40</v>
      </c>
      <c r="E1129" t="s">
        <v>3161</v>
      </c>
      <c r="F1129" t="s">
        <v>3162</v>
      </c>
      <c r="G1129" t="s">
        <v>101</v>
      </c>
      <c r="H1129" t="s">
        <v>26</v>
      </c>
      <c r="I1129" t="s">
        <v>3163</v>
      </c>
      <c r="J1129" t="s">
        <v>3136</v>
      </c>
      <c r="K1129" t="s">
        <v>94</v>
      </c>
      <c r="L1129" t="s">
        <v>2319</v>
      </c>
      <c r="M1129" t="s">
        <v>31</v>
      </c>
      <c r="N1129" t="s">
        <v>57</v>
      </c>
      <c r="O1129" t="s">
        <v>2320</v>
      </c>
      <c r="P1129">
        <v>40.56</v>
      </c>
      <c r="Q1129">
        <v>2</v>
      </c>
      <c r="R1129">
        <v>0</v>
      </c>
      <c r="S1129">
        <v>12.979200000000001</v>
      </c>
      <c r="T1129" t="s">
        <v>48</v>
      </c>
      <c r="U1129" t="s">
        <v>78</v>
      </c>
    </row>
    <row r="1130" spans="1:21" x14ac:dyDescent="0.25">
      <c r="A1130" t="s">
        <v>3164</v>
      </c>
      <c r="B1130" s="1">
        <v>43098</v>
      </c>
      <c r="C1130" s="1">
        <v>43102</v>
      </c>
      <c r="D1130" t="s">
        <v>40</v>
      </c>
      <c r="E1130" t="s">
        <v>264</v>
      </c>
      <c r="F1130" t="s">
        <v>265</v>
      </c>
      <c r="G1130" t="s">
        <v>25</v>
      </c>
      <c r="H1130" t="s">
        <v>26</v>
      </c>
      <c r="I1130" t="s">
        <v>846</v>
      </c>
      <c r="J1130" t="s">
        <v>193</v>
      </c>
      <c r="K1130" t="s">
        <v>55</v>
      </c>
      <c r="L1130" t="s">
        <v>1591</v>
      </c>
      <c r="M1130" t="s">
        <v>31</v>
      </c>
      <c r="N1130" t="s">
        <v>57</v>
      </c>
      <c r="O1130" t="s">
        <v>1592</v>
      </c>
      <c r="P1130">
        <v>68.459999999999994</v>
      </c>
      <c r="Q1130">
        <v>2</v>
      </c>
      <c r="R1130">
        <v>0</v>
      </c>
      <c r="S1130">
        <v>20.538</v>
      </c>
      <c r="T1130" t="s">
        <v>84</v>
      </c>
      <c r="U1130" t="s">
        <v>97</v>
      </c>
    </row>
    <row r="1131" spans="1:21" x14ac:dyDescent="0.25">
      <c r="A1131" t="s">
        <v>3165</v>
      </c>
      <c r="B1131" s="1">
        <v>42982</v>
      </c>
      <c r="C1131" s="1">
        <v>42984</v>
      </c>
      <c r="D1131" t="s">
        <v>22</v>
      </c>
      <c r="E1131" t="s">
        <v>492</v>
      </c>
      <c r="F1131" t="s">
        <v>493</v>
      </c>
      <c r="G1131" t="s">
        <v>25</v>
      </c>
      <c r="H1131" t="s">
        <v>26</v>
      </c>
      <c r="I1131" t="s">
        <v>329</v>
      </c>
      <c r="J1131" t="s">
        <v>54</v>
      </c>
      <c r="K1131" t="s">
        <v>55</v>
      </c>
      <c r="L1131" t="s">
        <v>3166</v>
      </c>
      <c r="M1131" t="s">
        <v>31</v>
      </c>
      <c r="N1131" t="s">
        <v>46</v>
      </c>
      <c r="O1131" t="s">
        <v>3167</v>
      </c>
      <c r="P1131">
        <v>1478.2719999999999</v>
      </c>
      <c r="Q1131">
        <v>8</v>
      </c>
      <c r="R1131">
        <v>0.2</v>
      </c>
      <c r="S1131">
        <v>92.391999999999996</v>
      </c>
      <c r="T1131" t="s">
        <v>71</v>
      </c>
      <c r="U1131" t="s">
        <v>78</v>
      </c>
    </row>
    <row r="1132" spans="1:21" x14ac:dyDescent="0.25">
      <c r="A1132" t="s">
        <v>3168</v>
      </c>
      <c r="B1132" s="1">
        <v>43006</v>
      </c>
      <c r="C1132" s="1">
        <v>43012</v>
      </c>
      <c r="D1132" t="s">
        <v>40</v>
      </c>
      <c r="E1132" t="s">
        <v>634</v>
      </c>
      <c r="F1132" t="s">
        <v>635</v>
      </c>
      <c r="G1132" t="s">
        <v>25</v>
      </c>
      <c r="H1132" t="s">
        <v>26</v>
      </c>
      <c r="I1132" t="s">
        <v>53</v>
      </c>
      <c r="J1132" t="s">
        <v>54</v>
      </c>
      <c r="K1132" t="s">
        <v>55</v>
      </c>
      <c r="L1132" t="s">
        <v>112</v>
      </c>
      <c r="M1132" t="s">
        <v>31</v>
      </c>
      <c r="N1132" t="s">
        <v>57</v>
      </c>
      <c r="O1132" t="s">
        <v>113</v>
      </c>
      <c r="P1132">
        <v>9.24</v>
      </c>
      <c r="Q1132">
        <v>3</v>
      </c>
      <c r="R1132">
        <v>0</v>
      </c>
      <c r="S1132">
        <v>4.4352</v>
      </c>
      <c r="T1132" t="s">
        <v>130</v>
      </c>
      <c r="U1132" t="s">
        <v>78</v>
      </c>
    </row>
    <row r="1133" spans="1:21" x14ac:dyDescent="0.25">
      <c r="A1133" t="s">
        <v>3169</v>
      </c>
      <c r="B1133" s="1">
        <v>41658</v>
      </c>
      <c r="C1133" s="1">
        <v>41659</v>
      </c>
      <c r="D1133" t="s">
        <v>88</v>
      </c>
      <c r="E1133" t="s">
        <v>2638</v>
      </c>
      <c r="F1133" t="s">
        <v>2639</v>
      </c>
      <c r="G1133" t="s">
        <v>25</v>
      </c>
      <c r="H1133" t="s">
        <v>26</v>
      </c>
      <c r="I1133" t="s">
        <v>1949</v>
      </c>
      <c r="J1133" t="s">
        <v>521</v>
      </c>
      <c r="K1133" t="s">
        <v>55</v>
      </c>
      <c r="L1133" t="s">
        <v>457</v>
      </c>
      <c r="M1133" t="s">
        <v>31</v>
      </c>
      <c r="N1133" t="s">
        <v>32</v>
      </c>
      <c r="O1133" t="s">
        <v>458</v>
      </c>
      <c r="P1133">
        <v>181.47</v>
      </c>
      <c r="Q1133">
        <v>5</v>
      </c>
      <c r="R1133">
        <v>0.7</v>
      </c>
      <c r="S1133">
        <v>-320.59699999999998</v>
      </c>
      <c r="T1133" t="s">
        <v>124</v>
      </c>
      <c r="U1133" t="s">
        <v>170</v>
      </c>
    </row>
    <row r="1134" spans="1:21" x14ac:dyDescent="0.25">
      <c r="A1134" t="s">
        <v>3170</v>
      </c>
      <c r="B1134" s="1">
        <v>42530</v>
      </c>
      <c r="C1134" s="1">
        <v>42535</v>
      </c>
      <c r="D1134" t="s">
        <v>40</v>
      </c>
      <c r="E1134" t="s">
        <v>3171</v>
      </c>
      <c r="F1134" t="s">
        <v>3172</v>
      </c>
      <c r="G1134" t="s">
        <v>25</v>
      </c>
      <c r="H1134" t="s">
        <v>26</v>
      </c>
      <c r="I1134" t="s">
        <v>329</v>
      </c>
      <c r="J1134" t="s">
        <v>54</v>
      </c>
      <c r="K1134" t="s">
        <v>55</v>
      </c>
      <c r="L1134" t="s">
        <v>69</v>
      </c>
      <c r="M1134" t="s">
        <v>31</v>
      </c>
      <c r="N1134" t="s">
        <v>37</v>
      </c>
      <c r="O1134" t="s">
        <v>70</v>
      </c>
      <c r="P1134">
        <v>122.352</v>
      </c>
      <c r="Q1134">
        <v>3</v>
      </c>
      <c r="R1134">
        <v>0.2</v>
      </c>
      <c r="S1134">
        <v>13.7646</v>
      </c>
      <c r="T1134" t="s">
        <v>59</v>
      </c>
      <c r="U1134" t="s">
        <v>60</v>
      </c>
    </row>
    <row r="1135" spans="1:21" x14ac:dyDescent="0.25">
      <c r="A1135" t="s">
        <v>3173</v>
      </c>
      <c r="B1135" s="1">
        <v>41908</v>
      </c>
      <c r="C1135" s="1">
        <v>41909</v>
      </c>
      <c r="D1135" t="s">
        <v>88</v>
      </c>
      <c r="E1135" t="s">
        <v>2272</v>
      </c>
      <c r="F1135" t="s">
        <v>2273</v>
      </c>
      <c r="G1135" t="s">
        <v>101</v>
      </c>
      <c r="H1135" t="s">
        <v>26</v>
      </c>
      <c r="I1135" t="s">
        <v>640</v>
      </c>
      <c r="J1135" t="s">
        <v>54</v>
      </c>
      <c r="K1135" t="s">
        <v>55</v>
      </c>
      <c r="L1135" t="s">
        <v>36</v>
      </c>
      <c r="M1135" t="s">
        <v>31</v>
      </c>
      <c r="N1135" t="s">
        <v>37</v>
      </c>
      <c r="O1135" t="s">
        <v>38</v>
      </c>
      <c r="P1135">
        <v>585.55200000000002</v>
      </c>
      <c r="Q1135">
        <v>3</v>
      </c>
      <c r="R1135">
        <v>0.2</v>
      </c>
      <c r="S1135">
        <v>73.194000000000003</v>
      </c>
      <c r="T1135" t="s">
        <v>124</v>
      </c>
      <c r="U1135" t="s">
        <v>78</v>
      </c>
    </row>
    <row r="1136" spans="1:21" x14ac:dyDescent="0.25">
      <c r="A1136" t="s">
        <v>3174</v>
      </c>
      <c r="B1136" s="1">
        <v>43088</v>
      </c>
      <c r="C1136" s="1">
        <v>43092</v>
      </c>
      <c r="D1136" t="s">
        <v>40</v>
      </c>
      <c r="E1136" t="s">
        <v>2385</v>
      </c>
      <c r="F1136" t="s">
        <v>2386</v>
      </c>
      <c r="G1136" t="s">
        <v>25</v>
      </c>
      <c r="H1136" t="s">
        <v>26</v>
      </c>
      <c r="I1136" t="s">
        <v>559</v>
      </c>
      <c r="J1136" t="s">
        <v>181</v>
      </c>
      <c r="K1136" t="s">
        <v>55</v>
      </c>
      <c r="L1136" t="s">
        <v>2426</v>
      </c>
      <c r="M1136" t="s">
        <v>31</v>
      </c>
      <c r="N1136" t="s">
        <v>57</v>
      </c>
      <c r="O1136" t="s">
        <v>2427</v>
      </c>
      <c r="P1136">
        <v>13.36</v>
      </c>
      <c r="Q1136">
        <v>5</v>
      </c>
      <c r="R1136">
        <v>0.2</v>
      </c>
      <c r="S1136">
        <v>4.008</v>
      </c>
      <c r="T1136" t="s">
        <v>84</v>
      </c>
      <c r="U1136" t="s">
        <v>97</v>
      </c>
    </row>
    <row r="1137" spans="1:21" x14ac:dyDescent="0.25">
      <c r="A1137" t="s">
        <v>3174</v>
      </c>
      <c r="B1137" s="1">
        <v>43088</v>
      </c>
      <c r="C1137" s="1">
        <v>43092</v>
      </c>
      <c r="D1137" t="s">
        <v>40</v>
      </c>
      <c r="E1137" t="s">
        <v>2385</v>
      </c>
      <c r="F1137" t="s">
        <v>2386</v>
      </c>
      <c r="G1137" t="s">
        <v>25</v>
      </c>
      <c r="H1137" t="s">
        <v>26</v>
      </c>
      <c r="I1137" t="s">
        <v>559</v>
      </c>
      <c r="J1137" t="s">
        <v>181</v>
      </c>
      <c r="K1137" t="s">
        <v>55</v>
      </c>
      <c r="L1137" t="s">
        <v>1604</v>
      </c>
      <c r="M1137" t="s">
        <v>31</v>
      </c>
      <c r="N1137" t="s">
        <v>32</v>
      </c>
      <c r="O1137" t="s">
        <v>1605</v>
      </c>
      <c r="P1137">
        <v>102.018</v>
      </c>
      <c r="Q1137">
        <v>7</v>
      </c>
      <c r="R1137">
        <v>0.7</v>
      </c>
      <c r="S1137">
        <v>-183.63239999999999</v>
      </c>
      <c r="T1137" t="s">
        <v>84</v>
      </c>
      <c r="U1137" t="s">
        <v>97</v>
      </c>
    </row>
    <row r="1138" spans="1:21" x14ac:dyDescent="0.25">
      <c r="A1138" t="s">
        <v>3175</v>
      </c>
      <c r="B1138" s="1">
        <v>42765</v>
      </c>
      <c r="C1138" s="1">
        <v>42770</v>
      </c>
      <c r="D1138" t="s">
        <v>40</v>
      </c>
      <c r="E1138" t="s">
        <v>74</v>
      </c>
      <c r="F1138" t="s">
        <v>75</v>
      </c>
      <c r="G1138" t="s">
        <v>25</v>
      </c>
      <c r="H1138" t="s">
        <v>26</v>
      </c>
      <c r="I1138" t="s">
        <v>1007</v>
      </c>
      <c r="J1138" t="s">
        <v>44</v>
      </c>
      <c r="K1138" t="s">
        <v>29</v>
      </c>
      <c r="L1138" t="s">
        <v>3176</v>
      </c>
      <c r="M1138" t="s">
        <v>31</v>
      </c>
      <c r="N1138" t="s">
        <v>37</v>
      </c>
      <c r="O1138" t="s">
        <v>3177</v>
      </c>
      <c r="P1138">
        <v>419.13600000000002</v>
      </c>
      <c r="Q1138">
        <v>4</v>
      </c>
      <c r="R1138">
        <v>0.2</v>
      </c>
      <c r="S1138">
        <v>-68.1096</v>
      </c>
      <c r="T1138" t="s">
        <v>59</v>
      </c>
      <c r="U1138" t="s">
        <v>170</v>
      </c>
    </row>
    <row r="1139" spans="1:21" x14ac:dyDescent="0.25">
      <c r="A1139" t="s">
        <v>3178</v>
      </c>
      <c r="B1139" s="1">
        <v>42826</v>
      </c>
      <c r="C1139" s="1">
        <v>42829</v>
      </c>
      <c r="D1139" t="s">
        <v>22</v>
      </c>
      <c r="E1139" t="s">
        <v>1857</v>
      </c>
      <c r="F1139" t="s">
        <v>1858</v>
      </c>
      <c r="G1139" t="s">
        <v>91</v>
      </c>
      <c r="H1139" t="s">
        <v>26</v>
      </c>
      <c r="I1139" t="s">
        <v>607</v>
      </c>
      <c r="J1139" t="s">
        <v>44</v>
      </c>
      <c r="K1139" t="s">
        <v>29</v>
      </c>
      <c r="L1139" t="s">
        <v>1618</v>
      </c>
      <c r="M1139" t="s">
        <v>31</v>
      </c>
      <c r="N1139" t="s">
        <v>37</v>
      </c>
      <c r="O1139" t="s">
        <v>1619</v>
      </c>
      <c r="P1139">
        <v>218.352</v>
      </c>
      <c r="Q1139">
        <v>3</v>
      </c>
      <c r="R1139">
        <v>0.2</v>
      </c>
      <c r="S1139">
        <v>-19.105799999999999</v>
      </c>
      <c r="T1139" t="s">
        <v>34</v>
      </c>
      <c r="U1139" t="s">
        <v>114</v>
      </c>
    </row>
    <row r="1140" spans="1:21" x14ac:dyDescent="0.25">
      <c r="A1140" t="s">
        <v>3179</v>
      </c>
      <c r="B1140" s="1">
        <v>41971</v>
      </c>
      <c r="C1140" s="1">
        <v>41971</v>
      </c>
      <c r="D1140" t="s">
        <v>426</v>
      </c>
      <c r="E1140" t="s">
        <v>2597</v>
      </c>
      <c r="F1140" t="s">
        <v>2598</v>
      </c>
      <c r="G1140" t="s">
        <v>101</v>
      </c>
      <c r="H1140" t="s">
        <v>26</v>
      </c>
      <c r="I1140" t="s">
        <v>329</v>
      </c>
      <c r="J1140" t="s">
        <v>54</v>
      </c>
      <c r="K1140" t="s">
        <v>55</v>
      </c>
      <c r="L1140" t="s">
        <v>1475</v>
      </c>
      <c r="M1140" t="s">
        <v>31</v>
      </c>
      <c r="N1140" t="s">
        <v>32</v>
      </c>
      <c r="O1140" t="s">
        <v>1476</v>
      </c>
      <c r="P1140">
        <v>411.33199999999999</v>
      </c>
      <c r="Q1140">
        <v>4</v>
      </c>
      <c r="R1140">
        <v>0.15</v>
      </c>
      <c r="S1140">
        <v>-4.8391999999999999</v>
      </c>
      <c r="T1140" t="s">
        <v>431</v>
      </c>
      <c r="U1140" t="s">
        <v>35</v>
      </c>
    </row>
    <row r="1141" spans="1:21" x14ac:dyDescent="0.25">
      <c r="A1141" t="s">
        <v>3180</v>
      </c>
      <c r="B1141" s="1">
        <v>42931</v>
      </c>
      <c r="C1141" s="1">
        <v>42934</v>
      </c>
      <c r="D1141" t="s">
        <v>22</v>
      </c>
      <c r="E1141" t="s">
        <v>1442</v>
      </c>
      <c r="F1141" t="s">
        <v>1443</v>
      </c>
      <c r="G1141" t="s">
        <v>25</v>
      </c>
      <c r="H1141" t="s">
        <v>26</v>
      </c>
      <c r="I1141" t="s">
        <v>174</v>
      </c>
      <c r="J1141" t="s">
        <v>121</v>
      </c>
      <c r="K1141" t="s">
        <v>68</v>
      </c>
      <c r="L1141" t="s">
        <v>1748</v>
      </c>
      <c r="M1141" t="s">
        <v>31</v>
      </c>
      <c r="N1141" t="s">
        <v>37</v>
      </c>
      <c r="O1141" t="s">
        <v>1749</v>
      </c>
      <c r="P1141">
        <v>664.14599999999996</v>
      </c>
      <c r="Q1141">
        <v>6</v>
      </c>
      <c r="R1141">
        <v>0.1</v>
      </c>
      <c r="S1141">
        <v>88.552800000000005</v>
      </c>
      <c r="T1141" t="s">
        <v>34</v>
      </c>
      <c r="U1141" t="s">
        <v>72</v>
      </c>
    </row>
    <row r="1142" spans="1:21" x14ac:dyDescent="0.25">
      <c r="A1142" t="s">
        <v>3181</v>
      </c>
      <c r="B1142" s="1">
        <v>43041</v>
      </c>
      <c r="C1142" s="1">
        <v>43045</v>
      </c>
      <c r="D1142" t="s">
        <v>40</v>
      </c>
      <c r="E1142" t="s">
        <v>3182</v>
      </c>
      <c r="F1142" t="s">
        <v>3183</v>
      </c>
      <c r="G1142" t="s">
        <v>91</v>
      </c>
      <c r="H1142" t="s">
        <v>26</v>
      </c>
      <c r="I1142" t="s">
        <v>66</v>
      </c>
      <c r="J1142" t="s">
        <v>67</v>
      </c>
      <c r="K1142" t="s">
        <v>68</v>
      </c>
      <c r="L1142" t="s">
        <v>1981</v>
      </c>
      <c r="M1142" t="s">
        <v>31</v>
      </c>
      <c r="N1142" t="s">
        <v>57</v>
      </c>
      <c r="O1142" t="s">
        <v>1982</v>
      </c>
      <c r="P1142">
        <v>3.3119999999999998</v>
      </c>
      <c r="Q1142">
        <v>1</v>
      </c>
      <c r="R1142">
        <v>0.2</v>
      </c>
      <c r="S1142">
        <v>0.66239999999999999</v>
      </c>
      <c r="T1142" t="s">
        <v>84</v>
      </c>
      <c r="U1142" t="s">
        <v>35</v>
      </c>
    </row>
    <row r="1143" spans="1:21" x14ac:dyDescent="0.25">
      <c r="A1143" t="s">
        <v>3184</v>
      </c>
      <c r="B1143" s="1">
        <v>42285</v>
      </c>
      <c r="C1143" s="1">
        <v>42289</v>
      </c>
      <c r="D1143" t="s">
        <v>40</v>
      </c>
      <c r="E1143" t="s">
        <v>1301</v>
      </c>
      <c r="F1143" t="s">
        <v>1302</v>
      </c>
      <c r="G1143" t="s">
        <v>25</v>
      </c>
      <c r="H1143" t="s">
        <v>26</v>
      </c>
      <c r="I1143" t="s">
        <v>329</v>
      </c>
      <c r="J1143" t="s">
        <v>54</v>
      </c>
      <c r="K1143" t="s">
        <v>55</v>
      </c>
      <c r="L1143" t="s">
        <v>390</v>
      </c>
      <c r="M1143" t="s">
        <v>31</v>
      </c>
      <c r="N1143" t="s">
        <v>57</v>
      </c>
      <c r="O1143" t="s">
        <v>391</v>
      </c>
      <c r="P1143">
        <v>145.9</v>
      </c>
      <c r="Q1143">
        <v>5</v>
      </c>
      <c r="R1143">
        <v>0</v>
      </c>
      <c r="S1143">
        <v>62.737000000000002</v>
      </c>
      <c r="T1143" t="s">
        <v>84</v>
      </c>
      <c r="U1143" t="s">
        <v>49</v>
      </c>
    </row>
    <row r="1144" spans="1:21" x14ac:dyDescent="0.25">
      <c r="A1144" t="s">
        <v>3185</v>
      </c>
      <c r="B1144" s="1">
        <v>43073</v>
      </c>
      <c r="C1144" s="1">
        <v>43078</v>
      </c>
      <c r="D1144" t="s">
        <v>40</v>
      </c>
      <c r="E1144" t="s">
        <v>3186</v>
      </c>
      <c r="F1144" t="s">
        <v>3187</v>
      </c>
      <c r="G1144" t="s">
        <v>91</v>
      </c>
      <c r="H1144" t="s">
        <v>26</v>
      </c>
      <c r="I1144" t="s">
        <v>66</v>
      </c>
      <c r="J1144" t="s">
        <v>67</v>
      </c>
      <c r="K1144" t="s">
        <v>68</v>
      </c>
      <c r="L1144" t="s">
        <v>1103</v>
      </c>
      <c r="M1144" t="s">
        <v>31</v>
      </c>
      <c r="N1144" t="s">
        <v>37</v>
      </c>
      <c r="O1144" t="s">
        <v>1104</v>
      </c>
      <c r="P1144">
        <v>239.96</v>
      </c>
      <c r="Q1144">
        <v>10</v>
      </c>
      <c r="R1144">
        <v>0.3</v>
      </c>
      <c r="S1144">
        <v>-10.284000000000001</v>
      </c>
      <c r="T1144" t="s">
        <v>59</v>
      </c>
      <c r="U1144" t="s">
        <v>97</v>
      </c>
    </row>
    <row r="1145" spans="1:21" x14ac:dyDescent="0.25">
      <c r="A1145" t="s">
        <v>3185</v>
      </c>
      <c r="B1145" s="1">
        <v>43073</v>
      </c>
      <c r="C1145" s="1">
        <v>43078</v>
      </c>
      <c r="D1145" t="s">
        <v>40</v>
      </c>
      <c r="E1145" t="s">
        <v>3186</v>
      </c>
      <c r="F1145" t="s">
        <v>3187</v>
      </c>
      <c r="G1145" t="s">
        <v>91</v>
      </c>
      <c r="H1145" t="s">
        <v>26</v>
      </c>
      <c r="I1145" t="s">
        <v>66</v>
      </c>
      <c r="J1145" t="s">
        <v>67</v>
      </c>
      <c r="K1145" t="s">
        <v>68</v>
      </c>
      <c r="L1145" t="s">
        <v>1591</v>
      </c>
      <c r="M1145" t="s">
        <v>31</v>
      </c>
      <c r="N1145" t="s">
        <v>57</v>
      </c>
      <c r="O1145" t="s">
        <v>1592</v>
      </c>
      <c r="P1145">
        <v>54.768000000000001</v>
      </c>
      <c r="Q1145">
        <v>2</v>
      </c>
      <c r="R1145">
        <v>0.2</v>
      </c>
      <c r="S1145">
        <v>6.8460000000000001</v>
      </c>
      <c r="T1145" t="s">
        <v>59</v>
      </c>
      <c r="U1145" t="s">
        <v>97</v>
      </c>
    </row>
    <row r="1146" spans="1:21" x14ac:dyDescent="0.25">
      <c r="A1146" t="s">
        <v>3188</v>
      </c>
      <c r="B1146" s="1">
        <v>42877</v>
      </c>
      <c r="C1146" s="1">
        <v>42881</v>
      </c>
      <c r="D1146" t="s">
        <v>40</v>
      </c>
      <c r="E1146" t="s">
        <v>794</v>
      </c>
      <c r="F1146" t="s">
        <v>795</v>
      </c>
      <c r="G1146" t="s">
        <v>25</v>
      </c>
      <c r="H1146" t="s">
        <v>26</v>
      </c>
      <c r="I1146" t="s">
        <v>134</v>
      </c>
      <c r="J1146" t="s">
        <v>135</v>
      </c>
      <c r="K1146" t="s">
        <v>94</v>
      </c>
      <c r="L1146" t="s">
        <v>143</v>
      </c>
      <c r="M1146" t="s">
        <v>31</v>
      </c>
      <c r="N1146" t="s">
        <v>37</v>
      </c>
      <c r="O1146" t="s">
        <v>144</v>
      </c>
      <c r="P1146">
        <v>181.98599999999999</v>
      </c>
      <c r="Q1146">
        <v>2</v>
      </c>
      <c r="R1146">
        <v>0.3</v>
      </c>
      <c r="S1146">
        <v>-54.595799999999997</v>
      </c>
      <c r="T1146" t="s">
        <v>84</v>
      </c>
      <c r="U1146" t="s">
        <v>162</v>
      </c>
    </row>
    <row r="1147" spans="1:21" x14ac:dyDescent="0.25">
      <c r="A1147" t="s">
        <v>3189</v>
      </c>
      <c r="B1147" s="1">
        <v>42723</v>
      </c>
      <c r="C1147" s="1">
        <v>42729</v>
      </c>
      <c r="D1147" t="s">
        <v>40</v>
      </c>
      <c r="E1147" t="s">
        <v>2865</v>
      </c>
      <c r="F1147" t="s">
        <v>2866</v>
      </c>
      <c r="G1147" t="s">
        <v>91</v>
      </c>
      <c r="H1147" t="s">
        <v>26</v>
      </c>
      <c r="I1147" t="s">
        <v>1223</v>
      </c>
      <c r="J1147" t="s">
        <v>521</v>
      </c>
      <c r="K1147" t="s">
        <v>55</v>
      </c>
      <c r="L1147" t="s">
        <v>3190</v>
      </c>
      <c r="M1147" t="s">
        <v>31</v>
      </c>
      <c r="N1147" t="s">
        <v>46</v>
      </c>
      <c r="O1147" t="s">
        <v>3191</v>
      </c>
      <c r="P1147">
        <v>455.97</v>
      </c>
      <c r="Q1147">
        <v>6</v>
      </c>
      <c r="R1147">
        <v>0.5</v>
      </c>
      <c r="S1147">
        <v>-218.8656</v>
      </c>
      <c r="T1147" t="s">
        <v>130</v>
      </c>
      <c r="U1147" t="s">
        <v>97</v>
      </c>
    </row>
    <row r="1148" spans="1:21" x14ac:dyDescent="0.25">
      <c r="A1148" t="s">
        <v>3192</v>
      </c>
      <c r="B1148" s="1">
        <v>42985</v>
      </c>
      <c r="C1148" s="1">
        <v>42986</v>
      </c>
      <c r="D1148" t="s">
        <v>88</v>
      </c>
      <c r="E1148" t="s">
        <v>2168</v>
      </c>
      <c r="F1148" t="s">
        <v>2169</v>
      </c>
      <c r="G1148" t="s">
        <v>25</v>
      </c>
      <c r="H1148" t="s">
        <v>26</v>
      </c>
      <c r="I1148" t="s">
        <v>3193</v>
      </c>
      <c r="J1148" t="s">
        <v>77</v>
      </c>
      <c r="K1148" t="s">
        <v>55</v>
      </c>
      <c r="L1148" t="s">
        <v>2615</v>
      </c>
      <c r="M1148" t="s">
        <v>31</v>
      </c>
      <c r="N1148" t="s">
        <v>57</v>
      </c>
      <c r="O1148" t="s">
        <v>2616</v>
      </c>
      <c r="P1148">
        <v>25.16</v>
      </c>
      <c r="Q1148">
        <v>2</v>
      </c>
      <c r="R1148">
        <v>0</v>
      </c>
      <c r="S1148">
        <v>10.5672</v>
      </c>
      <c r="T1148" t="s">
        <v>124</v>
      </c>
      <c r="U1148" t="s">
        <v>78</v>
      </c>
    </row>
    <row r="1149" spans="1:21" x14ac:dyDescent="0.25">
      <c r="A1149" t="s">
        <v>3194</v>
      </c>
      <c r="B1149" s="1">
        <v>41955</v>
      </c>
      <c r="C1149" s="1">
        <v>41959</v>
      </c>
      <c r="D1149" t="s">
        <v>40</v>
      </c>
      <c r="E1149" t="s">
        <v>3195</v>
      </c>
      <c r="F1149" t="s">
        <v>3196</v>
      </c>
      <c r="G1149" t="s">
        <v>91</v>
      </c>
      <c r="H1149" t="s">
        <v>26</v>
      </c>
      <c r="I1149" t="s">
        <v>102</v>
      </c>
      <c r="J1149" t="s">
        <v>93</v>
      </c>
      <c r="K1149" t="s">
        <v>94</v>
      </c>
      <c r="L1149" t="s">
        <v>1137</v>
      </c>
      <c r="M1149" t="s">
        <v>31</v>
      </c>
      <c r="N1149" t="s">
        <v>32</v>
      </c>
      <c r="O1149" t="s">
        <v>1138</v>
      </c>
      <c r="P1149">
        <v>67.993200000000002</v>
      </c>
      <c r="Q1149">
        <v>1</v>
      </c>
      <c r="R1149">
        <v>0.32</v>
      </c>
      <c r="S1149">
        <v>-12.998699999999999</v>
      </c>
      <c r="T1149" t="s">
        <v>84</v>
      </c>
      <c r="U1149" t="s">
        <v>35</v>
      </c>
    </row>
    <row r="1150" spans="1:21" x14ac:dyDescent="0.25">
      <c r="A1150" t="s">
        <v>3197</v>
      </c>
      <c r="B1150" s="1">
        <v>43010</v>
      </c>
      <c r="C1150" s="1">
        <v>43014</v>
      </c>
      <c r="D1150" t="s">
        <v>22</v>
      </c>
      <c r="E1150" t="s">
        <v>1321</v>
      </c>
      <c r="F1150" t="s">
        <v>1322</v>
      </c>
      <c r="G1150" t="s">
        <v>91</v>
      </c>
      <c r="H1150" t="s">
        <v>26</v>
      </c>
      <c r="I1150" t="s">
        <v>1617</v>
      </c>
      <c r="J1150" t="s">
        <v>1277</v>
      </c>
      <c r="K1150" t="s">
        <v>29</v>
      </c>
      <c r="L1150" t="s">
        <v>2391</v>
      </c>
      <c r="M1150" t="s">
        <v>31</v>
      </c>
      <c r="N1150" t="s">
        <v>57</v>
      </c>
      <c r="O1150" t="s">
        <v>2392</v>
      </c>
      <c r="P1150">
        <v>10.16</v>
      </c>
      <c r="Q1150">
        <v>2</v>
      </c>
      <c r="R1150">
        <v>0</v>
      </c>
      <c r="S1150">
        <v>3.4544000000000001</v>
      </c>
      <c r="T1150" t="s">
        <v>84</v>
      </c>
      <c r="U1150" t="s">
        <v>49</v>
      </c>
    </row>
    <row r="1151" spans="1:21" x14ac:dyDescent="0.25">
      <c r="A1151" t="s">
        <v>3198</v>
      </c>
      <c r="B1151" s="1">
        <v>42352</v>
      </c>
      <c r="C1151" s="1">
        <v>42356</v>
      </c>
      <c r="D1151" t="s">
        <v>40</v>
      </c>
      <c r="E1151" t="s">
        <v>2498</v>
      </c>
      <c r="F1151" t="s">
        <v>2499</v>
      </c>
      <c r="G1151" t="s">
        <v>91</v>
      </c>
      <c r="H1151" t="s">
        <v>26</v>
      </c>
      <c r="I1151" t="s">
        <v>478</v>
      </c>
      <c r="J1151" t="s">
        <v>479</v>
      </c>
      <c r="K1151" t="s">
        <v>29</v>
      </c>
      <c r="L1151" t="s">
        <v>2012</v>
      </c>
      <c r="M1151" t="s">
        <v>31</v>
      </c>
      <c r="N1151" t="s">
        <v>57</v>
      </c>
      <c r="O1151" t="s">
        <v>2013</v>
      </c>
      <c r="P1151">
        <v>6.16</v>
      </c>
      <c r="Q1151">
        <v>2</v>
      </c>
      <c r="R1151">
        <v>0</v>
      </c>
      <c r="S1151">
        <v>1.9712000000000001</v>
      </c>
      <c r="T1151" t="s">
        <v>84</v>
      </c>
      <c r="U1151" t="s">
        <v>97</v>
      </c>
    </row>
    <row r="1152" spans="1:21" x14ac:dyDescent="0.25">
      <c r="A1152" t="s">
        <v>3199</v>
      </c>
      <c r="B1152" s="1">
        <v>42807</v>
      </c>
      <c r="C1152" s="1">
        <v>42807</v>
      </c>
      <c r="D1152" t="s">
        <v>426</v>
      </c>
      <c r="E1152" t="s">
        <v>3200</v>
      </c>
      <c r="F1152" t="s">
        <v>3201</v>
      </c>
      <c r="G1152" t="s">
        <v>101</v>
      </c>
      <c r="H1152" t="s">
        <v>26</v>
      </c>
      <c r="I1152" t="s">
        <v>134</v>
      </c>
      <c r="J1152" t="s">
        <v>135</v>
      </c>
      <c r="K1152" t="s">
        <v>94</v>
      </c>
      <c r="L1152" t="s">
        <v>2574</v>
      </c>
      <c r="M1152" t="s">
        <v>31</v>
      </c>
      <c r="N1152" t="s">
        <v>37</v>
      </c>
      <c r="O1152" t="s">
        <v>2575</v>
      </c>
      <c r="P1152">
        <v>89.768000000000001</v>
      </c>
      <c r="Q1152">
        <v>1</v>
      </c>
      <c r="R1152">
        <v>0.3</v>
      </c>
      <c r="S1152">
        <v>-2.5648</v>
      </c>
      <c r="T1152" t="s">
        <v>431</v>
      </c>
      <c r="U1152" t="s">
        <v>196</v>
      </c>
    </row>
    <row r="1153" spans="1:21" x14ac:dyDescent="0.25">
      <c r="A1153" t="s">
        <v>3202</v>
      </c>
      <c r="B1153" s="1">
        <v>42716</v>
      </c>
      <c r="C1153" s="1">
        <v>42720</v>
      </c>
      <c r="D1153" t="s">
        <v>40</v>
      </c>
      <c r="E1153" t="s">
        <v>3203</v>
      </c>
      <c r="F1153" t="s">
        <v>3204</v>
      </c>
      <c r="G1153" t="s">
        <v>25</v>
      </c>
      <c r="H1153" t="s">
        <v>26</v>
      </c>
      <c r="I1153" t="s">
        <v>1186</v>
      </c>
      <c r="J1153" t="s">
        <v>54</v>
      </c>
      <c r="K1153" t="s">
        <v>55</v>
      </c>
      <c r="L1153" t="s">
        <v>552</v>
      </c>
      <c r="M1153" t="s">
        <v>31</v>
      </c>
      <c r="N1153" t="s">
        <v>57</v>
      </c>
      <c r="O1153" t="s">
        <v>553</v>
      </c>
      <c r="P1153">
        <v>383.64</v>
      </c>
      <c r="Q1153">
        <v>6</v>
      </c>
      <c r="R1153">
        <v>0</v>
      </c>
      <c r="S1153">
        <v>122.76479999999999</v>
      </c>
      <c r="T1153" t="s">
        <v>84</v>
      </c>
      <c r="U1153" t="s">
        <v>97</v>
      </c>
    </row>
    <row r="1154" spans="1:21" x14ac:dyDescent="0.25">
      <c r="A1154" t="s">
        <v>3205</v>
      </c>
      <c r="B1154" s="1">
        <v>42987</v>
      </c>
      <c r="C1154" s="1">
        <v>42992</v>
      </c>
      <c r="D1154" t="s">
        <v>22</v>
      </c>
      <c r="E1154" t="s">
        <v>2416</v>
      </c>
      <c r="F1154" t="s">
        <v>2417</v>
      </c>
      <c r="G1154" t="s">
        <v>25</v>
      </c>
      <c r="H1154" t="s">
        <v>26</v>
      </c>
      <c r="I1154" t="s">
        <v>53</v>
      </c>
      <c r="J1154" t="s">
        <v>54</v>
      </c>
      <c r="K1154" t="s">
        <v>55</v>
      </c>
      <c r="L1154" t="s">
        <v>1657</v>
      </c>
      <c r="M1154" t="s">
        <v>31</v>
      </c>
      <c r="N1154" t="s">
        <v>37</v>
      </c>
      <c r="O1154" t="s">
        <v>1658</v>
      </c>
      <c r="P1154">
        <v>243.92</v>
      </c>
      <c r="Q1154">
        <v>5</v>
      </c>
      <c r="R1154">
        <v>0.2</v>
      </c>
      <c r="S1154">
        <v>-15.244999999999999</v>
      </c>
      <c r="T1154" t="s">
        <v>59</v>
      </c>
      <c r="U1154" t="s">
        <v>78</v>
      </c>
    </row>
    <row r="1155" spans="1:21" x14ac:dyDescent="0.25">
      <c r="A1155" t="s">
        <v>3206</v>
      </c>
      <c r="B1155" s="1">
        <v>43012</v>
      </c>
      <c r="C1155" s="1">
        <v>43016</v>
      </c>
      <c r="D1155" t="s">
        <v>40</v>
      </c>
      <c r="E1155" t="s">
        <v>132</v>
      </c>
      <c r="F1155" t="s">
        <v>133</v>
      </c>
      <c r="G1155" t="s">
        <v>101</v>
      </c>
      <c r="H1155" t="s">
        <v>26</v>
      </c>
      <c r="I1155" t="s">
        <v>2523</v>
      </c>
      <c r="J1155" t="s">
        <v>1090</v>
      </c>
      <c r="K1155" t="s">
        <v>68</v>
      </c>
      <c r="L1155" t="s">
        <v>1122</v>
      </c>
      <c r="M1155" t="s">
        <v>31</v>
      </c>
      <c r="N1155" t="s">
        <v>57</v>
      </c>
      <c r="O1155" t="s">
        <v>1123</v>
      </c>
      <c r="P1155">
        <v>19.98</v>
      </c>
      <c r="Q1155">
        <v>1</v>
      </c>
      <c r="R1155">
        <v>0</v>
      </c>
      <c r="S1155">
        <v>8.5914000000000001</v>
      </c>
      <c r="T1155" t="s">
        <v>84</v>
      </c>
      <c r="U1155" t="s">
        <v>49</v>
      </c>
    </row>
    <row r="1156" spans="1:21" x14ac:dyDescent="0.25">
      <c r="A1156" t="s">
        <v>3207</v>
      </c>
      <c r="B1156" s="1">
        <v>41988</v>
      </c>
      <c r="C1156" s="1">
        <v>41992</v>
      </c>
      <c r="D1156" t="s">
        <v>22</v>
      </c>
      <c r="E1156" t="s">
        <v>341</v>
      </c>
      <c r="F1156" t="s">
        <v>342</v>
      </c>
      <c r="G1156" t="s">
        <v>25</v>
      </c>
      <c r="H1156" t="s">
        <v>26</v>
      </c>
      <c r="I1156" t="s">
        <v>640</v>
      </c>
      <c r="J1156" t="s">
        <v>54</v>
      </c>
      <c r="K1156" t="s">
        <v>55</v>
      </c>
      <c r="L1156" t="s">
        <v>2012</v>
      </c>
      <c r="M1156" t="s">
        <v>31</v>
      </c>
      <c r="N1156" t="s">
        <v>57</v>
      </c>
      <c r="O1156" t="s">
        <v>2013</v>
      </c>
      <c r="P1156">
        <v>6.16</v>
      </c>
      <c r="Q1156">
        <v>2</v>
      </c>
      <c r="R1156">
        <v>0</v>
      </c>
      <c r="S1156">
        <v>1.9712000000000001</v>
      </c>
      <c r="T1156" t="s">
        <v>84</v>
      </c>
      <c r="U1156" t="s">
        <v>97</v>
      </c>
    </row>
    <row r="1157" spans="1:21" x14ac:dyDescent="0.25">
      <c r="A1157" t="s">
        <v>3208</v>
      </c>
      <c r="B1157" s="1">
        <v>41925</v>
      </c>
      <c r="C1157" s="1">
        <v>41930</v>
      </c>
      <c r="D1157" t="s">
        <v>22</v>
      </c>
      <c r="E1157" t="s">
        <v>1395</v>
      </c>
      <c r="F1157" t="s">
        <v>1396</v>
      </c>
      <c r="G1157" t="s">
        <v>91</v>
      </c>
      <c r="H1157" t="s">
        <v>26</v>
      </c>
      <c r="I1157" t="s">
        <v>2061</v>
      </c>
      <c r="J1157" t="s">
        <v>363</v>
      </c>
      <c r="K1157" t="s">
        <v>68</v>
      </c>
      <c r="L1157" t="s">
        <v>1029</v>
      </c>
      <c r="M1157" t="s">
        <v>31</v>
      </c>
      <c r="N1157" t="s">
        <v>37</v>
      </c>
      <c r="O1157" t="s">
        <v>1030</v>
      </c>
      <c r="P1157">
        <v>245.98</v>
      </c>
      <c r="Q1157">
        <v>2</v>
      </c>
      <c r="R1157">
        <v>0</v>
      </c>
      <c r="S1157">
        <v>27.0578</v>
      </c>
      <c r="T1157" t="s">
        <v>59</v>
      </c>
      <c r="U1157" t="s">
        <v>49</v>
      </c>
    </row>
    <row r="1158" spans="1:21" x14ac:dyDescent="0.25">
      <c r="A1158" t="s">
        <v>3209</v>
      </c>
      <c r="B1158" s="1">
        <v>42633</v>
      </c>
      <c r="C1158" s="1">
        <v>42638</v>
      </c>
      <c r="D1158" t="s">
        <v>40</v>
      </c>
      <c r="E1158" t="s">
        <v>1460</v>
      </c>
      <c r="F1158" t="s">
        <v>1461</v>
      </c>
      <c r="G1158" t="s">
        <v>91</v>
      </c>
      <c r="H1158" t="s">
        <v>26</v>
      </c>
      <c r="I1158" t="s">
        <v>2570</v>
      </c>
      <c r="J1158" t="s">
        <v>1037</v>
      </c>
      <c r="K1158" t="s">
        <v>29</v>
      </c>
      <c r="L1158" t="s">
        <v>2141</v>
      </c>
      <c r="M1158" t="s">
        <v>31</v>
      </c>
      <c r="N1158" t="s">
        <v>57</v>
      </c>
      <c r="O1158" t="s">
        <v>2142</v>
      </c>
      <c r="P1158">
        <v>17.088000000000001</v>
      </c>
      <c r="Q1158">
        <v>2</v>
      </c>
      <c r="R1158">
        <v>0.2</v>
      </c>
      <c r="S1158">
        <v>1.0680000000000001</v>
      </c>
      <c r="T1158" t="s">
        <v>59</v>
      </c>
      <c r="U1158" t="s">
        <v>78</v>
      </c>
    </row>
    <row r="1159" spans="1:21" x14ac:dyDescent="0.25">
      <c r="A1159" t="s">
        <v>3209</v>
      </c>
      <c r="B1159" s="1">
        <v>42633</v>
      </c>
      <c r="C1159" s="1">
        <v>42638</v>
      </c>
      <c r="D1159" t="s">
        <v>40</v>
      </c>
      <c r="E1159" t="s">
        <v>1460</v>
      </c>
      <c r="F1159" t="s">
        <v>1461</v>
      </c>
      <c r="G1159" t="s">
        <v>91</v>
      </c>
      <c r="H1159" t="s">
        <v>26</v>
      </c>
      <c r="I1159" t="s">
        <v>2570</v>
      </c>
      <c r="J1159" t="s">
        <v>1037</v>
      </c>
      <c r="K1159" t="s">
        <v>29</v>
      </c>
      <c r="L1159" t="s">
        <v>1029</v>
      </c>
      <c r="M1159" t="s">
        <v>31</v>
      </c>
      <c r="N1159" t="s">
        <v>37</v>
      </c>
      <c r="O1159" t="s">
        <v>1030</v>
      </c>
      <c r="P1159">
        <v>98.391999999999996</v>
      </c>
      <c r="Q1159">
        <v>1</v>
      </c>
      <c r="R1159">
        <v>0.2</v>
      </c>
      <c r="S1159">
        <v>-11.069100000000001</v>
      </c>
      <c r="T1159" t="s">
        <v>59</v>
      </c>
      <c r="U1159" t="s">
        <v>78</v>
      </c>
    </row>
    <row r="1160" spans="1:21" x14ac:dyDescent="0.25">
      <c r="A1160" t="s">
        <v>3210</v>
      </c>
      <c r="B1160" s="1">
        <v>42916</v>
      </c>
      <c r="C1160" s="1">
        <v>42920</v>
      </c>
      <c r="D1160" t="s">
        <v>40</v>
      </c>
      <c r="E1160" t="s">
        <v>2217</v>
      </c>
      <c r="F1160" t="s">
        <v>2218</v>
      </c>
      <c r="G1160" t="s">
        <v>91</v>
      </c>
      <c r="H1160" t="s">
        <v>26</v>
      </c>
      <c r="I1160" t="s">
        <v>141</v>
      </c>
      <c r="J1160" t="s">
        <v>142</v>
      </c>
      <c r="K1160" t="s">
        <v>29</v>
      </c>
      <c r="L1160" t="s">
        <v>1483</v>
      </c>
      <c r="M1160" t="s">
        <v>31</v>
      </c>
      <c r="N1160" t="s">
        <v>57</v>
      </c>
      <c r="O1160" t="s">
        <v>1484</v>
      </c>
      <c r="P1160">
        <v>19.52</v>
      </c>
      <c r="Q1160">
        <v>2</v>
      </c>
      <c r="R1160">
        <v>0.2</v>
      </c>
      <c r="S1160">
        <v>5.3680000000000003</v>
      </c>
      <c r="T1160" t="s">
        <v>84</v>
      </c>
      <c r="U1160" t="s">
        <v>60</v>
      </c>
    </row>
    <row r="1161" spans="1:21" x14ac:dyDescent="0.25">
      <c r="A1161" t="s">
        <v>3211</v>
      </c>
      <c r="B1161" s="1">
        <v>42638</v>
      </c>
      <c r="C1161" s="1">
        <v>42643</v>
      </c>
      <c r="D1161" t="s">
        <v>40</v>
      </c>
      <c r="E1161" t="s">
        <v>3212</v>
      </c>
      <c r="F1161" t="s">
        <v>3213</v>
      </c>
      <c r="G1161" t="s">
        <v>91</v>
      </c>
      <c r="H1161" t="s">
        <v>26</v>
      </c>
      <c r="I1161" t="s">
        <v>3214</v>
      </c>
      <c r="J1161" t="s">
        <v>239</v>
      </c>
      <c r="K1161" t="s">
        <v>94</v>
      </c>
      <c r="L1161" t="s">
        <v>105</v>
      </c>
      <c r="M1161" t="s">
        <v>31</v>
      </c>
      <c r="N1161" t="s">
        <v>37</v>
      </c>
      <c r="O1161" t="s">
        <v>106</v>
      </c>
      <c r="P1161">
        <v>201.96</v>
      </c>
      <c r="Q1161">
        <v>2</v>
      </c>
      <c r="R1161">
        <v>0</v>
      </c>
      <c r="S1161">
        <v>50.49</v>
      </c>
      <c r="T1161" t="s">
        <v>59</v>
      </c>
      <c r="U1161" t="s">
        <v>78</v>
      </c>
    </row>
    <row r="1162" spans="1:21" x14ac:dyDescent="0.25">
      <c r="A1162" t="s">
        <v>3211</v>
      </c>
      <c r="B1162" s="1">
        <v>42638</v>
      </c>
      <c r="C1162" s="1">
        <v>42643</v>
      </c>
      <c r="D1162" t="s">
        <v>40</v>
      </c>
      <c r="E1162" t="s">
        <v>3212</v>
      </c>
      <c r="F1162" t="s">
        <v>3213</v>
      </c>
      <c r="G1162" t="s">
        <v>91</v>
      </c>
      <c r="H1162" t="s">
        <v>26</v>
      </c>
      <c r="I1162" t="s">
        <v>3214</v>
      </c>
      <c r="J1162" t="s">
        <v>239</v>
      </c>
      <c r="K1162" t="s">
        <v>94</v>
      </c>
      <c r="L1162" t="s">
        <v>2233</v>
      </c>
      <c r="M1162" t="s">
        <v>31</v>
      </c>
      <c r="N1162" t="s">
        <v>57</v>
      </c>
      <c r="O1162" t="s">
        <v>2234</v>
      </c>
      <c r="P1162">
        <v>68.64</v>
      </c>
      <c r="Q1162">
        <v>11</v>
      </c>
      <c r="R1162">
        <v>0</v>
      </c>
      <c r="S1162">
        <v>17.16</v>
      </c>
      <c r="T1162" t="s">
        <v>59</v>
      </c>
      <c r="U1162" t="s">
        <v>78</v>
      </c>
    </row>
    <row r="1163" spans="1:21" x14ac:dyDescent="0.25">
      <c r="A1163" t="s">
        <v>3215</v>
      </c>
      <c r="B1163" s="1">
        <v>41911</v>
      </c>
      <c r="C1163" s="1">
        <v>41913</v>
      </c>
      <c r="D1163" t="s">
        <v>22</v>
      </c>
      <c r="E1163" t="s">
        <v>1241</v>
      </c>
      <c r="F1163" t="s">
        <v>1242</v>
      </c>
      <c r="G1163" t="s">
        <v>101</v>
      </c>
      <c r="H1163" t="s">
        <v>26</v>
      </c>
      <c r="I1163" t="s">
        <v>192</v>
      </c>
      <c r="J1163" t="s">
        <v>193</v>
      </c>
      <c r="K1163" t="s">
        <v>55</v>
      </c>
      <c r="L1163" t="s">
        <v>112</v>
      </c>
      <c r="M1163" t="s">
        <v>31</v>
      </c>
      <c r="N1163" t="s">
        <v>57</v>
      </c>
      <c r="O1163" t="s">
        <v>113</v>
      </c>
      <c r="P1163">
        <v>6.16</v>
      </c>
      <c r="Q1163">
        <v>2</v>
      </c>
      <c r="R1163">
        <v>0</v>
      </c>
      <c r="S1163">
        <v>2.9567999999999999</v>
      </c>
      <c r="T1163" t="s">
        <v>71</v>
      </c>
      <c r="U1163" t="s">
        <v>78</v>
      </c>
    </row>
    <row r="1164" spans="1:21" x14ac:dyDescent="0.25">
      <c r="A1164" t="s">
        <v>3215</v>
      </c>
      <c r="B1164" s="1">
        <v>41911</v>
      </c>
      <c r="C1164" s="1">
        <v>41913</v>
      </c>
      <c r="D1164" t="s">
        <v>22</v>
      </c>
      <c r="E1164" t="s">
        <v>1241</v>
      </c>
      <c r="F1164" t="s">
        <v>1242</v>
      </c>
      <c r="G1164" t="s">
        <v>101</v>
      </c>
      <c r="H1164" t="s">
        <v>26</v>
      </c>
      <c r="I1164" t="s">
        <v>192</v>
      </c>
      <c r="J1164" t="s">
        <v>193</v>
      </c>
      <c r="K1164" t="s">
        <v>55</v>
      </c>
      <c r="L1164" t="s">
        <v>1248</v>
      </c>
      <c r="M1164" t="s">
        <v>31</v>
      </c>
      <c r="N1164" t="s">
        <v>46</v>
      </c>
      <c r="O1164" t="s">
        <v>1249</v>
      </c>
      <c r="P1164">
        <v>2348.8200000000002</v>
      </c>
      <c r="Q1164">
        <v>9</v>
      </c>
      <c r="R1164">
        <v>0</v>
      </c>
      <c r="S1164">
        <v>399.29939999999999</v>
      </c>
      <c r="T1164" t="s">
        <v>71</v>
      </c>
      <c r="U1164" t="s">
        <v>78</v>
      </c>
    </row>
    <row r="1165" spans="1:21" x14ac:dyDescent="0.25">
      <c r="A1165" t="s">
        <v>3216</v>
      </c>
      <c r="B1165" s="1">
        <v>42912</v>
      </c>
      <c r="C1165" s="1">
        <v>42917</v>
      </c>
      <c r="D1165" t="s">
        <v>40</v>
      </c>
      <c r="E1165" t="s">
        <v>333</v>
      </c>
      <c r="F1165" t="s">
        <v>334</v>
      </c>
      <c r="G1165" t="s">
        <v>91</v>
      </c>
      <c r="H1165" t="s">
        <v>26</v>
      </c>
      <c r="I1165" t="s">
        <v>1007</v>
      </c>
      <c r="J1165" t="s">
        <v>44</v>
      </c>
      <c r="K1165" t="s">
        <v>29</v>
      </c>
      <c r="L1165" t="s">
        <v>3217</v>
      </c>
      <c r="M1165" t="s">
        <v>31</v>
      </c>
      <c r="N1165" t="s">
        <v>37</v>
      </c>
      <c r="O1165" t="s">
        <v>3218</v>
      </c>
      <c r="P1165">
        <v>273.55200000000002</v>
      </c>
      <c r="Q1165">
        <v>3</v>
      </c>
      <c r="R1165">
        <v>0.2</v>
      </c>
      <c r="S1165">
        <v>-13.6776</v>
      </c>
      <c r="T1165" t="s">
        <v>59</v>
      </c>
      <c r="U1165" t="s">
        <v>60</v>
      </c>
    </row>
    <row r="1166" spans="1:21" x14ac:dyDescent="0.25">
      <c r="A1166" t="s">
        <v>3219</v>
      </c>
      <c r="B1166" s="1">
        <v>42603</v>
      </c>
      <c r="C1166" s="1">
        <v>42605</v>
      </c>
      <c r="D1166" t="s">
        <v>22</v>
      </c>
      <c r="E1166" t="s">
        <v>672</v>
      </c>
      <c r="F1166" t="s">
        <v>673</v>
      </c>
      <c r="G1166" t="s">
        <v>101</v>
      </c>
      <c r="H1166" t="s">
        <v>26</v>
      </c>
      <c r="I1166" t="s">
        <v>66</v>
      </c>
      <c r="J1166" t="s">
        <v>67</v>
      </c>
      <c r="K1166" t="s">
        <v>68</v>
      </c>
      <c r="L1166" t="s">
        <v>1285</v>
      </c>
      <c r="M1166" t="s">
        <v>31</v>
      </c>
      <c r="N1166" t="s">
        <v>46</v>
      </c>
      <c r="O1166" t="s">
        <v>1286</v>
      </c>
      <c r="P1166">
        <v>815.29200000000003</v>
      </c>
      <c r="Q1166">
        <v>9</v>
      </c>
      <c r="R1166">
        <v>0.4</v>
      </c>
      <c r="S1166">
        <v>-339.70499999999998</v>
      </c>
      <c r="T1166" t="s">
        <v>71</v>
      </c>
      <c r="U1166" t="s">
        <v>254</v>
      </c>
    </row>
    <row r="1167" spans="1:21" x14ac:dyDescent="0.25">
      <c r="A1167" t="s">
        <v>3220</v>
      </c>
      <c r="B1167" s="1">
        <v>41681</v>
      </c>
      <c r="C1167" s="1">
        <v>41685</v>
      </c>
      <c r="D1167" t="s">
        <v>40</v>
      </c>
      <c r="E1167" t="s">
        <v>476</v>
      </c>
      <c r="F1167" t="s">
        <v>477</v>
      </c>
      <c r="G1167" t="s">
        <v>25</v>
      </c>
      <c r="H1167" t="s">
        <v>26</v>
      </c>
      <c r="I1167" t="s">
        <v>2121</v>
      </c>
      <c r="J1167" t="s">
        <v>717</v>
      </c>
      <c r="K1167" t="s">
        <v>29</v>
      </c>
      <c r="L1167" t="s">
        <v>1329</v>
      </c>
      <c r="M1167" t="s">
        <v>31</v>
      </c>
      <c r="N1167" t="s">
        <v>46</v>
      </c>
      <c r="O1167" t="s">
        <v>1330</v>
      </c>
      <c r="P1167">
        <v>1256.22</v>
      </c>
      <c r="Q1167">
        <v>6</v>
      </c>
      <c r="R1167">
        <v>0</v>
      </c>
      <c r="S1167">
        <v>75.373199999999997</v>
      </c>
      <c r="T1167" t="s">
        <v>84</v>
      </c>
      <c r="U1167" t="s">
        <v>298</v>
      </c>
    </row>
    <row r="1168" spans="1:21" x14ac:dyDescent="0.25">
      <c r="A1168" t="s">
        <v>3221</v>
      </c>
      <c r="B1168" s="1">
        <v>42820</v>
      </c>
      <c r="C1168" s="1">
        <v>42827</v>
      </c>
      <c r="D1168" t="s">
        <v>40</v>
      </c>
      <c r="E1168" t="s">
        <v>3222</v>
      </c>
      <c r="F1168" t="s">
        <v>3223</v>
      </c>
      <c r="G1168" t="s">
        <v>91</v>
      </c>
      <c r="H1168" t="s">
        <v>26</v>
      </c>
      <c r="I1168" t="s">
        <v>656</v>
      </c>
      <c r="J1168" t="s">
        <v>290</v>
      </c>
      <c r="K1168" t="s">
        <v>94</v>
      </c>
      <c r="L1168" t="s">
        <v>3224</v>
      </c>
      <c r="M1168" t="s">
        <v>31</v>
      </c>
      <c r="N1168" t="s">
        <v>57</v>
      </c>
      <c r="O1168" t="s">
        <v>3225</v>
      </c>
      <c r="P1168">
        <v>60.84</v>
      </c>
      <c r="Q1168">
        <v>3</v>
      </c>
      <c r="R1168">
        <v>0</v>
      </c>
      <c r="S1168">
        <v>23.119199999999999</v>
      </c>
      <c r="T1168" t="s">
        <v>48</v>
      </c>
      <c r="U1168" t="s">
        <v>196</v>
      </c>
    </row>
    <row r="1169" spans="1:21" x14ac:dyDescent="0.25">
      <c r="A1169" t="s">
        <v>3226</v>
      </c>
      <c r="B1169" s="1">
        <v>41994</v>
      </c>
      <c r="C1169" s="1">
        <v>42000</v>
      </c>
      <c r="D1169" t="s">
        <v>40</v>
      </c>
      <c r="E1169" t="s">
        <v>834</v>
      </c>
      <c r="F1169" t="s">
        <v>835</v>
      </c>
      <c r="G1169" t="s">
        <v>25</v>
      </c>
      <c r="H1169" t="s">
        <v>26</v>
      </c>
      <c r="I1169" t="s">
        <v>640</v>
      </c>
      <c r="J1169" t="s">
        <v>54</v>
      </c>
      <c r="K1169" t="s">
        <v>55</v>
      </c>
      <c r="L1169" t="s">
        <v>247</v>
      </c>
      <c r="M1169" t="s">
        <v>31</v>
      </c>
      <c r="N1169" t="s">
        <v>37</v>
      </c>
      <c r="O1169" t="s">
        <v>248</v>
      </c>
      <c r="P1169">
        <v>1325.76</v>
      </c>
      <c r="Q1169">
        <v>6</v>
      </c>
      <c r="R1169">
        <v>0.2</v>
      </c>
      <c r="S1169">
        <v>149.148</v>
      </c>
      <c r="T1169" t="s">
        <v>130</v>
      </c>
      <c r="U1169" t="s">
        <v>97</v>
      </c>
    </row>
    <row r="1170" spans="1:21" x14ac:dyDescent="0.25">
      <c r="A1170" t="s">
        <v>3226</v>
      </c>
      <c r="B1170" s="1">
        <v>41994</v>
      </c>
      <c r="C1170" s="1">
        <v>42000</v>
      </c>
      <c r="D1170" t="s">
        <v>40</v>
      </c>
      <c r="E1170" t="s">
        <v>834</v>
      </c>
      <c r="F1170" t="s">
        <v>835</v>
      </c>
      <c r="G1170" t="s">
        <v>25</v>
      </c>
      <c r="H1170" t="s">
        <v>26</v>
      </c>
      <c r="I1170" t="s">
        <v>640</v>
      </c>
      <c r="J1170" t="s">
        <v>54</v>
      </c>
      <c r="K1170" t="s">
        <v>55</v>
      </c>
      <c r="L1170" t="s">
        <v>581</v>
      </c>
      <c r="M1170" t="s">
        <v>31</v>
      </c>
      <c r="N1170" t="s">
        <v>37</v>
      </c>
      <c r="O1170" t="s">
        <v>582</v>
      </c>
      <c r="P1170">
        <v>572.16</v>
      </c>
      <c r="Q1170">
        <v>3</v>
      </c>
      <c r="R1170">
        <v>0.2</v>
      </c>
      <c r="S1170">
        <v>35.76</v>
      </c>
      <c r="T1170" t="s">
        <v>130</v>
      </c>
      <c r="U1170" t="s">
        <v>97</v>
      </c>
    </row>
    <row r="1171" spans="1:21" x14ac:dyDescent="0.25">
      <c r="A1171" t="s">
        <v>3227</v>
      </c>
      <c r="B1171" s="1">
        <v>42461</v>
      </c>
      <c r="C1171" s="1">
        <v>42465</v>
      </c>
      <c r="D1171" t="s">
        <v>22</v>
      </c>
      <c r="E1171" t="s">
        <v>2302</v>
      </c>
      <c r="F1171" t="s">
        <v>2303</v>
      </c>
      <c r="G1171" t="s">
        <v>101</v>
      </c>
      <c r="H1171" t="s">
        <v>26</v>
      </c>
      <c r="I1171" t="s">
        <v>348</v>
      </c>
      <c r="J1171" t="s">
        <v>668</v>
      </c>
      <c r="K1171" t="s">
        <v>29</v>
      </c>
      <c r="L1171" t="s">
        <v>338</v>
      </c>
      <c r="M1171" t="s">
        <v>31</v>
      </c>
      <c r="N1171" t="s">
        <v>57</v>
      </c>
      <c r="O1171" t="s">
        <v>339</v>
      </c>
      <c r="P1171">
        <v>7.04</v>
      </c>
      <c r="Q1171">
        <v>4</v>
      </c>
      <c r="R1171">
        <v>0</v>
      </c>
      <c r="S1171">
        <v>3.0975999999999999</v>
      </c>
      <c r="T1171" t="s">
        <v>84</v>
      </c>
      <c r="U1171" t="s">
        <v>114</v>
      </c>
    </row>
    <row r="1172" spans="1:21" x14ac:dyDescent="0.25">
      <c r="A1172" t="s">
        <v>3228</v>
      </c>
      <c r="B1172" s="1">
        <v>42839</v>
      </c>
      <c r="C1172" s="1">
        <v>42844</v>
      </c>
      <c r="D1172" t="s">
        <v>40</v>
      </c>
      <c r="E1172" t="s">
        <v>1867</v>
      </c>
      <c r="F1172" t="s">
        <v>1868</v>
      </c>
      <c r="G1172" t="s">
        <v>91</v>
      </c>
      <c r="H1172" t="s">
        <v>26</v>
      </c>
      <c r="I1172" t="s">
        <v>3229</v>
      </c>
      <c r="J1172" t="s">
        <v>363</v>
      </c>
      <c r="K1172" t="s">
        <v>68</v>
      </c>
      <c r="L1172" t="s">
        <v>1205</v>
      </c>
      <c r="M1172" t="s">
        <v>31</v>
      </c>
      <c r="N1172" t="s">
        <v>57</v>
      </c>
      <c r="O1172" t="s">
        <v>1206</v>
      </c>
      <c r="P1172">
        <v>74.45</v>
      </c>
      <c r="Q1172">
        <v>5</v>
      </c>
      <c r="R1172">
        <v>0</v>
      </c>
      <c r="S1172">
        <v>20.101500000000001</v>
      </c>
      <c r="T1172" t="s">
        <v>59</v>
      </c>
      <c r="U1172" t="s">
        <v>114</v>
      </c>
    </row>
    <row r="1173" spans="1:21" x14ac:dyDescent="0.25">
      <c r="A1173" t="s">
        <v>3230</v>
      </c>
      <c r="B1173" s="1">
        <v>42008</v>
      </c>
      <c r="C1173" s="1">
        <v>42013</v>
      </c>
      <c r="D1173" t="s">
        <v>40</v>
      </c>
      <c r="E1173" t="s">
        <v>3142</v>
      </c>
      <c r="F1173" t="s">
        <v>3143</v>
      </c>
      <c r="G1173" t="s">
        <v>91</v>
      </c>
      <c r="H1173" t="s">
        <v>26</v>
      </c>
      <c r="I1173" t="s">
        <v>1978</v>
      </c>
      <c r="J1173" t="s">
        <v>717</v>
      </c>
      <c r="K1173" t="s">
        <v>29</v>
      </c>
      <c r="L1173" t="s">
        <v>1291</v>
      </c>
      <c r="M1173" t="s">
        <v>31</v>
      </c>
      <c r="N1173" t="s">
        <v>57</v>
      </c>
      <c r="O1173" t="s">
        <v>1292</v>
      </c>
      <c r="P1173">
        <v>192.22</v>
      </c>
      <c r="Q1173">
        <v>14</v>
      </c>
      <c r="R1173">
        <v>0</v>
      </c>
      <c r="S1173">
        <v>69.199200000000005</v>
      </c>
      <c r="T1173" t="s">
        <v>59</v>
      </c>
      <c r="U1173" t="s">
        <v>170</v>
      </c>
    </row>
    <row r="1174" spans="1:21" x14ac:dyDescent="0.25">
      <c r="A1174" t="s">
        <v>3231</v>
      </c>
      <c r="B1174" s="1">
        <v>42933</v>
      </c>
      <c r="C1174" s="1">
        <v>42935</v>
      </c>
      <c r="D1174" t="s">
        <v>22</v>
      </c>
      <c r="E1174" t="s">
        <v>788</v>
      </c>
      <c r="F1174" t="s">
        <v>789</v>
      </c>
      <c r="G1174" t="s">
        <v>91</v>
      </c>
      <c r="H1174" t="s">
        <v>26</v>
      </c>
      <c r="I1174" t="s">
        <v>3232</v>
      </c>
      <c r="J1174" t="s">
        <v>54</v>
      </c>
      <c r="K1174" t="s">
        <v>55</v>
      </c>
      <c r="L1174" t="s">
        <v>261</v>
      </c>
      <c r="M1174" t="s">
        <v>31</v>
      </c>
      <c r="N1174" t="s">
        <v>32</v>
      </c>
      <c r="O1174" t="s">
        <v>262</v>
      </c>
      <c r="P1174">
        <v>1194.165</v>
      </c>
      <c r="Q1174">
        <v>5</v>
      </c>
      <c r="R1174">
        <v>0.15</v>
      </c>
      <c r="S1174">
        <v>210.73500000000001</v>
      </c>
      <c r="T1174" t="s">
        <v>71</v>
      </c>
      <c r="U1174" t="s">
        <v>72</v>
      </c>
    </row>
    <row r="1175" spans="1:21" x14ac:dyDescent="0.25">
      <c r="A1175" t="s">
        <v>3233</v>
      </c>
      <c r="B1175" s="1">
        <v>42722</v>
      </c>
      <c r="C1175" s="1">
        <v>42725</v>
      </c>
      <c r="D1175" t="s">
        <v>88</v>
      </c>
      <c r="E1175" t="s">
        <v>1690</v>
      </c>
      <c r="F1175" t="s">
        <v>1691</v>
      </c>
      <c r="G1175" t="s">
        <v>101</v>
      </c>
      <c r="H1175" t="s">
        <v>26</v>
      </c>
      <c r="I1175" t="s">
        <v>3234</v>
      </c>
      <c r="J1175" t="s">
        <v>1518</v>
      </c>
      <c r="K1175" t="s">
        <v>55</v>
      </c>
      <c r="L1175" t="s">
        <v>1285</v>
      </c>
      <c r="M1175" t="s">
        <v>31</v>
      </c>
      <c r="N1175" t="s">
        <v>46</v>
      </c>
      <c r="O1175" t="s">
        <v>1286</v>
      </c>
      <c r="P1175">
        <v>377.45</v>
      </c>
      <c r="Q1175">
        <v>5</v>
      </c>
      <c r="R1175">
        <v>0.5</v>
      </c>
      <c r="S1175">
        <v>-264.21499999999997</v>
      </c>
      <c r="T1175" t="s">
        <v>34</v>
      </c>
      <c r="U1175" t="s">
        <v>97</v>
      </c>
    </row>
    <row r="1176" spans="1:21" x14ac:dyDescent="0.25">
      <c r="A1176" t="s">
        <v>3235</v>
      </c>
      <c r="B1176" s="1">
        <v>42637</v>
      </c>
      <c r="C1176" s="1">
        <v>42644</v>
      </c>
      <c r="D1176" t="s">
        <v>40</v>
      </c>
      <c r="E1176" t="s">
        <v>3005</v>
      </c>
      <c r="F1176" t="s">
        <v>3006</v>
      </c>
      <c r="G1176" t="s">
        <v>101</v>
      </c>
      <c r="H1176" t="s">
        <v>26</v>
      </c>
      <c r="I1176" t="s">
        <v>180</v>
      </c>
      <c r="J1176" t="s">
        <v>181</v>
      </c>
      <c r="K1176" t="s">
        <v>55</v>
      </c>
      <c r="L1176" t="s">
        <v>374</v>
      </c>
      <c r="M1176" t="s">
        <v>31</v>
      </c>
      <c r="N1176" t="s">
        <v>57</v>
      </c>
      <c r="O1176" t="s">
        <v>375</v>
      </c>
      <c r="P1176">
        <v>21.44</v>
      </c>
      <c r="Q1176">
        <v>2</v>
      </c>
      <c r="R1176">
        <v>0.2</v>
      </c>
      <c r="S1176">
        <v>7.5039999999999996</v>
      </c>
      <c r="T1176" t="s">
        <v>48</v>
      </c>
      <c r="U1176" t="s">
        <v>78</v>
      </c>
    </row>
    <row r="1177" spans="1:21" x14ac:dyDescent="0.25">
      <c r="A1177" t="s">
        <v>3236</v>
      </c>
      <c r="B1177" s="1">
        <v>42164</v>
      </c>
      <c r="C1177" s="1">
        <v>42166</v>
      </c>
      <c r="D1177" t="s">
        <v>22</v>
      </c>
      <c r="E1177" t="s">
        <v>3237</v>
      </c>
      <c r="F1177" t="s">
        <v>3238</v>
      </c>
      <c r="G1177" t="s">
        <v>25</v>
      </c>
      <c r="H1177" t="s">
        <v>26</v>
      </c>
      <c r="I1177" t="s">
        <v>3239</v>
      </c>
      <c r="J1177" t="s">
        <v>2281</v>
      </c>
      <c r="K1177" t="s">
        <v>55</v>
      </c>
      <c r="L1177" t="s">
        <v>3158</v>
      </c>
      <c r="M1177" t="s">
        <v>31</v>
      </c>
      <c r="N1177" t="s">
        <v>57</v>
      </c>
      <c r="O1177" t="s">
        <v>3159</v>
      </c>
      <c r="P1177">
        <v>355.36</v>
      </c>
      <c r="Q1177">
        <v>4</v>
      </c>
      <c r="R1177">
        <v>0</v>
      </c>
      <c r="S1177">
        <v>92.393600000000006</v>
      </c>
      <c r="T1177" t="s">
        <v>71</v>
      </c>
      <c r="U1177" t="s">
        <v>60</v>
      </c>
    </row>
    <row r="1178" spans="1:21" x14ac:dyDescent="0.25">
      <c r="A1178" t="s">
        <v>3240</v>
      </c>
      <c r="B1178" s="1">
        <v>42002</v>
      </c>
      <c r="C1178" s="1">
        <v>42009</v>
      </c>
      <c r="D1178" t="s">
        <v>40</v>
      </c>
      <c r="E1178" t="s">
        <v>844</v>
      </c>
      <c r="F1178" t="s">
        <v>845</v>
      </c>
      <c r="G1178" t="s">
        <v>25</v>
      </c>
      <c r="H1178" t="s">
        <v>26</v>
      </c>
      <c r="I1178" t="s">
        <v>134</v>
      </c>
      <c r="J1178" t="s">
        <v>135</v>
      </c>
      <c r="K1178" t="s">
        <v>94</v>
      </c>
      <c r="L1178" t="s">
        <v>2396</v>
      </c>
      <c r="M1178" t="s">
        <v>31</v>
      </c>
      <c r="N1178" t="s">
        <v>57</v>
      </c>
      <c r="O1178" t="s">
        <v>2397</v>
      </c>
      <c r="P1178">
        <v>38.975999999999999</v>
      </c>
      <c r="Q1178">
        <v>3</v>
      </c>
      <c r="R1178">
        <v>0.6</v>
      </c>
      <c r="S1178">
        <v>-50.668799999999997</v>
      </c>
      <c r="T1178" t="s">
        <v>48</v>
      </c>
      <c r="U1178" t="s">
        <v>97</v>
      </c>
    </row>
    <row r="1179" spans="1:21" x14ac:dyDescent="0.25">
      <c r="A1179" t="s">
        <v>3241</v>
      </c>
      <c r="B1179" s="1">
        <v>41848</v>
      </c>
      <c r="C1179" s="1">
        <v>41848</v>
      </c>
      <c r="D1179" t="s">
        <v>426</v>
      </c>
      <c r="E1179" t="s">
        <v>1360</v>
      </c>
      <c r="F1179" t="s">
        <v>1361</v>
      </c>
      <c r="G1179" t="s">
        <v>25</v>
      </c>
      <c r="H1179" t="s">
        <v>26</v>
      </c>
      <c r="I1179" t="s">
        <v>3242</v>
      </c>
      <c r="J1179" t="s">
        <v>44</v>
      </c>
      <c r="K1179" t="s">
        <v>29</v>
      </c>
      <c r="L1179" t="s">
        <v>1710</v>
      </c>
      <c r="M1179" t="s">
        <v>31</v>
      </c>
      <c r="N1179" t="s">
        <v>57</v>
      </c>
      <c r="O1179" t="s">
        <v>1711</v>
      </c>
      <c r="P1179">
        <v>129.88800000000001</v>
      </c>
      <c r="Q1179">
        <v>6</v>
      </c>
      <c r="R1179">
        <v>0.2</v>
      </c>
      <c r="S1179">
        <v>12.988799999999999</v>
      </c>
      <c r="T1179" t="s">
        <v>431</v>
      </c>
      <c r="U1179" t="s">
        <v>72</v>
      </c>
    </row>
    <row r="1180" spans="1:21" x14ac:dyDescent="0.25">
      <c r="A1180" t="s">
        <v>3243</v>
      </c>
      <c r="B1180" s="1">
        <v>42364</v>
      </c>
      <c r="C1180" s="1">
        <v>42369</v>
      </c>
      <c r="D1180" t="s">
        <v>40</v>
      </c>
      <c r="E1180" t="s">
        <v>3244</v>
      </c>
      <c r="F1180" t="s">
        <v>3245</v>
      </c>
      <c r="G1180" t="s">
        <v>101</v>
      </c>
      <c r="H1180" t="s">
        <v>26</v>
      </c>
      <c r="I1180" t="s">
        <v>102</v>
      </c>
      <c r="J1180" t="s">
        <v>93</v>
      </c>
      <c r="K1180" t="s">
        <v>94</v>
      </c>
      <c r="L1180" t="s">
        <v>3176</v>
      </c>
      <c r="M1180" t="s">
        <v>31</v>
      </c>
      <c r="N1180" t="s">
        <v>37</v>
      </c>
      <c r="O1180" t="s">
        <v>3177</v>
      </c>
      <c r="P1180">
        <v>275.05799999999999</v>
      </c>
      <c r="Q1180">
        <v>3</v>
      </c>
      <c r="R1180">
        <v>0.3</v>
      </c>
      <c r="S1180">
        <v>-90.376199999999997</v>
      </c>
      <c r="T1180" t="s">
        <v>59</v>
      </c>
      <c r="U1180" t="s">
        <v>97</v>
      </c>
    </row>
    <row r="1181" spans="1:21" x14ac:dyDescent="0.25">
      <c r="A1181" t="s">
        <v>3246</v>
      </c>
      <c r="B1181" s="1">
        <v>42348</v>
      </c>
      <c r="C1181" s="1">
        <v>42354</v>
      </c>
      <c r="D1181" t="s">
        <v>40</v>
      </c>
      <c r="E1181" t="s">
        <v>976</v>
      </c>
      <c r="F1181" t="s">
        <v>977</v>
      </c>
      <c r="G1181" t="s">
        <v>91</v>
      </c>
      <c r="H1181" t="s">
        <v>26</v>
      </c>
      <c r="I1181" t="s">
        <v>2755</v>
      </c>
      <c r="J1181" t="s">
        <v>1090</v>
      </c>
      <c r="K1181" t="s">
        <v>68</v>
      </c>
      <c r="L1181" t="s">
        <v>421</v>
      </c>
      <c r="M1181" t="s">
        <v>31</v>
      </c>
      <c r="N1181" t="s">
        <v>37</v>
      </c>
      <c r="O1181" t="s">
        <v>422</v>
      </c>
      <c r="P1181">
        <v>542.94000000000005</v>
      </c>
      <c r="Q1181">
        <v>3</v>
      </c>
      <c r="R1181">
        <v>0</v>
      </c>
      <c r="S1181">
        <v>141.1644</v>
      </c>
      <c r="T1181" t="s">
        <v>130</v>
      </c>
      <c r="U1181" t="s">
        <v>97</v>
      </c>
    </row>
    <row r="1182" spans="1:21" x14ac:dyDescent="0.25">
      <c r="A1182" t="s">
        <v>3247</v>
      </c>
      <c r="B1182" s="1">
        <v>42495</v>
      </c>
      <c r="C1182" s="1">
        <v>42497</v>
      </c>
      <c r="D1182" t="s">
        <v>22</v>
      </c>
      <c r="E1182" t="s">
        <v>3028</v>
      </c>
      <c r="F1182" t="s">
        <v>3029</v>
      </c>
      <c r="G1182" t="s">
        <v>25</v>
      </c>
      <c r="H1182" t="s">
        <v>26</v>
      </c>
      <c r="I1182" t="s">
        <v>329</v>
      </c>
      <c r="J1182" t="s">
        <v>54</v>
      </c>
      <c r="K1182" t="s">
        <v>55</v>
      </c>
      <c r="L1182" t="s">
        <v>1250</v>
      </c>
      <c r="M1182" t="s">
        <v>31</v>
      </c>
      <c r="N1182" t="s">
        <v>46</v>
      </c>
      <c r="O1182" t="s">
        <v>1251</v>
      </c>
      <c r="P1182">
        <v>71.087999999999994</v>
      </c>
      <c r="Q1182">
        <v>2</v>
      </c>
      <c r="R1182">
        <v>0.2</v>
      </c>
      <c r="S1182">
        <v>-1.7771999999999999</v>
      </c>
      <c r="T1182" t="s">
        <v>71</v>
      </c>
      <c r="U1182" t="s">
        <v>162</v>
      </c>
    </row>
    <row r="1183" spans="1:21" x14ac:dyDescent="0.25">
      <c r="A1183" t="s">
        <v>3248</v>
      </c>
      <c r="B1183" s="1">
        <v>41987</v>
      </c>
      <c r="C1183" s="1">
        <v>41994</v>
      </c>
      <c r="D1183" t="s">
        <v>40</v>
      </c>
      <c r="E1183" t="s">
        <v>3249</v>
      </c>
      <c r="F1183" t="s">
        <v>3250</v>
      </c>
      <c r="G1183" t="s">
        <v>25</v>
      </c>
      <c r="H1183" t="s">
        <v>26</v>
      </c>
      <c r="I1183" t="s">
        <v>1771</v>
      </c>
      <c r="J1183" t="s">
        <v>232</v>
      </c>
      <c r="K1183" t="s">
        <v>68</v>
      </c>
      <c r="L1183" t="s">
        <v>1884</v>
      </c>
      <c r="M1183" t="s">
        <v>31</v>
      </c>
      <c r="N1183" t="s">
        <v>46</v>
      </c>
      <c r="O1183" t="s">
        <v>1885</v>
      </c>
      <c r="P1183">
        <v>136.53</v>
      </c>
      <c r="Q1183">
        <v>1</v>
      </c>
      <c r="R1183">
        <v>0.4</v>
      </c>
      <c r="S1183">
        <v>-52.336500000000001</v>
      </c>
      <c r="T1183" t="s">
        <v>48</v>
      </c>
      <c r="U1183" t="s">
        <v>97</v>
      </c>
    </row>
    <row r="1184" spans="1:21" x14ac:dyDescent="0.25">
      <c r="A1184" t="s">
        <v>3251</v>
      </c>
      <c r="B1184" s="1">
        <v>42132</v>
      </c>
      <c r="C1184" s="1">
        <v>42139</v>
      </c>
      <c r="D1184" t="s">
        <v>40</v>
      </c>
      <c r="E1184" t="s">
        <v>2236</v>
      </c>
      <c r="F1184" t="s">
        <v>2237</v>
      </c>
      <c r="G1184" t="s">
        <v>25</v>
      </c>
      <c r="H1184" t="s">
        <v>26</v>
      </c>
      <c r="I1184" t="s">
        <v>174</v>
      </c>
      <c r="J1184" t="s">
        <v>121</v>
      </c>
      <c r="K1184" t="s">
        <v>68</v>
      </c>
      <c r="L1184" t="s">
        <v>944</v>
      </c>
      <c r="M1184" t="s">
        <v>31</v>
      </c>
      <c r="N1184" t="s">
        <v>57</v>
      </c>
      <c r="O1184" t="s">
        <v>945</v>
      </c>
      <c r="P1184">
        <v>79.44</v>
      </c>
      <c r="Q1184">
        <v>3</v>
      </c>
      <c r="R1184">
        <v>0</v>
      </c>
      <c r="S1184">
        <v>30.187200000000001</v>
      </c>
      <c r="T1184" t="s">
        <v>48</v>
      </c>
      <c r="U1184" t="s">
        <v>162</v>
      </c>
    </row>
    <row r="1185" spans="1:21" x14ac:dyDescent="0.25">
      <c r="A1185" t="s">
        <v>3251</v>
      </c>
      <c r="B1185" s="1">
        <v>42132</v>
      </c>
      <c r="C1185" s="1">
        <v>42139</v>
      </c>
      <c r="D1185" t="s">
        <v>40</v>
      </c>
      <c r="E1185" t="s">
        <v>2236</v>
      </c>
      <c r="F1185" t="s">
        <v>2237</v>
      </c>
      <c r="G1185" t="s">
        <v>25</v>
      </c>
      <c r="H1185" t="s">
        <v>26</v>
      </c>
      <c r="I1185" t="s">
        <v>174</v>
      </c>
      <c r="J1185" t="s">
        <v>121</v>
      </c>
      <c r="K1185" t="s">
        <v>68</v>
      </c>
      <c r="L1185" t="s">
        <v>591</v>
      </c>
      <c r="M1185" t="s">
        <v>31</v>
      </c>
      <c r="N1185" t="s">
        <v>37</v>
      </c>
      <c r="O1185" t="s">
        <v>592</v>
      </c>
      <c r="P1185">
        <v>127.764</v>
      </c>
      <c r="Q1185">
        <v>2</v>
      </c>
      <c r="R1185">
        <v>0.1</v>
      </c>
      <c r="S1185">
        <v>21.294</v>
      </c>
      <c r="T1185" t="s">
        <v>48</v>
      </c>
      <c r="U1185" t="s">
        <v>162</v>
      </c>
    </row>
    <row r="1186" spans="1:21" x14ac:dyDescent="0.25">
      <c r="A1186" t="s">
        <v>3252</v>
      </c>
      <c r="B1186" s="1">
        <v>43077</v>
      </c>
      <c r="C1186" s="1">
        <v>43082</v>
      </c>
      <c r="D1186" t="s">
        <v>40</v>
      </c>
      <c r="E1186" t="s">
        <v>533</v>
      </c>
      <c r="F1186" t="s">
        <v>534</v>
      </c>
      <c r="G1186" t="s">
        <v>25</v>
      </c>
      <c r="H1186" t="s">
        <v>26</v>
      </c>
      <c r="I1186" t="s">
        <v>1486</v>
      </c>
      <c r="J1186" t="s">
        <v>239</v>
      </c>
      <c r="K1186" t="s">
        <v>94</v>
      </c>
      <c r="L1186" t="s">
        <v>1477</v>
      </c>
      <c r="M1186" t="s">
        <v>31</v>
      </c>
      <c r="N1186" t="s">
        <v>32</v>
      </c>
      <c r="O1186" t="s">
        <v>1478</v>
      </c>
      <c r="P1186">
        <v>459.92</v>
      </c>
      <c r="Q1186">
        <v>4</v>
      </c>
      <c r="R1186">
        <v>0</v>
      </c>
      <c r="S1186">
        <v>41.392800000000001</v>
      </c>
      <c r="T1186" t="s">
        <v>59</v>
      </c>
      <c r="U1186" t="s">
        <v>97</v>
      </c>
    </row>
    <row r="1187" spans="1:21" x14ac:dyDescent="0.25">
      <c r="A1187" t="s">
        <v>3253</v>
      </c>
      <c r="B1187" s="1">
        <v>42915</v>
      </c>
      <c r="C1187" s="1">
        <v>42918</v>
      </c>
      <c r="D1187" t="s">
        <v>88</v>
      </c>
      <c r="E1187" t="s">
        <v>333</v>
      </c>
      <c r="F1187" t="s">
        <v>334</v>
      </c>
      <c r="G1187" t="s">
        <v>91</v>
      </c>
      <c r="H1187" t="s">
        <v>26</v>
      </c>
      <c r="I1187" t="s">
        <v>3254</v>
      </c>
      <c r="J1187" t="s">
        <v>430</v>
      </c>
      <c r="K1187" t="s">
        <v>68</v>
      </c>
      <c r="L1187" t="s">
        <v>2421</v>
      </c>
      <c r="M1187" t="s">
        <v>31</v>
      </c>
      <c r="N1187" t="s">
        <v>32</v>
      </c>
      <c r="O1187" t="s">
        <v>2422</v>
      </c>
      <c r="P1187">
        <v>638.82000000000005</v>
      </c>
      <c r="Q1187">
        <v>9</v>
      </c>
      <c r="R1187">
        <v>0</v>
      </c>
      <c r="S1187">
        <v>185.2578</v>
      </c>
      <c r="T1187" t="s">
        <v>34</v>
      </c>
      <c r="U1187" t="s">
        <v>60</v>
      </c>
    </row>
    <row r="1188" spans="1:21" x14ac:dyDescent="0.25">
      <c r="A1188" t="s">
        <v>3253</v>
      </c>
      <c r="B1188" s="1">
        <v>42915</v>
      </c>
      <c r="C1188" s="1">
        <v>42918</v>
      </c>
      <c r="D1188" t="s">
        <v>88</v>
      </c>
      <c r="E1188" t="s">
        <v>333</v>
      </c>
      <c r="F1188" t="s">
        <v>334</v>
      </c>
      <c r="G1188" t="s">
        <v>91</v>
      </c>
      <c r="H1188" t="s">
        <v>26</v>
      </c>
      <c r="I1188" t="s">
        <v>3254</v>
      </c>
      <c r="J1188" t="s">
        <v>430</v>
      </c>
      <c r="K1188" t="s">
        <v>68</v>
      </c>
      <c r="L1188" t="s">
        <v>1269</v>
      </c>
      <c r="M1188" t="s">
        <v>31</v>
      </c>
      <c r="N1188" t="s">
        <v>57</v>
      </c>
      <c r="O1188" t="s">
        <v>1270</v>
      </c>
      <c r="P1188">
        <v>25.16</v>
      </c>
      <c r="Q1188">
        <v>2</v>
      </c>
      <c r="R1188">
        <v>0</v>
      </c>
      <c r="S1188">
        <v>8.5543999999999993</v>
      </c>
      <c r="T1188" t="s">
        <v>34</v>
      </c>
      <c r="U1188" t="s">
        <v>60</v>
      </c>
    </row>
    <row r="1189" spans="1:21" x14ac:dyDescent="0.25">
      <c r="A1189" t="s">
        <v>3255</v>
      </c>
      <c r="B1189" s="1">
        <v>41659</v>
      </c>
      <c r="C1189" s="1">
        <v>41664</v>
      </c>
      <c r="D1189" t="s">
        <v>40</v>
      </c>
      <c r="E1189" t="s">
        <v>1792</v>
      </c>
      <c r="F1189" t="s">
        <v>1793</v>
      </c>
      <c r="G1189" t="s">
        <v>25</v>
      </c>
      <c r="H1189" t="s">
        <v>26</v>
      </c>
      <c r="I1189" t="s">
        <v>53</v>
      </c>
      <c r="J1189" t="s">
        <v>54</v>
      </c>
      <c r="K1189" t="s">
        <v>55</v>
      </c>
      <c r="L1189" t="s">
        <v>153</v>
      </c>
      <c r="M1189" t="s">
        <v>31</v>
      </c>
      <c r="N1189" t="s">
        <v>57</v>
      </c>
      <c r="O1189" t="s">
        <v>154</v>
      </c>
      <c r="P1189">
        <v>19.3</v>
      </c>
      <c r="Q1189">
        <v>2</v>
      </c>
      <c r="R1189">
        <v>0</v>
      </c>
      <c r="S1189">
        <v>5.79</v>
      </c>
      <c r="T1189" t="s">
        <v>59</v>
      </c>
      <c r="U1189" t="s">
        <v>170</v>
      </c>
    </row>
    <row r="1190" spans="1:21" x14ac:dyDescent="0.25">
      <c r="A1190" t="s">
        <v>3256</v>
      </c>
      <c r="B1190" s="1">
        <v>42822</v>
      </c>
      <c r="C1190" s="1">
        <v>42825</v>
      </c>
      <c r="D1190" t="s">
        <v>88</v>
      </c>
      <c r="E1190" t="s">
        <v>3257</v>
      </c>
      <c r="F1190" t="s">
        <v>3258</v>
      </c>
      <c r="G1190" t="s">
        <v>91</v>
      </c>
      <c r="H1190" t="s">
        <v>26</v>
      </c>
      <c r="I1190" t="s">
        <v>1581</v>
      </c>
      <c r="J1190" t="s">
        <v>54</v>
      </c>
      <c r="K1190" t="s">
        <v>55</v>
      </c>
      <c r="L1190" t="s">
        <v>944</v>
      </c>
      <c r="M1190" t="s">
        <v>31</v>
      </c>
      <c r="N1190" t="s">
        <v>57</v>
      </c>
      <c r="O1190" t="s">
        <v>945</v>
      </c>
      <c r="P1190">
        <v>26.48</v>
      </c>
      <c r="Q1190">
        <v>1</v>
      </c>
      <c r="R1190">
        <v>0</v>
      </c>
      <c r="S1190">
        <v>10.0624</v>
      </c>
      <c r="T1190" t="s">
        <v>34</v>
      </c>
      <c r="U1190" t="s">
        <v>196</v>
      </c>
    </row>
    <row r="1191" spans="1:21" x14ac:dyDescent="0.25">
      <c r="A1191" t="s">
        <v>3256</v>
      </c>
      <c r="B1191" s="1">
        <v>42822</v>
      </c>
      <c r="C1191" s="1">
        <v>42825</v>
      </c>
      <c r="D1191" t="s">
        <v>88</v>
      </c>
      <c r="E1191" t="s">
        <v>3257</v>
      </c>
      <c r="F1191" t="s">
        <v>3258</v>
      </c>
      <c r="G1191" t="s">
        <v>91</v>
      </c>
      <c r="H1191" t="s">
        <v>26</v>
      </c>
      <c r="I1191" t="s">
        <v>1581</v>
      </c>
      <c r="J1191" t="s">
        <v>54</v>
      </c>
      <c r="K1191" t="s">
        <v>55</v>
      </c>
      <c r="L1191" t="s">
        <v>2012</v>
      </c>
      <c r="M1191" t="s">
        <v>31</v>
      </c>
      <c r="N1191" t="s">
        <v>57</v>
      </c>
      <c r="O1191" t="s">
        <v>2013</v>
      </c>
      <c r="P1191">
        <v>21.56</v>
      </c>
      <c r="Q1191">
        <v>7</v>
      </c>
      <c r="R1191">
        <v>0</v>
      </c>
      <c r="S1191">
        <v>6.8992000000000004</v>
      </c>
      <c r="T1191" t="s">
        <v>34</v>
      </c>
      <c r="U1191" t="s">
        <v>196</v>
      </c>
    </row>
    <row r="1192" spans="1:21" x14ac:dyDescent="0.25">
      <c r="A1192" t="s">
        <v>3259</v>
      </c>
      <c r="B1192" s="1">
        <v>41789</v>
      </c>
      <c r="C1192" s="1">
        <v>41795</v>
      </c>
      <c r="D1192" t="s">
        <v>40</v>
      </c>
      <c r="E1192" t="s">
        <v>3013</v>
      </c>
      <c r="F1192" t="s">
        <v>3014</v>
      </c>
      <c r="G1192" t="s">
        <v>25</v>
      </c>
      <c r="H1192" t="s">
        <v>26</v>
      </c>
      <c r="I1192" t="s">
        <v>3260</v>
      </c>
      <c r="J1192" t="s">
        <v>135</v>
      </c>
      <c r="K1192" t="s">
        <v>94</v>
      </c>
      <c r="L1192" t="s">
        <v>61</v>
      </c>
      <c r="M1192" t="s">
        <v>31</v>
      </c>
      <c r="N1192" t="s">
        <v>46</v>
      </c>
      <c r="O1192" t="s">
        <v>62</v>
      </c>
      <c r="P1192">
        <v>355.45499999999998</v>
      </c>
      <c r="Q1192">
        <v>3</v>
      </c>
      <c r="R1192">
        <v>0.5</v>
      </c>
      <c r="S1192">
        <v>-184.8366</v>
      </c>
      <c r="T1192" t="s">
        <v>130</v>
      </c>
      <c r="U1192" t="s">
        <v>162</v>
      </c>
    </row>
    <row r="1193" spans="1:21" x14ac:dyDescent="0.25">
      <c r="A1193" t="s">
        <v>3261</v>
      </c>
      <c r="B1193" s="1">
        <v>42403</v>
      </c>
      <c r="C1193" s="1">
        <v>42410</v>
      </c>
      <c r="D1193" t="s">
        <v>40</v>
      </c>
      <c r="E1193" t="s">
        <v>2416</v>
      </c>
      <c r="F1193" t="s">
        <v>2417</v>
      </c>
      <c r="G1193" t="s">
        <v>25</v>
      </c>
      <c r="H1193" t="s">
        <v>26</v>
      </c>
      <c r="I1193" t="s">
        <v>636</v>
      </c>
      <c r="J1193" t="s">
        <v>28</v>
      </c>
      <c r="K1193" t="s">
        <v>29</v>
      </c>
      <c r="L1193" t="s">
        <v>480</v>
      </c>
      <c r="M1193" t="s">
        <v>31</v>
      </c>
      <c r="N1193" t="s">
        <v>37</v>
      </c>
      <c r="O1193" t="s">
        <v>481</v>
      </c>
      <c r="P1193">
        <v>866.4</v>
      </c>
      <c r="Q1193">
        <v>4</v>
      </c>
      <c r="R1193">
        <v>0</v>
      </c>
      <c r="S1193">
        <v>225.26400000000001</v>
      </c>
      <c r="T1193" t="s">
        <v>48</v>
      </c>
      <c r="U1193" t="s">
        <v>298</v>
      </c>
    </row>
    <row r="1194" spans="1:21" x14ac:dyDescent="0.25">
      <c r="A1194" t="s">
        <v>3262</v>
      </c>
      <c r="B1194" s="1">
        <v>42227</v>
      </c>
      <c r="C1194" s="1">
        <v>42232</v>
      </c>
      <c r="D1194" t="s">
        <v>40</v>
      </c>
      <c r="E1194" t="s">
        <v>3263</v>
      </c>
      <c r="F1194" t="s">
        <v>3264</v>
      </c>
      <c r="G1194" t="s">
        <v>25</v>
      </c>
      <c r="H1194" t="s">
        <v>26</v>
      </c>
      <c r="I1194" t="s">
        <v>2018</v>
      </c>
      <c r="J1194" t="s">
        <v>1037</v>
      </c>
      <c r="K1194" t="s">
        <v>29</v>
      </c>
      <c r="L1194" t="s">
        <v>1312</v>
      </c>
      <c r="M1194" t="s">
        <v>31</v>
      </c>
      <c r="N1194" t="s">
        <v>57</v>
      </c>
      <c r="O1194" t="s">
        <v>2023</v>
      </c>
      <c r="P1194">
        <v>46.152000000000001</v>
      </c>
      <c r="Q1194">
        <v>3</v>
      </c>
      <c r="R1194">
        <v>0.2</v>
      </c>
      <c r="S1194">
        <v>12.1149</v>
      </c>
      <c r="T1194" t="s">
        <v>59</v>
      </c>
      <c r="U1194" t="s">
        <v>254</v>
      </c>
    </row>
    <row r="1195" spans="1:21" x14ac:dyDescent="0.25">
      <c r="A1195" t="s">
        <v>3265</v>
      </c>
      <c r="B1195" s="1">
        <v>42959</v>
      </c>
      <c r="C1195" s="1">
        <v>42962</v>
      </c>
      <c r="D1195" t="s">
        <v>88</v>
      </c>
      <c r="E1195" t="s">
        <v>2168</v>
      </c>
      <c r="F1195" t="s">
        <v>2169</v>
      </c>
      <c r="G1195" t="s">
        <v>25</v>
      </c>
      <c r="H1195" t="s">
        <v>26</v>
      </c>
      <c r="I1195" t="s">
        <v>3266</v>
      </c>
      <c r="J1195" t="s">
        <v>54</v>
      </c>
      <c r="K1195" t="s">
        <v>55</v>
      </c>
      <c r="L1195" t="s">
        <v>1291</v>
      </c>
      <c r="M1195" t="s">
        <v>31</v>
      </c>
      <c r="N1195" t="s">
        <v>57</v>
      </c>
      <c r="O1195" t="s">
        <v>1292</v>
      </c>
      <c r="P1195">
        <v>54.92</v>
      </c>
      <c r="Q1195">
        <v>4</v>
      </c>
      <c r="R1195">
        <v>0</v>
      </c>
      <c r="S1195">
        <v>19.7712</v>
      </c>
      <c r="T1195" t="s">
        <v>34</v>
      </c>
      <c r="U1195" t="s">
        <v>254</v>
      </c>
    </row>
    <row r="1196" spans="1:21" x14ac:dyDescent="0.25">
      <c r="A1196" t="s">
        <v>3267</v>
      </c>
      <c r="B1196" s="1">
        <v>42311</v>
      </c>
      <c r="C1196" s="1">
        <v>42313</v>
      </c>
      <c r="D1196" t="s">
        <v>88</v>
      </c>
      <c r="E1196" t="s">
        <v>3268</v>
      </c>
      <c r="F1196" t="s">
        <v>3269</v>
      </c>
      <c r="G1196" t="s">
        <v>91</v>
      </c>
      <c r="H1196" t="s">
        <v>26</v>
      </c>
      <c r="I1196" t="s">
        <v>731</v>
      </c>
      <c r="J1196" t="s">
        <v>121</v>
      </c>
      <c r="K1196" t="s">
        <v>68</v>
      </c>
      <c r="L1196" t="s">
        <v>2550</v>
      </c>
      <c r="M1196" t="s">
        <v>31</v>
      </c>
      <c r="N1196" t="s">
        <v>37</v>
      </c>
      <c r="O1196" t="s">
        <v>2551</v>
      </c>
      <c r="P1196">
        <v>1448.82</v>
      </c>
      <c r="Q1196">
        <v>10</v>
      </c>
      <c r="R1196">
        <v>0.1</v>
      </c>
      <c r="S1196">
        <v>209.274</v>
      </c>
      <c r="T1196" t="s">
        <v>71</v>
      </c>
      <c r="U1196" t="s">
        <v>35</v>
      </c>
    </row>
    <row r="1197" spans="1:21" x14ac:dyDescent="0.25">
      <c r="A1197" t="s">
        <v>3270</v>
      </c>
      <c r="B1197" s="1">
        <v>42271</v>
      </c>
      <c r="C1197" s="1">
        <v>42275</v>
      </c>
      <c r="D1197" t="s">
        <v>40</v>
      </c>
      <c r="E1197" t="s">
        <v>3271</v>
      </c>
      <c r="F1197" t="s">
        <v>3272</v>
      </c>
      <c r="G1197" t="s">
        <v>91</v>
      </c>
      <c r="H1197" t="s">
        <v>26</v>
      </c>
      <c r="I1197" t="s">
        <v>53</v>
      </c>
      <c r="J1197" t="s">
        <v>54</v>
      </c>
      <c r="K1197" t="s">
        <v>55</v>
      </c>
      <c r="L1197" t="s">
        <v>651</v>
      </c>
      <c r="M1197" t="s">
        <v>31</v>
      </c>
      <c r="N1197" t="s">
        <v>57</v>
      </c>
      <c r="O1197" t="s">
        <v>652</v>
      </c>
      <c r="P1197">
        <v>14.91</v>
      </c>
      <c r="Q1197">
        <v>3</v>
      </c>
      <c r="R1197">
        <v>0</v>
      </c>
      <c r="S1197">
        <v>4.6220999999999997</v>
      </c>
      <c r="T1197" t="s">
        <v>84</v>
      </c>
      <c r="U1197" t="s">
        <v>78</v>
      </c>
    </row>
    <row r="1198" spans="1:21" x14ac:dyDescent="0.25">
      <c r="A1198" t="s">
        <v>3273</v>
      </c>
      <c r="B1198" s="1">
        <v>42472</v>
      </c>
      <c r="C1198" s="1">
        <v>42476</v>
      </c>
      <c r="D1198" t="s">
        <v>40</v>
      </c>
      <c r="E1198" t="s">
        <v>1208</v>
      </c>
      <c r="F1198" t="s">
        <v>1209</v>
      </c>
      <c r="G1198" t="s">
        <v>25</v>
      </c>
      <c r="H1198" t="s">
        <v>26</v>
      </c>
      <c r="I1198" t="s">
        <v>53</v>
      </c>
      <c r="J1198" t="s">
        <v>54</v>
      </c>
      <c r="K1198" t="s">
        <v>55</v>
      </c>
      <c r="L1198" t="s">
        <v>3217</v>
      </c>
      <c r="M1198" t="s">
        <v>31</v>
      </c>
      <c r="N1198" t="s">
        <v>37</v>
      </c>
      <c r="O1198" t="s">
        <v>3218</v>
      </c>
      <c r="P1198">
        <v>638.28800000000001</v>
      </c>
      <c r="Q1198">
        <v>7</v>
      </c>
      <c r="R1198">
        <v>0.2</v>
      </c>
      <c r="S1198">
        <v>-31.914400000000001</v>
      </c>
      <c r="T1198" t="s">
        <v>84</v>
      </c>
      <c r="U1198" t="s">
        <v>114</v>
      </c>
    </row>
    <row r="1199" spans="1:21" x14ac:dyDescent="0.25">
      <c r="A1199" t="s">
        <v>3274</v>
      </c>
      <c r="B1199" s="1">
        <v>41954</v>
      </c>
      <c r="C1199" s="1">
        <v>41961</v>
      </c>
      <c r="D1199" t="s">
        <v>40</v>
      </c>
      <c r="E1199" t="s">
        <v>1066</v>
      </c>
      <c r="F1199" t="s">
        <v>1067</v>
      </c>
      <c r="G1199" t="s">
        <v>25</v>
      </c>
      <c r="H1199" t="s">
        <v>26</v>
      </c>
      <c r="I1199" t="s">
        <v>53</v>
      </c>
      <c r="J1199" t="s">
        <v>54</v>
      </c>
      <c r="K1199" t="s">
        <v>55</v>
      </c>
      <c r="L1199" t="s">
        <v>1533</v>
      </c>
      <c r="M1199" t="s">
        <v>31</v>
      </c>
      <c r="N1199" t="s">
        <v>37</v>
      </c>
      <c r="O1199" t="s">
        <v>1534</v>
      </c>
      <c r="P1199">
        <v>112.648</v>
      </c>
      <c r="Q1199">
        <v>1</v>
      </c>
      <c r="R1199">
        <v>0.2</v>
      </c>
      <c r="S1199">
        <v>11.264799999999999</v>
      </c>
      <c r="T1199" t="s">
        <v>48</v>
      </c>
      <c r="U1199" t="s">
        <v>35</v>
      </c>
    </row>
    <row r="1200" spans="1:21" x14ac:dyDescent="0.25">
      <c r="A1200" t="s">
        <v>3275</v>
      </c>
      <c r="B1200" s="1">
        <v>43010</v>
      </c>
      <c r="C1200" s="1">
        <v>43016</v>
      </c>
      <c r="D1200" t="s">
        <v>40</v>
      </c>
      <c r="E1200" t="s">
        <v>3276</v>
      </c>
      <c r="F1200" t="s">
        <v>3277</v>
      </c>
      <c r="G1200" t="s">
        <v>25</v>
      </c>
      <c r="H1200" t="s">
        <v>26</v>
      </c>
      <c r="I1200" t="s">
        <v>879</v>
      </c>
      <c r="J1200" t="s">
        <v>1518</v>
      </c>
      <c r="K1200" t="s">
        <v>55</v>
      </c>
      <c r="L1200" t="s">
        <v>457</v>
      </c>
      <c r="M1200" t="s">
        <v>31</v>
      </c>
      <c r="N1200" t="s">
        <v>32</v>
      </c>
      <c r="O1200" t="s">
        <v>458</v>
      </c>
      <c r="P1200">
        <v>217.76400000000001</v>
      </c>
      <c r="Q1200">
        <v>6</v>
      </c>
      <c r="R1200">
        <v>0.7</v>
      </c>
      <c r="S1200">
        <v>-384.71640000000002</v>
      </c>
      <c r="T1200" t="s">
        <v>130</v>
      </c>
      <c r="U1200" t="s">
        <v>49</v>
      </c>
    </row>
    <row r="1201" spans="1:21" x14ac:dyDescent="0.25">
      <c r="A1201" t="s">
        <v>3278</v>
      </c>
      <c r="B1201" s="1">
        <v>42835</v>
      </c>
      <c r="C1201" s="1">
        <v>42839</v>
      </c>
      <c r="D1201" t="s">
        <v>22</v>
      </c>
      <c r="E1201" t="s">
        <v>3279</v>
      </c>
      <c r="F1201" t="s">
        <v>3280</v>
      </c>
      <c r="G1201" t="s">
        <v>91</v>
      </c>
      <c r="H1201" t="s">
        <v>26</v>
      </c>
      <c r="I1201" t="s">
        <v>607</v>
      </c>
      <c r="J1201" t="s">
        <v>44</v>
      </c>
      <c r="K1201" t="s">
        <v>29</v>
      </c>
      <c r="L1201" t="s">
        <v>2012</v>
      </c>
      <c r="M1201" t="s">
        <v>31</v>
      </c>
      <c r="N1201" t="s">
        <v>57</v>
      </c>
      <c r="O1201" t="s">
        <v>2013</v>
      </c>
      <c r="P1201">
        <v>12.32</v>
      </c>
      <c r="Q1201">
        <v>5</v>
      </c>
      <c r="R1201">
        <v>0.2</v>
      </c>
      <c r="S1201">
        <v>1.8480000000000001</v>
      </c>
      <c r="T1201" t="s">
        <v>84</v>
      </c>
      <c r="U1201" t="s">
        <v>114</v>
      </c>
    </row>
    <row r="1202" spans="1:21" x14ac:dyDescent="0.25">
      <c r="A1202" t="s">
        <v>3281</v>
      </c>
      <c r="B1202" s="1">
        <v>43007</v>
      </c>
      <c r="C1202" s="1">
        <v>43010</v>
      </c>
      <c r="D1202" t="s">
        <v>88</v>
      </c>
      <c r="E1202" t="s">
        <v>1119</v>
      </c>
      <c r="F1202" t="s">
        <v>1120</v>
      </c>
      <c r="G1202" t="s">
        <v>25</v>
      </c>
      <c r="H1202" t="s">
        <v>26</v>
      </c>
      <c r="I1202" t="s">
        <v>2086</v>
      </c>
      <c r="J1202" t="s">
        <v>54</v>
      </c>
      <c r="K1202" t="s">
        <v>55</v>
      </c>
      <c r="L1202" t="s">
        <v>1218</v>
      </c>
      <c r="M1202" t="s">
        <v>31</v>
      </c>
      <c r="N1202" t="s">
        <v>37</v>
      </c>
      <c r="O1202" t="s">
        <v>1219</v>
      </c>
      <c r="P1202">
        <v>72.784000000000006</v>
      </c>
      <c r="Q1202">
        <v>1</v>
      </c>
      <c r="R1202">
        <v>0.2</v>
      </c>
      <c r="S1202">
        <v>0</v>
      </c>
      <c r="T1202" t="s">
        <v>34</v>
      </c>
      <c r="U1202" t="s">
        <v>78</v>
      </c>
    </row>
    <row r="1203" spans="1:21" x14ac:dyDescent="0.25">
      <c r="A1203" t="s">
        <v>3281</v>
      </c>
      <c r="B1203" s="1">
        <v>43007</v>
      </c>
      <c r="C1203" s="1">
        <v>43010</v>
      </c>
      <c r="D1203" t="s">
        <v>88</v>
      </c>
      <c r="E1203" t="s">
        <v>1119</v>
      </c>
      <c r="F1203" t="s">
        <v>1120</v>
      </c>
      <c r="G1203" t="s">
        <v>25</v>
      </c>
      <c r="H1203" t="s">
        <v>26</v>
      </c>
      <c r="I1203" t="s">
        <v>2086</v>
      </c>
      <c r="J1203" t="s">
        <v>54</v>
      </c>
      <c r="K1203" t="s">
        <v>55</v>
      </c>
      <c r="L1203" t="s">
        <v>85</v>
      </c>
      <c r="M1203" t="s">
        <v>31</v>
      </c>
      <c r="N1203" t="s">
        <v>57</v>
      </c>
      <c r="O1203" t="s">
        <v>86</v>
      </c>
      <c r="P1203">
        <v>51.75</v>
      </c>
      <c r="Q1203">
        <v>1</v>
      </c>
      <c r="R1203">
        <v>0</v>
      </c>
      <c r="S1203">
        <v>15.525</v>
      </c>
      <c r="T1203" t="s">
        <v>34</v>
      </c>
      <c r="U1203" t="s">
        <v>78</v>
      </c>
    </row>
    <row r="1204" spans="1:21" x14ac:dyDescent="0.25">
      <c r="A1204" t="s">
        <v>3282</v>
      </c>
      <c r="B1204" s="1">
        <v>41911</v>
      </c>
      <c r="C1204" s="1">
        <v>41915</v>
      </c>
      <c r="D1204" t="s">
        <v>22</v>
      </c>
      <c r="E1204" t="s">
        <v>1197</v>
      </c>
      <c r="F1204" t="s">
        <v>1198</v>
      </c>
      <c r="G1204" t="s">
        <v>25</v>
      </c>
      <c r="H1204" t="s">
        <v>26</v>
      </c>
      <c r="I1204" t="s">
        <v>174</v>
      </c>
      <c r="J1204" t="s">
        <v>121</v>
      </c>
      <c r="K1204" t="s">
        <v>68</v>
      </c>
      <c r="L1204" t="s">
        <v>233</v>
      </c>
      <c r="M1204" t="s">
        <v>31</v>
      </c>
      <c r="N1204" t="s">
        <v>57</v>
      </c>
      <c r="O1204" t="s">
        <v>234</v>
      </c>
      <c r="P1204">
        <v>117.36</v>
      </c>
      <c r="Q1204">
        <v>4</v>
      </c>
      <c r="R1204">
        <v>0</v>
      </c>
      <c r="S1204">
        <v>36.381599999999999</v>
      </c>
      <c r="T1204" t="s">
        <v>84</v>
      </c>
      <c r="U1204" t="s">
        <v>78</v>
      </c>
    </row>
    <row r="1205" spans="1:21" x14ac:dyDescent="0.25">
      <c r="A1205" t="s">
        <v>3283</v>
      </c>
      <c r="B1205" s="1">
        <v>41871</v>
      </c>
      <c r="C1205" s="1">
        <v>41876</v>
      </c>
      <c r="D1205" t="s">
        <v>22</v>
      </c>
      <c r="E1205" t="s">
        <v>3284</v>
      </c>
      <c r="F1205" t="s">
        <v>3285</v>
      </c>
      <c r="G1205" t="s">
        <v>25</v>
      </c>
      <c r="H1205" t="s">
        <v>26</v>
      </c>
      <c r="I1205" t="s">
        <v>134</v>
      </c>
      <c r="J1205" t="s">
        <v>135</v>
      </c>
      <c r="K1205" t="s">
        <v>94</v>
      </c>
      <c r="L1205" t="s">
        <v>2335</v>
      </c>
      <c r="M1205" t="s">
        <v>31</v>
      </c>
      <c r="N1205" t="s">
        <v>37</v>
      </c>
      <c r="O1205" t="s">
        <v>2336</v>
      </c>
      <c r="P1205">
        <v>421.37200000000001</v>
      </c>
      <c r="Q1205">
        <v>2</v>
      </c>
      <c r="R1205">
        <v>0.3</v>
      </c>
      <c r="S1205">
        <v>-6.0195999999999996</v>
      </c>
      <c r="T1205" t="s">
        <v>59</v>
      </c>
      <c r="U1205" t="s">
        <v>254</v>
      </c>
    </row>
    <row r="1206" spans="1:21" x14ac:dyDescent="0.25">
      <c r="A1206" t="s">
        <v>3286</v>
      </c>
      <c r="B1206" s="1">
        <v>43052</v>
      </c>
      <c r="C1206" s="1">
        <v>43058</v>
      </c>
      <c r="D1206" t="s">
        <v>40</v>
      </c>
      <c r="E1206" t="s">
        <v>2593</v>
      </c>
      <c r="F1206" t="s">
        <v>2594</v>
      </c>
      <c r="G1206" t="s">
        <v>91</v>
      </c>
      <c r="H1206" t="s">
        <v>26</v>
      </c>
      <c r="I1206" t="s">
        <v>1740</v>
      </c>
      <c r="J1206" t="s">
        <v>93</v>
      </c>
      <c r="K1206" t="s">
        <v>94</v>
      </c>
      <c r="L1206" t="s">
        <v>899</v>
      </c>
      <c r="M1206" t="s">
        <v>31</v>
      </c>
      <c r="N1206" t="s">
        <v>32</v>
      </c>
      <c r="O1206" t="s">
        <v>900</v>
      </c>
      <c r="P1206">
        <v>205.9992</v>
      </c>
      <c r="Q1206">
        <v>3</v>
      </c>
      <c r="R1206">
        <v>0.32</v>
      </c>
      <c r="S1206">
        <v>-27.264600000000002</v>
      </c>
      <c r="T1206" t="s">
        <v>130</v>
      </c>
      <c r="U1206" t="s">
        <v>35</v>
      </c>
    </row>
    <row r="1207" spans="1:21" x14ac:dyDescent="0.25">
      <c r="A1207" t="s">
        <v>3287</v>
      </c>
      <c r="B1207" s="1">
        <v>42406</v>
      </c>
      <c r="C1207" s="1">
        <v>42411</v>
      </c>
      <c r="D1207" t="s">
        <v>40</v>
      </c>
      <c r="E1207" t="s">
        <v>579</v>
      </c>
      <c r="F1207" t="s">
        <v>580</v>
      </c>
      <c r="G1207" t="s">
        <v>91</v>
      </c>
      <c r="H1207" t="s">
        <v>26</v>
      </c>
      <c r="I1207" t="s">
        <v>2270</v>
      </c>
      <c r="J1207" t="s">
        <v>142</v>
      </c>
      <c r="K1207" t="s">
        <v>29</v>
      </c>
      <c r="L1207" t="s">
        <v>597</v>
      </c>
      <c r="M1207" t="s">
        <v>31</v>
      </c>
      <c r="N1207" t="s">
        <v>57</v>
      </c>
      <c r="O1207" t="s">
        <v>598</v>
      </c>
      <c r="P1207">
        <v>132.22399999999999</v>
      </c>
      <c r="Q1207">
        <v>4</v>
      </c>
      <c r="R1207">
        <v>0.2</v>
      </c>
      <c r="S1207">
        <v>-18.180800000000001</v>
      </c>
      <c r="T1207" t="s">
        <v>59</v>
      </c>
      <c r="U1207" t="s">
        <v>298</v>
      </c>
    </row>
    <row r="1208" spans="1:21" x14ac:dyDescent="0.25">
      <c r="A1208" t="s">
        <v>3288</v>
      </c>
      <c r="B1208" s="1">
        <v>42085</v>
      </c>
      <c r="C1208" s="1">
        <v>42089</v>
      </c>
      <c r="D1208" t="s">
        <v>40</v>
      </c>
      <c r="E1208" t="s">
        <v>676</v>
      </c>
      <c r="F1208" t="s">
        <v>677</v>
      </c>
      <c r="G1208" t="s">
        <v>91</v>
      </c>
      <c r="H1208" t="s">
        <v>26</v>
      </c>
      <c r="I1208" t="s">
        <v>640</v>
      </c>
      <c r="J1208" t="s">
        <v>54</v>
      </c>
      <c r="K1208" t="s">
        <v>55</v>
      </c>
      <c r="L1208" t="s">
        <v>3289</v>
      </c>
      <c r="M1208" t="s">
        <v>31</v>
      </c>
      <c r="N1208" t="s">
        <v>57</v>
      </c>
      <c r="O1208" t="s">
        <v>3290</v>
      </c>
      <c r="P1208">
        <v>91.96</v>
      </c>
      <c r="Q1208">
        <v>2</v>
      </c>
      <c r="R1208">
        <v>0</v>
      </c>
      <c r="S1208">
        <v>15.6332</v>
      </c>
      <c r="T1208" t="s">
        <v>84</v>
      </c>
      <c r="U1208" t="s">
        <v>196</v>
      </c>
    </row>
    <row r="1209" spans="1:21" x14ac:dyDescent="0.25">
      <c r="A1209" t="s">
        <v>3291</v>
      </c>
      <c r="B1209" s="1">
        <v>42867</v>
      </c>
      <c r="C1209" s="1">
        <v>42873</v>
      </c>
      <c r="D1209" t="s">
        <v>40</v>
      </c>
      <c r="E1209" t="s">
        <v>2671</v>
      </c>
      <c r="F1209" t="s">
        <v>2672</v>
      </c>
      <c r="G1209" t="s">
        <v>91</v>
      </c>
      <c r="H1209" t="s">
        <v>26</v>
      </c>
      <c r="I1209" t="s">
        <v>329</v>
      </c>
      <c r="J1209" t="s">
        <v>54</v>
      </c>
      <c r="K1209" t="s">
        <v>55</v>
      </c>
      <c r="L1209" t="s">
        <v>908</v>
      </c>
      <c r="M1209" t="s">
        <v>31</v>
      </c>
      <c r="N1209" t="s">
        <v>46</v>
      </c>
      <c r="O1209" t="s">
        <v>909</v>
      </c>
      <c r="P1209">
        <v>285.48</v>
      </c>
      <c r="Q1209">
        <v>5</v>
      </c>
      <c r="R1209">
        <v>0.2</v>
      </c>
      <c r="S1209">
        <v>-10.705500000000001</v>
      </c>
      <c r="T1209" t="s">
        <v>130</v>
      </c>
      <c r="U1209" t="s">
        <v>162</v>
      </c>
    </row>
    <row r="1210" spans="1:21" x14ac:dyDescent="0.25">
      <c r="A1210" t="s">
        <v>3292</v>
      </c>
      <c r="B1210" s="1">
        <v>42981</v>
      </c>
      <c r="C1210" s="1">
        <v>42984</v>
      </c>
      <c r="D1210" t="s">
        <v>22</v>
      </c>
      <c r="E1210" t="s">
        <v>3293</v>
      </c>
      <c r="F1210" t="s">
        <v>3294</v>
      </c>
      <c r="G1210" t="s">
        <v>101</v>
      </c>
      <c r="H1210" t="s">
        <v>26</v>
      </c>
      <c r="I1210" t="s">
        <v>174</v>
      </c>
      <c r="J1210" t="s">
        <v>121</v>
      </c>
      <c r="K1210" t="s">
        <v>68</v>
      </c>
      <c r="L1210" t="s">
        <v>3018</v>
      </c>
      <c r="M1210" t="s">
        <v>31</v>
      </c>
      <c r="N1210" t="s">
        <v>37</v>
      </c>
      <c r="O1210" t="s">
        <v>3019</v>
      </c>
      <c r="P1210">
        <v>90.801000000000002</v>
      </c>
      <c r="Q1210">
        <v>1</v>
      </c>
      <c r="R1210">
        <v>0.1</v>
      </c>
      <c r="S1210">
        <v>14.124599999999999</v>
      </c>
      <c r="T1210" t="s">
        <v>34</v>
      </c>
      <c r="U1210" t="s">
        <v>78</v>
      </c>
    </row>
    <row r="1211" spans="1:21" x14ac:dyDescent="0.25">
      <c r="A1211" t="s">
        <v>3292</v>
      </c>
      <c r="B1211" s="1">
        <v>42981</v>
      </c>
      <c r="C1211" s="1">
        <v>42984</v>
      </c>
      <c r="D1211" t="s">
        <v>22</v>
      </c>
      <c r="E1211" t="s">
        <v>3293</v>
      </c>
      <c r="F1211" t="s">
        <v>3294</v>
      </c>
      <c r="G1211" t="s">
        <v>101</v>
      </c>
      <c r="H1211" t="s">
        <v>26</v>
      </c>
      <c r="I1211" t="s">
        <v>174</v>
      </c>
      <c r="J1211" t="s">
        <v>121</v>
      </c>
      <c r="K1211" t="s">
        <v>68</v>
      </c>
      <c r="L1211" t="s">
        <v>296</v>
      </c>
      <c r="M1211" t="s">
        <v>31</v>
      </c>
      <c r="N1211" t="s">
        <v>37</v>
      </c>
      <c r="O1211" t="s">
        <v>297</v>
      </c>
      <c r="P1211">
        <v>181.76400000000001</v>
      </c>
      <c r="Q1211">
        <v>2</v>
      </c>
      <c r="R1211">
        <v>0.1</v>
      </c>
      <c r="S1211">
        <v>-8.0784000000000002</v>
      </c>
      <c r="T1211" t="s">
        <v>34</v>
      </c>
      <c r="U1211" t="s">
        <v>78</v>
      </c>
    </row>
    <row r="1212" spans="1:21" x14ac:dyDescent="0.25">
      <c r="A1212" t="s">
        <v>3295</v>
      </c>
      <c r="B1212" s="1">
        <v>42707</v>
      </c>
      <c r="C1212" s="1">
        <v>42711</v>
      </c>
      <c r="D1212" t="s">
        <v>40</v>
      </c>
      <c r="E1212" t="s">
        <v>1416</v>
      </c>
      <c r="F1212" t="s">
        <v>1417</v>
      </c>
      <c r="G1212" t="s">
        <v>25</v>
      </c>
      <c r="H1212" t="s">
        <v>26</v>
      </c>
      <c r="I1212" t="s">
        <v>636</v>
      </c>
      <c r="J1212" t="s">
        <v>111</v>
      </c>
      <c r="K1212" t="s">
        <v>94</v>
      </c>
      <c r="L1212" t="s">
        <v>411</v>
      </c>
      <c r="M1212" t="s">
        <v>31</v>
      </c>
      <c r="N1212" t="s">
        <v>46</v>
      </c>
      <c r="O1212" t="s">
        <v>412</v>
      </c>
      <c r="P1212">
        <v>581.96</v>
      </c>
      <c r="Q1212">
        <v>2</v>
      </c>
      <c r="R1212">
        <v>0</v>
      </c>
      <c r="S1212">
        <v>104.75279999999999</v>
      </c>
      <c r="T1212" t="s">
        <v>84</v>
      </c>
      <c r="U1212" t="s">
        <v>97</v>
      </c>
    </row>
    <row r="1213" spans="1:21" x14ac:dyDescent="0.25">
      <c r="A1213" t="s">
        <v>3295</v>
      </c>
      <c r="B1213" s="1">
        <v>42707</v>
      </c>
      <c r="C1213" s="1">
        <v>42711</v>
      </c>
      <c r="D1213" t="s">
        <v>40</v>
      </c>
      <c r="E1213" t="s">
        <v>1416</v>
      </c>
      <c r="F1213" t="s">
        <v>1417</v>
      </c>
      <c r="G1213" t="s">
        <v>25</v>
      </c>
      <c r="H1213" t="s">
        <v>26</v>
      </c>
      <c r="I1213" t="s">
        <v>636</v>
      </c>
      <c r="J1213" t="s">
        <v>111</v>
      </c>
      <c r="K1213" t="s">
        <v>94</v>
      </c>
      <c r="L1213" t="s">
        <v>1514</v>
      </c>
      <c r="M1213" t="s">
        <v>31</v>
      </c>
      <c r="N1213" t="s">
        <v>37</v>
      </c>
      <c r="O1213" t="s">
        <v>1515</v>
      </c>
      <c r="P1213">
        <v>29.98</v>
      </c>
      <c r="Q1213">
        <v>1</v>
      </c>
      <c r="R1213">
        <v>0</v>
      </c>
      <c r="S1213">
        <v>8.0945999999999998</v>
      </c>
      <c r="T1213" t="s">
        <v>84</v>
      </c>
      <c r="U1213" t="s">
        <v>97</v>
      </c>
    </row>
    <row r="1214" spans="1:21" x14ac:dyDescent="0.25">
      <c r="A1214" t="s">
        <v>3296</v>
      </c>
      <c r="B1214" s="1">
        <v>42572</v>
      </c>
      <c r="C1214" s="1">
        <v>42577</v>
      </c>
      <c r="D1214" t="s">
        <v>40</v>
      </c>
      <c r="E1214" t="s">
        <v>1208</v>
      </c>
      <c r="F1214" t="s">
        <v>1209</v>
      </c>
      <c r="G1214" t="s">
        <v>25</v>
      </c>
      <c r="H1214" t="s">
        <v>26</v>
      </c>
      <c r="I1214" t="s">
        <v>510</v>
      </c>
      <c r="J1214" t="s">
        <v>1037</v>
      </c>
      <c r="K1214" t="s">
        <v>29</v>
      </c>
      <c r="L1214" t="s">
        <v>1218</v>
      </c>
      <c r="M1214" t="s">
        <v>31</v>
      </c>
      <c r="N1214" t="s">
        <v>37</v>
      </c>
      <c r="O1214" t="s">
        <v>1219</v>
      </c>
      <c r="P1214">
        <v>363.92</v>
      </c>
      <c r="Q1214">
        <v>5</v>
      </c>
      <c r="R1214">
        <v>0.2</v>
      </c>
      <c r="S1214">
        <v>0</v>
      </c>
      <c r="T1214" t="s">
        <v>59</v>
      </c>
      <c r="U1214" t="s">
        <v>72</v>
      </c>
    </row>
    <row r="1215" spans="1:21" x14ac:dyDescent="0.25">
      <c r="A1215" t="s">
        <v>3297</v>
      </c>
      <c r="B1215" s="1">
        <v>42269</v>
      </c>
      <c r="C1215" s="1">
        <v>42273</v>
      </c>
      <c r="D1215" t="s">
        <v>22</v>
      </c>
      <c r="E1215" t="s">
        <v>2486</v>
      </c>
      <c r="F1215" t="s">
        <v>2487</v>
      </c>
      <c r="G1215" t="s">
        <v>101</v>
      </c>
      <c r="H1215" t="s">
        <v>26</v>
      </c>
      <c r="I1215" t="s">
        <v>690</v>
      </c>
      <c r="J1215" t="s">
        <v>717</v>
      </c>
      <c r="K1215" t="s">
        <v>29</v>
      </c>
      <c r="L1215" t="s">
        <v>1181</v>
      </c>
      <c r="M1215" t="s">
        <v>31</v>
      </c>
      <c r="N1215" t="s">
        <v>57</v>
      </c>
      <c r="O1215" t="s">
        <v>1182</v>
      </c>
      <c r="P1215">
        <v>47.98</v>
      </c>
      <c r="Q1215">
        <v>2</v>
      </c>
      <c r="R1215">
        <v>0</v>
      </c>
      <c r="S1215">
        <v>11.035399999999999</v>
      </c>
      <c r="T1215" t="s">
        <v>84</v>
      </c>
      <c r="U1215" t="s">
        <v>78</v>
      </c>
    </row>
    <row r="1216" spans="1:21" x14ac:dyDescent="0.25">
      <c r="A1216" t="s">
        <v>3298</v>
      </c>
      <c r="B1216" s="1">
        <v>42325</v>
      </c>
      <c r="C1216" s="1">
        <v>42329</v>
      </c>
      <c r="D1216" t="s">
        <v>40</v>
      </c>
      <c r="E1216" t="s">
        <v>3299</v>
      </c>
      <c r="F1216" t="s">
        <v>3300</v>
      </c>
      <c r="G1216" t="s">
        <v>25</v>
      </c>
      <c r="H1216" t="s">
        <v>26</v>
      </c>
      <c r="I1216" t="s">
        <v>640</v>
      </c>
      <c r="J1216" t="s">
        <v>54</v>
      </c>
      <c r="K1216" t="s">
        <v>55</v>
      </c>
      <c r="L1216" t="s">
        <v>2966</v>
      </c>
      <c r="M1216" t="s">
        <v>31</v>
      </c>
      <c r="N1216" t="s">
        <v>57</v>
      </c>
      <c r="O1216" t="s">
        <v>2967</v>
      </c>
      <c r="P1216">
        <v>80.959999999999994</v>
      </c>
      <c r="Q1216">
        <v>4</v>
      </c>
      <c r="R1216">
        <v>0</v>
      </c>
      <c r="S1216">
        <v>29.145600000000002</v>
      </c>
      <c r="T1216" t="s">
        <v>84</v>
      </c>
      <c r="U1216" t="s">
        <v>35</v>
      </c>
    </row>
    <row r="1217" spans="1:21" x14ac:dyDescent="0.25">
      <c r="A1217" t="s">
        <v>3298</v>
      </c>
      <c r="B1217" s="1">
        <v>42325</v>
      </c>
      <c r="C1217" s="1">
        <v>42329</v>
      </c>
      <c r="D1217" t="s">
        <v>40</v>
      </c>
      <c r="E1217" t="s">
        <v>3299</v>
      </c>
      <c r="F1217" t="s">
        <v>3300</v>
      </c>
      <c r="G1217" t="s">
        <v>25</v>
      </c>
      <c r="H1217" t="s">
        <v>26</v>
      </c>
      <c r="I1217" t="s">
        <v>640</v>
      </c>
      <c r="J1217" t="s">
        <v>54</v>
      </c>
      <c r="K1217" t="s">
        <v>55</v>
      </c>
      <c r="L1217" t="s">
        <v>1142</v>
      </c>
      <c r="M1217" t="s">
        <v>31</v>
      </c>
      <c r="N1217" t="s">
        <v>37</v>
      </c>
      <c r="O1217" t="s">
        <v>1143</v>
      </c>
      <c r="P1217">
        <v>225.56800000000001</v>
      </c>
      <c r="Q1217">
        <v>2</v>
      </c>
      <c r="R1217">
        <v>0.2</v>
      </c>
      <c r="S1217">
        <v>2.8195999999999999</v>
      </c>
      <c r="T1217" t="s">
        <v>84</v>
      </c>
      <c r="U1217" t="s">
        <v>35</v>
      </c>
    </row>
    <row r="1218" spans="1:21" x14ac:dyDescent="0.25">
      <c r="A1218" t="s">
        <v>3298</v>
      </c>
      <c r="B1218" s="1">
        <v>42325</v>
      </c>
      <c r="C1218" s="1">
        <v>42329</v>
      </c>
      <c r="D1218" t="s">
        <v>40</v>
      </c>
      <c r="E1218" t="s">
        <v>3299</v>
      </c>
      <c r="F1218" t="s">
        <v>3300</v>
      </c>
      <c r="G1218" t="s">
        <v>25</v>
      </c>
      <c r="H1218" t="s">
        <v>26</v>
      </c>
      <c r="I1218" t="s">
        <v>640</v>
      </c>
      <c r="J1218" t="s">
        <v>54</v>
      </c>
      <c r="K1218" t="s">
        <v>55</v>
      </c>
      <c r="L1218" t="s">
        <v>1483</v>
      </c>
      <c r="M1218" t="s">
        <v>31</v>
      </c>
      <c r="N1218" t="s">
        <v>57</v>
      </c>
      <c r="O1218" t="s">
        <v>1484</v>
      </c>
      <c r="P1218">
        <v>36.6</v>
      </c>
      <c r="Q1218">
        <v>3</v>
      </c>
      <c r="R1218">
        <v>0</v>
      </c>
      <c r="S1218">
        <v>15.372</v>
      </c>
      <c r="T1218" t="s">
        <v>84</v>
      </c>
      <c r="U1218" t="s">
        <v>35</v>
      </c>
    </row>
    <row r="1219" spans="1:21" x14ac:dyDescent="0.25">
      <c r="A1219" t="s">
        <v>3301</v>
      </c>
      <c r="B1219" s="1">
        <v>42318</v>
      </c>
      <c r="C1219" s="1">
        <v>42322</v>
      </c>
      <c r="D1219" t="s">
        <v>40</v>
      </c>
      <c r="E1219" t="s">
        <v>3302</v>
      </c>
      <c r="F1219" t="s">
        <v>3303</v>
      </c>
      <c r="G1219" t="s">
        <v>101</v>
      </c>
      <c r="H1219" t="s">
        <v>26</v>
      </c>
      <c r="I1219" t="s">
        <v>224</v>
      </c>
      <c r="J1219" t="s">
        <v>167</v>
      </c>
      <c r="K1219" t="s">
        <v>94</v>
      </c>
      <c r="L1219" t="s">
        <v>316</v>
      </c>
      <c r="M1219" t="s">
        <v>31</v>
      </c>
      <c r="N1219" t="s">
        <v>57</v>
      </c>
      <c r="O1219" t="s">
        <v>317</v>
      </c>
      <c r="P1219">
        <v>29.22</v>
      </c>
      <c r="Q1219">
        <v>3</v>
      </c>
      <c r="R1219">
        <v>0</v>
      </c>
      <c r="S1219">
        <v>12.8568</v>
      </c>
      <c r="T1219" t="s">
        <v>84</v>
      </c>
      <c r="U1219" t="s">
        <v>35</v>
      </c>
    </row>
    <row r="1220" spans="1:21" x14ac:dyDescent="0.25">
      <c r="A1220" t="s">
        <v>3304</v>
      </c>
      <c r="B1220" s="1">
        <v>42221</v>
      </c>
      <c r="C1220" s="1">
        <v>42227</v>
      </c>
      <c r="D1220" t="s">
        <v>40</v>
      </c>
      <c r="E1220" t="s">
        <v>2577</v>
      </c>
      <c r="F1220" t="s">
        <v>2578</v>
      </c>
      <c r="G1220" t="s">
        <v>91</v>
      </c>
      <c r="H1220" t="s">
        <v>26</v>
      </c>
      <c r="I1220" t="s">
        <v>1740</v>
      </c>
      <c r="J1220" t="s">
        <v>93</v>
      </c>
      <c r="K1220" t="s">
        <v>94</v>
      </c>
      <c r="L1220" t="s">
        <v>1719</v>
      </c>
      <c r="M1220" t="s">
        <v>31</v>
      </c>
      <c r="N1220" t="s">
        <v>57</v>
      </c>
      <c r="O1220" t="s">
        <v>1720</v>
      </c>
      <c r="P1220">
        <v>14.76</v>
      </c>
      <c r="Q1220">
        <v>5</v>
      </c>
      <c r="R1220">
        <v>0.6</v>
      </c>
      <c r="S1220">
        <v>-11.439</v>
      </c>
      <c r="T1220" t="s">
        <v>130</v>
      </c>
      <c r="U1220" t="s">
        <v>254</v>
      </c>
    </row>
    <row r="1221" spans="1:21" x14ac:dyDescent="0.25">
      <c r="A1221" t="s">
        <v>3305</v>
      </c>
      <c r="B1221" s="1">
        <v>42981</v>
      </c>
      <c r="C1221" s="1">
        <v>42985</v>
      </c>
      <c r="D1221" t="s">
        <v>22</v>
      </c>
      <c r="E1221" t="s">
        <v>2838</v>
      </c>
      <c r="F1221" t="s">
        <v>2839</v>
      </c>
      <c r="G1221" t="s">
        <v>25</v>
      </c>
      <c r="H1221" t="s">
        <v>26</v>
      </c>
      <c r="I1221" t="s">
        <v>510</v>
      </c>
      <c r="J1221" t="s">
        <v>54</v>
      </c>
      <c r="K1221" t="s">
        <v>55</v>
      </c>
      <c r="L1221" t="s">
        <v>2623</v>
      </c>
      <c r="M1221" t="s">
        <v>31</v>
      </c>
      <c r="N1221" t="s">
        <v>32</v>
      </c>
      <c r="O1221" t="s">
        <v>2624</v>
      </c>
      <c r="P1221">
        <v>239.666</v>
      </c>
      <c r="Q1221">
        <v>2</v>
      </c>
      <c r="R1221">
        <v>0.15</v>
      </c>
      <c r="S1221">
        <v>14.098000000000001</v>
      </c>
      <c r="T1221" t="s">
        <v>84</v>
      </c>
      <c r="U1221" t="s">
        <v>78</v>
      </c>
    </row>
    <row r="1222" spans="1:21" x14ac:dyDescent="0.25">
      <c r="A1222" t="s">
        <v>3306</v>
      </c>
      <c r="B1222" s="1">
        <v>42309</v>
      </c>
      <c r="C1222" s="1">
        <v>42316</v>
      </c>
      <c r="D1222" t="s">
        <v>40</v>
      </c>
      <c r="E1222" t="s">
        <v>2071</v>
      </c>
      <c r="F1222" t="s">
        <v>2072</v>
      </c>
      <c r="G1222" t="s">
        <v>25</v>
      </c>
      <c r="H1222" t="s">
        <v>26</v>
      </c>
      <c r="I1222" t="s">
        <v>3307</v>
      </c>
      <c r="J1222" t="s">
        <v>1059</v>
      </c>
      <c r="K1222" t="s">
        <v>29</v>
      </c>
      <c r="L1222" t="s">
        <v>1285</v>
      </c>
      <c r="M1222" t="s">
        <v>31</v>
      </c>
      <c r="N1222" t="s">
        <v>46</v>
      </c>
      <c r="O1222" t="s">
        <v>1286</v>
      </c>
      <c r="P1222">
        <v>301.95999999999998</v>
      </c>
      <c r="Q1222">
        <v>2</v>
      </c>
      <c r="R1222">
        <v>0</v>
      </c>
      <c r="S1222">
        <v>45.293999999999997</v>
      </c>
      <c r="T1222" t="s">
        <v>48</v>
      </c>
      <c r="U1222" t="s">
        <v>35</v>
      </c>
    </row>
    <row r="1223" spans="1:21" x14ac:dyDescent="0.25">
      <c r="A1223" t="s">
        <v>3308</v>
      </c>
      <c r="B1223" s="1">
        <v>41856</v>
      </c>
      <c r="C1223" s="1">
        <v>41858</v>
      </c>
      <c r="D1223" t="s">
        <v>22</v>
      </c>
      <c r="E1223" t="s">
        <v>1810</v>
      </c>
      <c r="F1223" t="s">
        <v>1811</v>
      </c>
      <c r="G1223" t="s">
        <v>91</v>
      </c>
      <c r="H1223" t="s">
        <v>26</v>
      </c>
      <c r="I1223" t="s">
        <v>3309</v>
      </c>
      <c r="J1223" t="s">
        <v>430</v>
      </c>
      <c r="K1223" t="s">
        <v>68</v>
      </c>
      <c r="L1223" t="s">
        <v>806</v>
      </c>
      <c r="M1223" t="s">
        <v>31</v>
      </c>
      <c r="N1223" t="s">
        <v>37</v>
      </c>
      <c r="O1223" t="s">
        <v>807</v>
      </c>
      <c r="P1223">
        <v>1133.3499999999999</v>
      </c>
      <c r="Q1223">
        <v>5</v>
      </c>
      <c r="R1223">
        <v>0</v>
      </c>
      <c r="S1223">
        <v>294.67099999999999</v>
      </c>
      <c r="T1223" t="s">
        <v>71</v>
      </c>
      <c r="U1223" t="s">
        <v>254</v>
      </c>
    </row>
    <row r="1224" spans="1:21" x14ac:dyDescent="0.25">
      <c r="A1224" t="s">
        <v>3310</v>
      </c>
      <c r="B1224" s="1">
        <v>42681</v>
      </c>
      <c r="C1224" s="1">
        <v>42686</v>
      </c>
      <c r="D1224" t="s">
        <v>40</v>
      </c>
      <c r="E1224" t="s">
        <v>2200</v>
      </c>
      <c r="F1224" t="s">
        <v>2201</v>
      </c>
      <c r="G1224" t="s">
        <v>101</v>
      </c>
      <c r="H1224" t="s">
        <v>26</v>
      </c>
      <c r="I1224" t="s">
        <v>3311</v>
      </c>
      <c r="J1224" t="s">
        <v>3312</v>
      </c>
      <c r="K1224" t="s">
        <v>55</v>
      </c>
      <c r="L1224" t="s">
        <v>560</v>
      </c>
      <c r="M1224" t="s">
        <v>31</v>
      </c>
      <c r="N1224" t="s">
        <v>37</v>
      </c>
      <c r="O1224" t="s">
        <v>561</v>
      </c>
      <c r="P1224">
        <v>1603.136</v>
      </c>
      <c r="Q1224">
        <v>4</v>
      </c>
      <c r="R1224">
        <v>0.2</v>
      </c>
      <c r="S1224">
        <v>100.196</v>
      </c>
      <c r="T1224" t="s">
        <v>59</v>
      </c>
      <c r="U1224" t="s">
        <v>35</v>
      </c>
    </row>
    <row r="1225" spans="1:21" x14ac:dyDescent="0.25">
      <c r="A1225" t="s">
        <v>3313</v>
      </c>
      <c r="B1225" s="1">
        <v>42535</v>
      </c>
      <c r="C1225" s="1">
        <v>42535</v>
      </c>
      <c r="D1225" t="s">
        <v>426</v>
      </c>
      <c r="E1225" t="s">
        <v>504</v>
      </c>
      <c r="F1225" t="s">
        <v>505</v>
      </c>
      <c r="G1225" t="s">
        <v>91</v>
      </c>
      <c r="H1225" t="s">
        <v>26</v>
      </c>
      <c r="I1225" t="s">
        <v>3048</v>
      </c>
      <c r="J1225" t="s">
        <v>54</v>
      </c>
      <c r="K1225" t="s">
        <v>55</v>
      </c>
      <c r="L1225" t="s">
        <v>3166</v>
      </c>
      <c r="M1225" t="s">
        <v>31</v>
      </c>
      <c r="N1225" t="s">
        <v>46</v>
      </c>
      <c r="O1225" t="s">
        <v>3167</v>
      </c>
      <c r="P1225">
        <v>1293.4880000000001</v>
      </c>
      <c r="Q1225">
        <v>7</v>
      </c>
      <c r="R1225">
        <v>0.2</v>
      </c>
      <c r="S1225">
        <v>80.843000000000004</v>
      </c>
      <c r="T1225" t="s">
        <v>431</v>
      </c>
      <c r="U1225" t="s">
        <v>60</v>
      </c>
    </row>
    <row r="1226" spans="1:21" x14ac:dyDescent="0.25">
      <c r="A1226" t="s">
        <v>3314</v>
      </c>
      <c r="B1226" s="1">
        <v>42637</v>
      </c>
      <c r="C1226" s="1">
        <v>42641</v>
      </c>
      <c r="D1226" t="s">
        <v>40</v>
      </c>
      <c r="E1226" t="s">
        <v>2352</v>
      </c>
      <c r="F1226" t="s">
        <v>2353</v>
      </c>
      <c r="G1226" t="s">
        <v>25</v>
      </c>
      <c r="H1226" t="s">
        <v>26</v>
      </c>
      <c r="I1226" t="s">
        <v>212</v>
      </c>
      <c r="J1226" t="s">
        <v>111</v>
      </c>
      <c r="K1226" t="s">
        <v>94</v>
      </c>
      <c r="L1226" t="s">
        <v>182</v>
      </c>
      <c r="M1226" t="s">
        <v>31</v>
      </c>
      <c r="N1226" t="s">
        <v>57</v>
      </c>
      <c r="O1226" t="s">
        <v>183</v>
      </c>
      <c r="P1226">
        <v>127.95</v>
      </c>
      <c r="Q1226">
        <v>3</v>
      </c>
      <c r="R1226">
        <v>0</v>
      </c>
      <c r="S1226">
        <v>21.7515</v>
      </c>
      <c r="T1226" t="s">
        <v>84</v>
      </c>
      <c r="U1226" t="s">
        <v>78</v>
      </c>
    </row>
    <row r="1227" spans="1:21" x14ac:dyDescent="0.25">
      <c r="A1227" t="s">
        <v>3315</v>
      </c>
      <c r="B1227" s="1">
        <v>42631</v>
      </c>
      <c r="C1227" s="1">
        <v>42635</v>
      </c>
      <c r="D1227" t="s">
        <v>40</v>
      </c>
      <c r="E1227" t="s">
        <v>1321</v>
      </c>
      <c r="F1227" t="s">
        <v>1322</v>
      </c>
      <c r="G1227" t="s">
        <v>91</v>
      </c>
      <c r="H1227" t="s">
        <v>26</v>
      </c>
      <c r="I1227" t="s">
        <v>640</v>
      </c>
      <c r="J1227" t="s">
        <v>54</v>
      </c>
      <c r="K1227" t="s">
        <v>55</v>
      </c>
      <c r="L1227" t="s">
        <v>560</v>
      </c>
      <c r="M1227" t="s">
        <v>31</v>
      </c>
      <c r="N1227" t="s">
        <v>37</v>
      </c>
      <c r="O1227" t="s">
        <v>561</v>
      </c>
      <c r="P1227">
        <v>801.56799999999998</v>
      </c>
      <c r="Q1227">
        <v>2</v>
      </c>
      <c r="R1227">
        <v>0.2</v>
      </c>
      <c r="S1227">
        <v>50.097999999999999</v>
      </c>
      <c r="T1227" t="s">
        <v>84</v>
      </c>
      <c r="U1227" t="s">
        <v>78</v>
      </c>
    </row>
    <row r="1228" spans="1:21" x14ac:dyDescent="0.25">
      <c r="A1228" t="s">
        <v>3315</v>
      </c>
      <c r="B1228" s="1">
        <v>42631</v>
      </c>
      <c r="C1228" s="1">
        <v>42635</v>
      </c>
      <c r="D1228" t="s">
        <v>40</v>
      </c>
      <c r="E1228" t="s">
        <v>1321</v>
      </c>
      <c r="F1228" t="s">
        <v>1322</v>
      </c>
      <c r="G1228" t="s">
        <v>91</v>
      </c>
      <c r="H1228" t="s">
        <v>26</v>
      </c>
      <c r="I1228" t="s">
        <v>640</v>
      </c>
      <c r="J1228" t="s">
        <v>54</v>
      </c>
      <c r="K1228" t="s">
        <v>55</v>
      </c>
      <c r="L1228" t="s">
        <v>1029</v>
      </c>
      <c r="M1228" t="s">
        <v>31</v>
      </c>
      <c r="N1228" t="s">
        <v>37</v>
      </c>
      <c r="O1228" t="s">
        <v>1030</v>
      </c>
      <c r="P1228">
        <v>885.52800000000002</v>
      </c>
      <c r="Q1228">
        <v>9</v>
      </c>
      <c r="R1228">
        <v>0.2</v>
      </c>
      <c r="S1228">
        <v>-99.621899999999997</v>
      </c>
      <c r="T1228" t="s">
        <v>84</v>
      </c>
      <c r="U1228" t="s">
        <v>78</v>
      </c>
    </row>
    <row r="1229" spans="1:21" x14ac:dyDescent="0.25">
      <c r="A1229" t="s">
        <v>3316</v>
      </c>
      <c r="B1229" s="1">
        <v>42442</v>
      </c>
      <c r="C1229" s="1">
        <v>42444</v>
      </c>
      <c r="D1229" t="s">
        <v>22</v>
      </c>
      <c r="E1229" t="s">
        <v>1599</v>
      </c>
      <c r="F1229" t="s">
        <v>1600</v>
      </c>
      <c r="G1229" t="s">
        <v>91</v>
      </c>
      <c r="H1229" t="s">
        <v>26</v>
      </c>
      <c r="I1229" t="s">
        <v>329</v>
      </c>
      <c r="J1229" t="s">
        <v>54</v>
      </c>
      <c r="K1229" t="s">
        <v>55</v>
      </c>
      <c r="L1229" t="s">
        <v>473</v>
      </c>
      <c r="M1229" t="s">
        <v>31</v>
      </c>
      <c r="N1229" t="s">
        <v>57</v>
      </c>
      <c r="O1229" t="s">
        <v>474</v>
      </c>
      <c r="P1229">
        <v>28.28</v>
      </c>
      <c r="Q1229">
        <v>2</v>
      </c>
      <c r="R1229">
        <v>0</v>
      </c>
      <c r="S1229">
        <v>7.3528000000000002</v>
      </c>
      <c r="T1229" t="s">
        <v>71</v>
      </c>
      <c r="U1229" t="s">
        <v>196</v>
      </c>
    </row>
    <row r="1230" spans="1:21" x14ac:dyDescent="0.25">
      <c r="A1230" t="s">
        <v>3317</v>
      </c>
      <c r="B1230" s="1">
        <v>42463</v>
      </c>
      <c r="C1230" s="1">
        <v>42469</v>
      </c>
      <c r="D1230" t="s">
        <v>40</v>
      </c>
      <c r="E1230" t="s">
        <v>2268</v>
      </c>
      <c r="F1230" t="s">
        <v>2269</v>
      </c>
      <c r="G1230" t="s">
        <v>25</v>
      </c>
      <c r="H1230" t="s">
        <v>26</v>
      </c>
      <c r="I1230" t="s">
        <v>636</v>
      </c>
      <c r="J1230" t="s">
        <v>111</v>
      </c>
      <c r="K1230" t="s">
        <v>94</v>
      </c>
      <c r="L1230" t="s">
        <v>168</v>
      </c>
      <c r="M1230" t="s">
        <v>31</v>
      </c>
      <c r="N1230" t="s">
        <v>57</v>
      </c>
      <c r="O1230" t="s">
        <v>169</v>
      </c>
      <c r="P1230">
        <v>71.12</v>
      </c>
      <c r="Q1230">
        <v>4</v>
      </c>
      <c r="R1230">
        <v>0</v>
      </c>
      <c r="S1230">
        <v>22.0472</v>
      </c>
      <c r="T1230" t="s">
        <v>130</v>
      </c>
      <c r="U1230" t="s">
        <v>114</v>
      </c>
    </row>
    <row r="1231" spans="1:21" x14ac:dyDescent="0.25">
      <c r="A1231" t="s">
        <v>3318</v>
      </c>
      <c r="B1231" s="1">
        <v>42701</v>
      </c>
      <c r="C1231" s="1">
        <v>42706</v>
      </c>
      <c r="D1231" t="s">
        <v>40</v>
      </c>
      <c r="E1231" t="s">
        <v>1364</v>
      </c>
      <c r="F1231" t="s">
        <v>1365</v>
      </c>
      <c r="G1231" t="s">
        <v>91</v>
      </c>
      <c r="H1231" t="s">
        <v>26</v>
      </c>
      <c r="I1231" t="s">
        <v>1941</v>
      </c>
      <c r="J1231" t="s">
        <v>363</v>
      </c>
      <c r="K1231" t="s">
        <v>68</v>
      </c>
      <c r="L1231" t="s">
        <v>1578</v>
      </c>
      <c r="M1231" t="s">
        <v>31</v>
      </c>
      <c r="N1231" t="s">
        <v>57</v>
      </c>
      <c r="O1231" t="s">
        <v>1579</v>
      </c>
      <c r="P1231">
        <v>31.56</v>
      </c>
      <c r="Q1231">
        <v>3</v>
      </c>
      <c r="R1231">
        <v>0</v>
      </c>
      <c r="S1231">
        <v>10.4148</v>
      </c>
      <c r="T1231" t="s">
        <v>59</v>
      </c>
      <c r="U1231" t="s">
        <v>35</v>
      </c>
    </row>
    <row r="1232" spans="1:21" x14ac:dyDescent="0.25">
      <c r="A1232" t="s">
        <v>3319</v>
      </c>
      <c r="B1232" s="1">
        <v>42706</v>
      </c>
      <c r="C1232" s="1">
        <v>42711</v>
      </c>
      <c r="D1232" t="s">
        <v>40</v>
      </c>
      <c r="E1232" t="s">
        <v>2498</v>
      </c>
      <c r="F1232" t="s">
        <v>2499</v>
      </c>
      <c r="G1232" t="s">
        <v>91</v>
      </c>
      <c r="H1232" t="s">
        <v>26</v>
      </c>
      <c r="I1232" t="s">
        <v>1492</v>
      </c>
      <c r="J1232" t="s">
        <v>54</v>
      </c>
      <c r="K1232" t="s">
        <v>55</v>
      </c>
      <c r="L1232" t="s">
        <v>2525</v>
      </c>
      <c r="M1232" t="s">
        <v>31</v>
      </c>
      <c r="N1232" t="s">
        <v>57</v>
      </c>
      <c r="O1232" t="s">
        <v>2526</v>
      </c>
      <c r="P1232">
        <v>14.52</v>
      </c>
      <c r="Q1232">
        <v>3</v>
      </c>
      <c r="R1232">
        <v>0</v>
      </c>
      <c r="S1232">
        <v>5.6627999999999998</v>
      </c>
      <c r="T1232" t="s">
        <v>59</v>
      </c>
      <c r="U1232" t="s">
        <v>97</v>
      </c>
    </row>
    <row r="1233" spans="1:21" x14ac:dyDescent="0.25">
      <c r="A1233" t="s">
        <v>3320</v>
      </c>
      <c r="B1233" s="1">
        <v>42264</v>
      </c>
      <c r="C1233" s="1">
        <v>42270</v>
      </c>
      <c r="D1233" t="s">
        <v>40</v>
      </c>
      <c r="E1233" t="s">
        <v>2613</v>
      </c>
      <c r="F1233" t="s">
        <v>2614</v>
      </c>
      <c r="G1233" t="s">
        <v>25</v>
      </c>
      <c r="H1233" t="s">
        <v>26</v>
      </c>
      <c r="I1233" t="s">
        <v>174</v>
      </c>
      <c r="J1233" t="s">
        <v>121</v>
      </c>
      <c r="K1233" t="s">
        <v>68</v>
      </c>
      <c r="L1233" t="s">
        <v>1165</v>
      </c>
      <c r="M1233" t="s">
        <v>31</v>
      </c>
      <c r="N1233" t="s">
        <v>37</v>
      </c>
      <c r="O1233" t="s">
        <v>1166</v>
      </c>
      <c r="P1233">
        <v>199.76400000000001</v>
      </c>
      <c r="Q1233">
        <v>2</v>
      </c>
      <c r="R1233">
        <v>0.1</v>
      </c>
      <c r="S1233">
        <v>8.8783999999999992</v>
      </c>
      <c r="T1233" t="s">
        <v>130</v>
      </c>
      <c r="U1233" t="s">
        <v>78</v>
      </c>
    </row>
    <row r="1234" spans="1:21" x14ac:dyDescent="0.25">
      <c r="A1234" t="s">
        <v>3320</v>
      </c>
      <c r="B1234" s="1">
        <v>42264</v>
      </c>
      <c r="C1234" s="1">
        <v>42270</v>
      </c>
      <c r="D1234" t="s">
        <v>40</v>
      </c>
      <c r="E1234" t="s">
        <v>2613</v>
      </c>
      <c r="F1234" t="s">
        <v>2614</v>
      </c>
      <c r="G1234" t="s">
        <v>25</v>
      </c>
      <c r="H1234" t="s">
        <v>26</v>
      </c>
      <c r="I1234" t="s">
        <v>174</v>
      </c>
      <c r="J1234" t="s">
        <v>121</v>
      </c>
      <c r="K1234" t="s">
        <v>68</v>
      </c>
      <c r="L1234" t="s">
        <v>82</v>
      </c>
      <c r="M1234" t="s">
        <v>31</v>
      </c>
      <c r="N1234" t="s">
        <v>32</v>
      </c>
      <c r="O1234" t="s">
        <v>83</v>
      </c>
      <c r="P1234">
        <v>4228.7039999999997</v>
      </c>
      <c r="Q1234">
        <v>6</v>
      </c>
      <c r="R1234">
        <v>0.2</v>
      </c>
      <c r="S1234">
        <v>158.57640000000001</v>
      </c>
      <c r="T1234" t="s">
        <v>130</v>
      </c>
      <c r="U1234" t="s">
        <v>78</v>
      </c>
    </row>
    <row r="1235" spans="1:21" x14ac:dyDescent="0.25">
      <c r="A1235" t="s">
        <v>3320</v>
      </c>
      <c r="B1235" s="1">
        <v>42264</v>
      </c>
      <c r="C1235" s="1">
        <v>42270</v>
      </c>
      <c r="D1235" t="s">
        <v>40</v>
      </c>
      <c r="E1235" t="s">
        <v>2613</v>
      </c>
      <c r="F1235" t="s">
        <v>2614</v>
      </c>
      <c r="G1235" t="s">
        <v>25</v>
      </c>
      <c r="H1235" t="s">
        <v>26</v>
      </c>
      <c r="I1235" t="s">
        <v>174</v>
      </c>
      <c r="J1235" t="s">
        <v>121</v>
      </c>
      <c r="K1235" t="s">
        <v>68</v>
      </c>
      <c r="L1235" t="s">
        <v>1696</v>
      </c>
      <c r="M1235" t="s">
        <v>31</v>
      </c>
      <c r="N1235" t="s">
        <v>32</v>
      </c>
      <c r="O1235" t="s">
        <v>1697</v>
      </c>
      <c r="P1235">
        <v>2003.92</v>
      </c>
      <c r="Q1235">
        <v>5</v>
      </c>
      <c r="R1235">
        <v>0.2</v>
      </c>
      <c r="S1235">
        <v>-25.048999999999999</v>
      </c>
      <c r="T1235" t="s">
        <v>130</v>
      </c>
      <c r="U1235" t="s">
        <v>78</v>
      </c>
    </row>
    <row r="1236" spans="1:21" x14ac:dyDescent="0.25">
      <c r="A1236" t="s">
        <v>3321</v>
      </c>
      <c r="B1236" s="1">
        <v>42700</v>
      </c>
      <c r="C1236" s="1">
        <v>42704</v>
      </c>
      <c r="D1236" t="s">
        <v>22</v>
      </c>
      <c r="E1236" t="s">
        <v>445</v>
      </c>
      <c r="F1236" t="s">
        <v>446</v>
      </c>
      <c r="G1236" t="s">
        <v>91</v>
      </c>
      <c r="H1236" t="s">
        <v>26</v>
      </c>
      <c r="I1236" t="s">
        <v>174</v>
      </c>
      <c r="J1236" t="s">
        <v>121</v>
      </c>
      <c r="K1236" t="s">
        <v>68</v>
      </c>
      <c r="L1236" t="s">
        <v>1248</v>
      </c>
      <c r="M1236" t="s">
        <v>31</v>
      </c>
      <c r="N1236" t="s">
        <v>46</v>
      </c>
      <c r="O1236" t="s">
        <v>1249</v>
      </c>
      <c r="P1236">
        <v>313.17599999999999</v>
      </c>
      <c r="Q1236">
        <v>2</v>
      </c>
      <c r="R1236">
        <v>0.4</v>
      </c>
      <c r="S1236">
        <v>-120.0508</v>
      </c>
      <c r="T1236" t="s">
        <v>84</v>
      </c>
      <c r="U1236" t="s">
        <v>35</v>
      </c>
    </row>
    <row r="1237" spans="1:21" x14ac:dyDescent="0.25">
      <c r="A1237" t="s">
        <v>3322</v>
      </c>
      <c r="B1237" s="1">
        <v>41737</v>
      </c>
      <c r="C1237" s="1">
        <v>41741</v>
      </c>
      <c r="D1237" t="s">
        <v>40</v>
      </c>
      <c r="E1237" t="s">
        <v>3323</v>
      </c>
      <c r="F1237" t="s">
        <v>3324</v>
      </c>
      <c r="G1237" t="s">
        <v>91</v>
      </c>
      <c r="H1237" t="s">
        <v>26</v>
      </c>
      <c r="I1237" t="s">
        <v>514</v>
      </c>
      <c r="J1237" t="s">
        <v>1277</v>
      </c>
      <c r="K1237" t="s">
        <v>29</v>
      </c>
      <c r="L1237" t="s">
        <v>3190</v>
      </c>
      <c r="M1237" t="s">
        <v>31</v>
      </c>
      <c r="N1237" t="s">
        <v>46</v>
      </c>
      <c r="O1237" t="s">
        <v>3191</v>
      </c>
      <c r="P1237">
        <v>1215.92</v>
      </c>
      <c r="Q1237">
        <v>8</v>
      </c>
      <c r="R1237">
        <v>0</v>
      </c>
      <c r="S1237">
        <v>316.13920000000002</v>
      </c>
      <c r="T1237" t="s">
        <v>84</v>
      </c>
      <c r="U1237" t="s">
        <v>114</v>
      </c>
    </row>
    <row r="1238" spans="1:21" x14ac:dyDescent="0.25">
      <c r="A1238" t="s">
        <v>3325</v>
      </c>
      <c r="B1238" s="1">
        <v>41923</v>
      </c>
      <c r="C1238" s="1">
        <v>41927</v>
      </c>
      <c r="D1238" t="s">
        <v>40</v>
      </c>
      <c r="E1238" t="s">
        <v>2922</v>
      </c>
      <c r="F1238" t="s">
        <v>2923</v>
      </c>
      <c r="G1238" t="s">
        <v>91</v>
      </c>
      <c r="H1238" t="s">
        <v>26</v>
      </c>
      <c r="I1238" t="s">
        <v>1912</v>
      </c>
      <c r="J1238" t="s">
        <v>1059</v>
      </c>
      <c r="K1238" t="s">
        <v>29</v>
      </c>
      <c r="L1238" t="s">
        <v>1913</v>
      </c>
      <c r="M1238" t="s">
        <v>31</v>
      </c>
      <c r="N1238" t="s">
        <v>57</v>
      </c>
      <c r="O1238" t="s">
        <v>1914</v>
      </c>
      <c r="P1238">
        <v>8.92</v>
      </c>
      <c r="Q1238">
        <v>4</v>
      </c>
      <c r="R1238">
        <v>0</v>
      </c>
      <c r="S1238">
        <v>3.9247999999999998</v>
      </c>
      <c r="T1238" t="s">
        <v>84</v>
      </c>
      <c r="U1238" t="s">
        <v>49</v>
      </c>
    </row>
    <row r="1239" spans="1:21" x14ac:dyDescent="0.25">
      <c r="A1239" t="s">
        <v>3326</v>
      </c>
      <c r="B1239" s="1">
        <v>42923</v>
      </c>
      <c r="C1239" s="1">
        <v>42925</v>
      </c>
      <c r="D1239" t="s">
        <v>88</v>
      </c>
      <c r="E1239" t="s">
        <v>2868</v>
      </c>
      <c r="F1239" t="s">
        <v>2869</v>
      </c>
      <c r="G1239" t="s">
        <v>25</v>
      </c>
      <c r="H1239" t="s">
        <v>26</v>
      </c>
      <c r="I1239" t="s">
        <v>66</v>
      </c>
      <c r="J1239" t="s">
        <v>67</v>
      </c>
      <c r="K1239" t="s">
        <v>68</v>
      </c>
      <c r="L1239" t="s">
        <v>861</v>
      </c>
      <c r="M1239" t="s">
        <v>31</v>
      </c>
      <c r="N1239" t="s">
        <v>32</v>
      </c>
      <c r="O1239" t="s">
        <v>862</v>
      </c>
      <c r="P1239">
        <v>87.21</v>
      </c>
      <c r="Q1239">
        <v>3</v>
      </c>
      <c r="R1239">
        <v>0.5</v>
      </c>
      <c r="S1239">
        <v>-45.349200000000003</v>
      </c>
      <c r="T1239" t="s">
        <v>71</v>
      </c>
      <c r="U1239" t="s">
        <v>72</v>
      </c>
    </row>
    <row r="1240" spans="1:21" x14ac:dyDescent="0.25">
      <c r="A1240" t="s">
        <v>3327</v>
      </c>
      <c r="B1240" s="1">
        <v>42555</v>
      </c>
      <c r="C1240" s="1">
        <v>42555</v>
      </c>
      <c r="D1240" t="s">
        <v>426</v>
      </c>
      <c r="E1240" t="s">
        <v>672</v>
      </c>
      <c r="F1240" t="s">
        <v>673</v>
      </c>
      <c r="G1240" t="s">
        <v>101</v>
      </c>
      <c r="H1240" t="s">
        <v>26</v>
      </c>
      <c r="I1240" t="s">
        <v>192</v>
      </c>
      <c r="J1240" t="s">
        <v>193</v>
      </c>
      <c r="K1240" t="s">
        <v>55</v>
      </c>
      <c r="L1240" t="s">
        <v>662</v>
      </c>
      <c r="M1240" t="s">
        <v>31</v>
      </c>
      <c r="N1240" t="s">
        <v>57</v>
      </c>
      <c r="O1240" t="s">
        <v>663</v>
      </c>
      <c r="P1240">
        <v>25.4</v>
      </c>
      <c r="Q1240">
        <v>5</v>
      </c>
      <c r="R1240">
        <v>0</v>
      </c>
      <c r="S1240">
        <v>8.6359999999999992</v>
      </c>
      <c r="T1240" t="s">
        <v>431</v>
      </c>
      <c r="U1240" t="s">
        <v>72</v>
      </c>
    </row>
    <row r="1241" spans="1:21" x14ac:dyDescent="0.25">
      <c r="A1241" t="s">
        <v>3328</v>
      </c>
      <c r="B1241" s="1">
        <v>41876</v>
      </c>
      <c r="C1241" s="1">
        <v>41880</v>
      </c>
      <c r="D1241" t="s">
        <v>40</v>
      </c>
      <c r="E1241" t="s">
        <v>483</v>
      </c>
      <c r="F1241" t="s">
        <v>484</v>
      </c>
      <c r="G1241" t="s">
        <v>91</v>
      </c>
      <c r="H1241" t="s">
        <v>26</v>
      </c>
      <c r="I1241" t="s">
        <v>53</v>
      </c>
      <c r="J1241" t="s">
        <v>54</v>
      </c>
      <c r="K1241" t="s">
        <v>55</v>
      </c>
      <c r="L1241" t="s">
        <v>2159</v>
      </c>
      <c r="M1241" t="s">
        <v>31</v>
      </c>
      <c r="N1241" t="s">
        <v>57</v>
      </c>
      <c r="O1241" t="s">
        <v>2160</v>
      </c>
      <c r="P1241">
        <v>6.28</v>
      </c>
      <c r="Q1241">
        <v>1</v>
      </c>
      <c r="R1241">
        <v>0</v>
      </c>
      <c r="S1241">
        <v>2.6375999999999999</v>
      </c>
      <c r="T1241" t="s">
        <v>84</v>
      </c>
      <c r="U1241" t="s">
        <v>254</v>
      </c>
    </row>
    <row r="1242" spans="1:21" x14ac:dyDescent="0.25">
      <c r="A1242" t="s">
        <v>3329</v>
      </c>
      <c r="B1242" s="1">
        <v>41954</v>
      </c>
      <c r="C1242" s="1">
        <v>41958</v>
      </c>
      <c r="D1242" t="s">
        <v>22</v>
      </c>
      <c r="E1242" t="s">
        <v>3050</v>
      </c>
      <c r="F1242" t="s">
        <v>3051</v>
      </c>
      <c r="G1242" t="s">
        <v>91</v>
      </c>
      <c r="H1242" t="s">
        <v>26</v>
      </c>
      <c r="I1242" t="s">
        <v>3330</v>
      </c>
      <c r="J1242" t="s">
        <v>67</v>
      </c>
      <c r="K1242" t="s">
        <v>68</v>
      </c>
      <c r="L1242" t="s">
        <v>2130</v>
      </c>
      <c r="M1242" t="s">
        <v>31</v>
      </c>
      <c r="N1242" t="s">
        <v>57</v>
      </c>
      <c r="O1242" t="s">
        <v>2131</v>
      </c>
      <c r="P1242">
        <v>23.968</v>
      </c>
      <c r="Q1242">
        <v>2</v>
      </c>
      <c r="R1242">
        <v>0.2</v>
      </c>
      <c r="S1242">
        <v>7.7896000000000001</v>
      </c>
      <c r="T1242" t="s">
        <v>84</v>
      </c>
      <c r="U1242" t="s">
        <v>35</v>
      </c>
    </row>
    <row r="1243" spans="1:21" x14ac:dyDescent="0.25">
      <c r="A1243" t="s">
        <v>3329</v>
      </c>
      <c r="B1243" s="1">
        <v>41954</v>
      </c>
      <c r="C1243" s="1">
        <v>41958</v>
      </c>
      <c r="D1243" t="s">
        <v>22</v>
      </c>
      <c r="E1243" t="s">
        <v>3050</v>
      </c>
      <c r="F1243" t="s">
        <v>3051</v>
      </c>
      <c r="G1243" t="s">
        <v>91</v>
      </c>
      <c r="H1243" t="s">
        <v>26</v>
      </c>
      <c r="I1243" t="s">
        <v>3330</v>
      </c>
      <c r="J1243" t="s">
        <v>67</v>
      </c>
      <c r="K1243" t="s">
        <v>68</v>
      </c>
      <c r="L1243" t="s">
        <v>103</v>
      </c>
      <c r="M1243" t="s">
        <v>31</v>
      </c>
      <c r="N1243" t="s">
        <v>32</v>
      </c>
      <c r="O1243" t="s">
        <v>104</v>
      </c>
      <c r="P1243">
        <v>521.96</v>
      </c>
      <c r="Q1243">
        <v>4</v>
      </c>
      <c r="R1243">
        <v>0.5</v>
      </c>
      <c r="S1243">
        <v>-250.54079999999999</v>
      </c>
      <c r="T1243" t="s">
        <v>84</v>
      </c>
      <c r="U1243" t="s">
        <v>35</v>
      </c>
    </row>
    <row r="1244" spans="1:21" x14ac:dyDescent="0.25">
      <c r="A1244" t="s">
        <v>3331</v>
      </c>
      <c r="B1244" s="1">
        <v>42441</v>
      </c>
      <c r="C1244" s="1">
        <v>42444</v>
      </c>
      <c r="D1244" t="s">
        <v>22</v>
      </c>
      <c r="E1244" t="s">
        <v>445</v>
      </c>
      <c r="F1244" t="s">
        <v>446</v>
      </c>
      <c r="G1244" t="s">
        <v>91</v>
      </c>
      <c r="H1244" t="s">
        <v>26</v>
      </c>
      <c r="I1244" t="s">
        <v>329</v>
      </c>
      <c r="J1244" t="s">
        <v>54</v>
      </c>
      <c r="K1244" t="s">
        <v>55</v>
      </c>
      <c r="L1244" t="s">
        <v>796</v>
      </c>
      <c r="M1244" t="s">
        <v>31</v>
      </c>
      <c r="N1244" t="s">
        <v>37</v>
      </c>
      <c r="O1244" t="s">
        <v>797</v>
      </c>
      <c r="P1244">
        <v>770.35199999999998</v>
      </c>
      <c r="Q1244">
        <v>3</v>
      </c>
      <c r="R1244">
        <v>0.2</v>
      </c>
      <c r="S1244">
        <v>77.035200000000003</v>
      </c>
      <c r="T1244" t="s">
        <v>34</v>
      </c>
      <c r="U1244" t="s">
        <v>196</v>
      </c>
    </row>
    <row r="1245" spans="1:21" x14ac:dyDescent="0.25">
      <c r="A1245" t="s">
        <v>3332</v>
      </c>
      <c r="B1245" s="1">
        <v>42775</v>
      </c>
      <c r="C1245" s="1">
        <v>42780</v>
      </c>
      <c r="D1245" t="s">
        <v>22</v>
      </c>
      <c r="E1245" t="s">
        <v>1395</v>
      </c>
      <c r="F1245" t="s">
        <v>1396</v>
      </c>
      <c r="G1245" t="s">
        <v>91</v>
      </c>
      <c r="H1245" t="s">
        <v>26</v>
      </c>
      <c r="I1245" t="s">
        <v>53</v>
      </c>
      <c r="J1245" t="s">
        <v>54</v>
      </c>
      <c r="K1245" t="s">
        <v>55</v>
      </c>
      <c r="L1245" t="s">
        <v>1659</v>
      </c>
      <c r="M1245" t="s">
        <v>31</v>
      </c>
      <c r="N1245" t="s">
        <v>57</v>
      </c>
      <c r="O1245" t="s">
        <v>1660</v>
      </c>
      <c r="P1245">
        <v>21.12</v>
      </c>
      <c r="Q1245">
        <v>4</v>
      </c>
      <c r="R1245">
        <v>0</v>
      </c>
      <c r="S1245">
        <v>6.5472000000000001</v>
      </c>
      <c r="T1245" t="s">
        <v>59</v>
      </c>
      <c r="U1245" t="s">
        <v>298</v>
      </c>
    </row>
    <row r="1246" spans="1:21" x14ac:dyDescent="0.25">
      <c r="A1246" t="s">
        <v>3333</v>
      </c>
      <c r="B1246" s="1">
        <v>41840</v>
      </c>
      <c r="C1246" s="1">
        <v>41842</v>
      </c>
      <c r="D1246" t="s">
        <v>88</v>
      </c>
      <c r="E1246" t="s">
        <v>2054</v>
      </c>
      <c r="F1246" t="s">
        <v>2055</v>
      </c>
      <c r="G1246" t="s">
        <v>25</v>
      </c>
      <c r="H1246" t="s">
        <v>26</v>
      </c>
      <c r="I1246" t="s">
        <v>640</v>
      </c>
      <c r="J1246" t="s">
        <v>54</v>
      </c>
      <c r="K1246" t="s">
        <v>55</v>
      </c>
      <c r="L1246" t="s">
        <v>777</v>
      </c>
      <c r="M1246" t="s">
        <v>31</v>
      </c>
      <c r="N1246" t="s">
        <v>57</v>
      </c>
      <c r="O1246" t="s">
        <v>778</v>
      </c>
      <c r="P1246">
        <v>43.02</v>
      </c>
      <c r="Q1246">
        <v>3</v>
      </c>
      <c r="R1246">
        <v>0</v>
      </c>
      <c r="S1246">
        <v>15.4872</v>
      </c>
      <c r="T1246" t="s">
        <v>71</v>
      </c>
      <c r="U1246" t="s">
        <v>72</v>
      </c>
    </row>
    <row r="1247" spans="1:21" x14ac:dyDescent="0.25">
      <c r="A1247" t="s">
        <v>3334</v>
      </c>
      <c r="B1247" s="1">
        <v>42772</v>
      </c>
      <c r="C1247" s="1">
        <v>42777</v>
      </c>
      <c r="D1247" t="s">
        <v>40</v>
      </c>
      <c r="E1247" t="s">
        <v>3335</v>
      </c>
      <c r="F1247" t="s">
        <v>3336</v>
      </c>
      <c r="G1247" t="s">
        <v>25</v>
      </c>
      <c r="H1247" t="s">
        <v>26</v>
      </c>
      <c r="I1247" t="s">
        <v>174</v>
      </c>
      <c r="J1247" t="s">
        <v>121</v>
      </c>
      <c r="K1247" t="s">
        <v>68</v>
      </c>
      <c r="L1247" t="s">
        <v>1000</v>
      </c>
      <c r="M1247" t="s">
        <v>31</v>
      </c>
      <c r="N1247" t="s">
        <v>32</v>
      </c>
      <c r="O1247" t="s">
        <v>1001</v>
      </c>
      <c r="P1247">
        <v>240.78399999999999</v>
      </c>
      <c r="Q1247">
        <v>1</v>
      </c>
      <c r="R1247">
        <v>0.2</v>
      </c>
      <c r="S1247">
        <v>30.097999999999999</v>
      </c>
      <c r="T1247" t="s">
        <v>59</v>
      </c>
      <c r="U1247" t="s">
        <v>298</v>
      </c>
    </row>
    <row r="1248" spans="1:21" x14ac:dyDescent="0.25">
      <c r="A1248" t="s">
        <v>3337</v>
      </c>
      <c r="B1248" s="1">
        <v>41889</v>
      </c>
      <c r="C1248" s="1">
        <v>41895</v>
      </c>
      <c r="D1248" t="s">
        <v>40</v>
      </c>
      <c r="E1248" t="s">
        <v>672</v>
      </c>
      <c r="F1248" t="s">
        <v>673</v>
      </c>
      <c r="G1248" t="s">
        <v>101</v>
      </c>
      <c r="H1248" t="s">
        <v>26</v>
      </c>
      <c r="I1248" t="s">
        <v>2022</v>
      </c>
      <c r="J1248" t="s">
        <v>1523</v>
      </c>
      <c r="K1248" t="s">
        <v>94</v>
      </c>
      <c r="L1248" t="s">
        <v>1260</v>
      </c>
      <c r="M1248" t="s">
        <v>31</v>
      </c>
      <c r="N1248" t="s">
        <v>46</v>
      </c>
      <c r="O1248" t="s">
        <v>1064</v>
      </c>
      <c r="P1248">
        <v>429.9</v>
      </c>
      <c r="Q1248">
        <v>5</v>
      </c>
      <c r="R1248">
        <v>0</v>
      </c>
      <c r="S1248">
        <v>111.774</v>
      </c>
      <c r="T1248" t="s">
        <v>130</v>
      </c>
      <c r="U1248" t="s">
        <v>78</v>
      </c>
    </row>
    <row r="1249" spans="1:21" x14ac:dyDescent="0.25">
      <c r="A1249" t="s">
        <v>3337</v>
      </c>
      <c r="B1249" s="1">
        <v>41889</v>
      </c>
      <c r="C1249" s="1">
        <v>41895</v>
      </c>
      <c r="D1249" t="s">
        <v>40</v>
      </c>
      <c r="E1249" t="s">
        <v>672</v>
      </c>
      <c r="F1249" t="s">
        <v>673</v>
      </c>
      <c r="G1249" t="s">
        <v>101</v>
      </c>
      <c r="H1249" t="s">
        <v>26</v>
      </c>
      <c r="I1249" t="s">
        <v>2022</v>
      </c>
      <c r="J1249" t="s">
        <v>1523</v>
      </c>
      <c r="K1249" t="s">
        <v>94</v>
      </c>
      <c r="L1249" t="s">
        <v>256</v>
      </c>
      <c r="M1249" t="s">
        <v>31</v>
      </c>
      <c r="N1249" t="s">
        <v>37</v>
      </c>
      <c r="O1249" t="s">
        <v>257</v>
      </c>
      <c r="P1249">
        <v>161.96</v>
      </c>
      <c r="Q1249">
        <v>2</v>
      </c>
      <c r="R1249">
        <v>0</v>
      </c>
      <c r="S1249">
        <v>45.348799999999997</v>
      </c>
      <c r="T1249" t="s">
        <v>130</v>
      </c>
      <c r="U1249" t="s">
        <v>78</v>
      </c>
    </row>
    <row r="1250" spans="1:21" x14ac:dyDescent="0.25">
      <c r="A1250" t="s">
        <v>3338</v>
      </c>
      <c r="B1250" s="1">
        <v>42570</v>
      </c>
      <c r="C1250" s="1">
        <v>42576</v>
      </c>
      <c r="D1250" t="s">
        <v>40</v>
      </c>
      <c r="E1250" t="s">
        <v>1631</v>
      </c>
      <c r="F1250" t="s">
        <v>1632</v>
      </c>
      <c r="G1250" t="s">
        <v>25</v>
      </c>
      <c r="H1250" t="s">
        <v>26</v>
      </c>
      <c r="I1250" t="s">
        <v>3339</v>
      </c>
      <c r="J1250" t="s">
        <v>479</v>
      </c>
      <c r="K1250" t="s">
        <v>29</v>
      </c>
      <c r="L1250" t="s">
        <v>2111</v>
      </c>
      <c r="M1250" t="s">
        <v>31</v>
      </c>
      <c r="N1250" t="s">
        <v>57</v>
      </c>
      <c r="O1250" t="s">
        <v>2112</v>
      </c>
      <c r="P1250">
        <v>185.58</v>
      </c>
      <c r="Q1250">
        <v>6</v>
      </c>
      <c r="R1250">
        <v>0</v>
      </c>
      <c r="S1250">
        <v>76.087800000000001</v>
      </c>
      <c r="T1250" t="s">
        <v>130</v>
      </c>
      <c r="U1250" t="s">
        <v>72</v>
      </c>
    </row>
    <row r="1251" spans="1:21" x14ac:dyDescent="0.25">
      <c r="A1251" t="s">
        <v>3338</v>
      </c>
      <c r="B1251" s="1">
        <v>42570</v>
      </c>
      <c r="C1251" s="1">
        <v>42576</v>
      </c>
      <c r="D1251" t="s">
        <v>40</v>
      </c>
      <c r="E1251" t="s">
        <v>1631</v>
      </c>
      <c r="F1251" t="s">
        <v>1632</v>
      </c>
      <c r="G1251" t="s">
        <v>25</v>
      </c>
      <c r="H1251" t="s">
        <v>26</v>
      </c>
      <c r="I1251" t="s">
        <v>3339</v>
      </c>
      <c r="J1251" t="s">
        <v>479</v>
      </c>
      <c r="K1251" t="s">
        <v>29</v>
      </c>
      <c r="L1251" t="s">
        <v>2816</v>
      </c>
      <c r="M1251" t="s">
        <v>31</v>
      </c>
      <c r="N1251" t="s">
        <v>32</v>
      </c>
      <c r="O1251" t="s">
        <v>2817</v>
      </c>
      <c r="P1251">
        <v>504.9</v>
      </c>
      <c r="Q1251">
        <v>5</v>
      </c>
      <c r="R1251">
        <v>0</v>
      </c>
      <c r="S1251">
        <v>126.22499999999999</v>
      </c>
      <c r="T1251" t="s">
        <v>130</v>
      </c>
      <c r="U1251" t="s">
        <v>72</v>
      </c>
    </row>
    <row r="1252" spans="1:21" x14ac:dyDescent="0.25">
      <c r="A1252" t="s">
        <v>3340</v>
      </c>
      <c r="B1252" s="1">
        <v>42993</v>
      </c>
      <c r="C1252" s="1">
        <v>42999</v>
      </c>
      <c r="D1252" t="s">
        <v>40</v>
      </c>
      <c r="E1252" t="s">
        <v>2949</v>
      </c>
      <c r="F1252" t="s">
        <v>2950</v>
      </c>
      <c r="G1252" t="s">
        <v>25</v>
      </c>
      <c r="H1252" t="s">
        <v>26</v>
      </c>
      <c r="I1252" t="s">
        <v>53</v>
      </c>
      <c r="J1252" t="s">
        <v>54</v>
      </c>
      <c r="K1252" t="s">
        <v>55</v>
      </c>
      <c r="L1252" t="s">
        <v>489</v>
      </c>
      <c r="M1252" t="s">
        <v>31</v>
      </c>
      <c r="N1252" t="s">
        <v>37</v>
      </c>
      <c r="O1252" t="s">
        <v>490</v>
      </c>
      <c r="P1252">
        <v>184.75200000000001</v>
      </c>
      <c r="Q1252">
        <v>3</v>
      </c>
      <c r="R1252">
        <v>0.2</v>
      </c>
      <c r="S1252">
        <v>-20.784600000000001</v>
      </c>
      <c r="T1252" t="s">
        <v>130</v>
      </c>
      <c r="U1252" t="s">
        <v>78</v>
      </c>
    </row>
    <row r="1253" spans="1:21" x14ac:dyDescent="0.25">
      <c r="A1253" t="s">
        <v>3341</v>
      </c>
      <c r="B1253" s="1">
        <v>42715</v>
      </c>
      <c r="C1253" s="1">
        <v>42715</v>
      </c>
      <c r="D1253" t="s">
        <v>426</v>
      </c>
      <c r="E1253" t="s">
        <v>1039</v>
      </c>
      <c r="F1253" t="s">
        <v>1040</v>
      </c>
      <c r="G1253" t="s">
        <v>91</v>
      </c>
      <c r="H1253" t="s">
        <v>26</v>
      </c>
      <c r="I1253" t="s">
        <v>348</v>
      </c>
      <c r="J1253" t="s">
        <v>232</v>
      </c>
      <c r="K1253" t="s">
        <v>68</v>
      </c>
      <c r="L1253" t="s">
        <v>2579</v>
      </c>
      <c r="M1253" t="s">
        <v>31</v>
      </c>
      <c r="N1253" t="s">
        <v>37</v>
      </c>
      <c r="O1253" t="s">
        <v>2580</v>
      </c>
      <c r="P1253">
        <v>458.43</v>
      </c>
      <c r="Q1253">
        <v>5</v>
      </c>
      <c r="R1253">
        <v>0.3</v>
      </c>
      <c r="S1253">
        <v>-137.529</v>
      </c>
      <c r="T1253" t="s">
        <v>431</v>
      </c>
      <c r="U1253" t="s">
        <v>97</v>
      </c>
    </row>
    <row r="1254" spans="1:21" x14ac:dyDescent="0.25">
      <c r="A1254" t="s">
        <v>3341</v>
      </c>
      <c r="B1254" s="1">
        <v>42715</v>
      </c>
      <c r="C1254" s="1">
        <v>42715</v>
      </c>
      <c r="D1254" t="s">
        <v>426</v>
      </c>
      <c r="E1254" t="s">
        <v>1039</v>
      </c>
      <c r="F1254" t="s">
        <v>1040</v>
      </c>
      <c r="G1254" t="s">
        <v>91</v>
      </c>
      <c r="H1254" t="s">
        <v>26</v>
      </c>
      <c r="I1254" t="s">
        <v>348</v>
      </c>
      <c r="J1254" t="s">
        <v>232</v>
      </c>
      <c r="K1254" t="s">
        <v>68</v>
      </c>
      <c r="L1254" t="s">
        <v>1235</v>
      </c>
      <c r="M1254" t="s">
        <v>31</v>
      </c>
      <c r="N1254" t="s">
        <v>46</v>
      </c>
      <c r="O1254" t="s">
        <v>1236</v>
      </c>
      <c r="P1254">
        <v>328.59</v>
      </c>
      <c r="Q1254">
        <v>3</v>
      </c>
      <c r="R1254">
        <v>0.4</v>
      </c>
      <c r="S1254">
        <v>-147.8655</v>
      </c>
      <c r="T1254" t="s">
        <v>431</v>
      </c>
      <c r="U1254" t="s">
        <v>97</v>
      </c>
    </row>
    <row r="1255" spans="1:21" x14ac:dyDescent="0.25">
      <c r="A1255" t="s">
        <v>3342</v>
      </c>
      <c r="B1255" s="1">
        <v>41983</v>
      </c>
      <c r="C1255" s="1">
        <v>41987</v>
      </c>
      <c r="D1255" t="s">
        <v>40</v>
      </c>
      <c r="E1255" t="s">
        <v>2025</v>
      </c>
      <c r="F1255" t="s">
        <v>2026</v>
      </c>
      <c r="G1255" t="s">
        <v>91</v>
      </c>
      <c r="H1255" t="s">
        <v>26</v>
      </c>
      <c r="I1255" t="s">
        <v>3343</v>
      </c>
      <c r="J1255" t="s">
        <v>2281</v>
      </c>
      <c r="K1255" t="s">
        <v>55</v>
      </c>
      <c r="L1255" t="s">
        <v>1142</v>
      </c>
      <c r="M1255" t="s">
        <v>31</v>
      </c>
      <c r="N1255" t="s">
        <v>37</v>
      </c>
      <c r="O1255" t="s">
        <v>1143</v>
      </c>
      <c r="P1255">
        <v>338.35199999999998</v>
      </c>
      <c r="Q1255">
        <v>3</v>
      </c>
      <c r="R1255">
        <v>0.2</v>
      </c>
      <c r="S1255">
        <v>4.2294</v>
      </c>
      <c r="T1255" t="s">
        <v>84</v>
      </c>
      <c r="U1255" t="s">
        <v>97</v>
      </c>
    </row>
    <row r="1256" spans="1:21" x14ac:dyDescent="0.25">
      <c r="A1256" t="s">
        <v>3344</v>
      </c>
      <c r="B1256" s="1">
        <v>41986</v>
      </c>
      <c r="C1256" s="1">
        <v>41990</v>
      </c>
      <c r="D1256" t="s">
        <v>40</v>
      </c>
      <c r="E1256" t="s">
        <v>1713</v>
      </c>
      <c r="F1256" t="s">
        <v>1714</v>
      </c>
      <c r="G1256" t="s">
        <v>91</v>
      </c>
      <c r="H1256" t="s">
        <v>26</v>
      </c>
      <c r="I1256" t="s">
        <v>520</v>
      </c>
      <c r="J1256" t="s">
        <v>521</v>
      </c>
      <c r="K1256" t="s">
        <v>55</v>
      </c>
      <c r="L1256" t="s">
        <v>1509</v>
      </c>
      <c r="M1256" t="s">
        <v>31</v>
      </c>
      <c r="N1256" t="s">
        <v>57</v>
      </c>
      <c r="O1256" t="s">
        <v>1510</v>
      </c>
      <c r="P1256">
        <v>87.96</v>
      </c>
      <c r="Q1256">
        <v>3</v>
      </c>
      <c r="R1256">
        <v>0.2</v>
      </c>
      <c r="S1256">
        <v>7.6965000000000003</v>
      </c>
      <c r="T1256" t="s">
        <v>84</v>
      </c>
      <c r="U1256" t="s">
        <v>97</v>
      </c>
    </row>
    <row r="1257" spans="1:21" x14ac:dyDescent="0.25">
      <c r="A1257" t="s">
        <v>3345</v>
      </c>
      <c r="B1257" s="1">
        <v>42985</v>
      </c>
      <c r="C1257" s="1">
        <v>42989</v>
      </c>
      <c r="D1257" t="s">
        <v>40</v>
      </c>
      <c r="E1257" t="s">
        <v>3346</v>
      </c>
      <c r="F1257" t="s">
        <v>3347</v>
      </c>
      <c r="G1257" t="s">
        <v>25</v>
      </c>
      <c r="H1257" t="s">
        <v>26</v>
      </c>
      <c r="I1257" t="s">
        <v>53</v>
      </c>
      <c r="J1257" t="s">
        <v>54</v>
      </c>
      <c r="K1257" t="s">
        <v>55</v>
      </c>
      <c r="L1257" t="s">
        <v>803</v>
      </c>
      <c r="M1257" t="s">
        <v>31</v>
      </c>
      <c r="N1257" t="s">
        <v>57</v>
      </c>
      <c r="O1257" t="s">
        <v>804</v>
      </c>
      <c r="P1257">
        <v>19.760000000000002</v>
      </c>
      <c r="Q1257">
        <v>4</v>
      </c>
      <c r="R1257">
        <v>0</v>
      </c>
      <c r="S1257">
        <v>8.2992000000000008</v>
      </c>
      <c r="T1257" t="s">
        <v>84</v>
      </c>
      <c r="U1257" t="s">
        <v>78</v>
      </c>
    </row>
    <row r="1258" spans="1:21" x14ac:dyDescent="0.25">
      <c r="A1258" t="s">
        <v>3348</v>
      </c>
      <c r="B1258" s="1">
        <v>42310</v>
      </c>
      <c r="C1258" s="1">
        <v>42315</v>
      </c>
      <c r="D1258" t="s">
        <v>40</v>
      </c>
      <c r="E1258" t="s">
        <v>3349</v>
      </c>
      <c r="F1258" t="s">
        <v>3350</v>
      </c>
      <c r="G1258" t="s">
        <v>25</v>
      </c>
      <c r="H1258" t="s">
        <v>26</v>
      </c>
      <c r="I1258" t="s">
        <v>120</v>
      </c>
      <c r="J1258" t="s">
        <v>121</v>
      </c>
      <c r="K1258" t="s">
        <v>68</v>
      </c>
      <c r="L1258" t="s">
        <v>2429</v>
      </c>
      <c r="M1258" t="s">
        <v>31</v>
      </c>
      <c r="N1258" t="s">
        <v>37</v>
      </c>
      <c r="O1258" t="s">
        <v>2430</v>
      </c>
      <c r="P1258">
        <v>109.764</v>
      </c>
      <c r="Q1258">
        <v>2</v>
      </c>
      <c r="R1258">
        <v>0.1</v>
      </c>
      <c r="S1258">
        <v>8.5372000000000003</v>
      </c>
      <c r="T1258" t="s">
        <v>59</v>
      </c>
      <c r="U1258" t="s">
        <v>35</v>
      </c>
    </row>
    <row r="1259" spans="1:21" x14ac:dyDescent="0.25">
      <c r="A1259" t="s">
        <v>3351</v>
      </c>
      <c r="B1259" s="1">
        <v>42826</v>
      </c>
      <c r="C1259" s="1">
        <v>42828</v>
      </c>
      <c r="D1259" t="s">
        <v>88</v>
      </c>
      <c r="E1259" t="s">
        <v>1081</v>
      </c>
      <c r="F1259" t="s">
        <v>1082</v>
      </c>
      <c r="G1259" t="s">
        <v>91</v>
      </c>
      <c r="H1259" t="s">
        <v>26</v>
      </c>
      <c r="I1259" t="s">
        <v>855</v>
      </c>
      <c r="J1259" t="s">
        <v>159</v>
      </c>
      <c r="K1259" t="s">
        <v>29</v>
      </c>
      <c r="L1259" t="s">
        <v>182</v>
      </c>
      <c r="M1259" t="s">
        <v>31</v>
      </c>
      <c r="N1259" t="s">
        <v>57</v>
      </c>
      <c r="O1259" t="s">
        <v>183</v>
      </c>
      <c r="P1259">
        <v>127.95</v>
      </c>
      <c r="Q1259">
        <v>3</v>
      </c>
      <c r="R1259">
        <v>0</v>
      </c>
      <c r="S1259">
        <v>21.7515</v>
      </c>
      <c r="T1259" t="s">
        <v>71</v>
      </c>
      <c r="U1259" t="s">
        <v>114</v>
      </c>
    </row>
    <row r="1260" spans="1:21" x14ac:dyDescent="0.25">
      <c r="A1260" t="s">
        <v>3352</v>
      </c>
      <c r="B1260" s="1">
        <v>41735</v>
      </c>
      <c r="C1260" s="1">
        <v>41741</v>
      </c>
      <c r="D1260" t="s">
        <v>40</v>
      </c>
      <c r="E1260" t="s">
        <v>2203</v>
      </c>
      <c r="F1260" t="s">
        <v>2204</v>
      </c>
      <c r="G1260" t="s">
        <v>91</v>
      </c>
      <c r="H1260" t="s">
        <v>26</v>
      </c>
      <c r="I1260" t="s">
        <v>53</v>
      </c>
      <c r="J1260" t="s">
        <v>54</v>
      </c>
      <c r="K1260" t="s">
        <v>55</v>
      </c>
      <c r="L1260" t="s">
        <v>3289</v>
      </c>
      <c r="M1260" t="s">
        <v>31</v>
      </c>
      <c r="N1260" t="s">
        <v>57</v>
      </c>
      <c r="O1260" t="s">
        <v>3290</v>
      </c>
      <c r="P1260">
        <v>91.96</v>
      </c>
      <c r="Q1260">
        <v>2</v>
      </c>
      <c r="R1260">
        <v>0</v>
      </c>
      <c r="S1260">
        <v>15.6332</v>
      </c>
      <c r="T1260" t="s">
        <v>130</v>
      </c>
      <c r="U1260" t="s">
        <v>114</v>
      </c>
    </row>
    <row r="1261" spans="1:21" x14ac:dyDescent="0.25">
      <c r="A1261" t="s">
        <v>3352</v>
      </c>
      <c r="B1261" s="1">
        <v>41735</v>
      </c>
      <c r="C1261" s="1">
        <v>41741</v>
      </c>
      <c r="D1261" t="s">
        <v>40</v>
      </c>
      <c r="E1261" t="s">
        <v>2203</v>
      </c>
      <c r="F1261" t="s">
        <v>2204</v>
      </c>
      <c r="G1261" t="s">
        <v>91</v>
      </c>
      <c r="H1261" t="s">
        <v>26</v>
      </c>
      <c r="I1261" t="s">
        <v>53</v>
      </c>
      <c r="J1261" t="s">
        <v>54</v>
      </c>
      <c r="K1261" t="s">
        <v>55</v>
      </c>
      <c r="L1261" t="s">
        <v>380</v>
      </c>
      <c r="M1261" t="s">
        <v>31</v>
      </c>
      <c r="N1261" t="s">
        <v>57</v>
      </c>
      <c r="O1261" t="s">
        <v>381</v>
      </c>
      <c r="P1261">
        <v>33.11</v>
      </c>
      <c r="Q1261">
        <v>7</v>
      </c>
      <c r="R1261">
        <v>0</v>
      </c>
      <c r="S1261">
        <v>12.9129</v>
      </c>
      <c r="T1261" t="s">
        <v>130</v>
      </c>
      <c r="U1261" t="s">
        <v>114</v>
      </c>
    </row>
    <row r="1262" spans="1:21" x14ac:dyDescent="0.25">
      <c r="A1262" t="s">
        <v>3353</v>
      </c>
      <c r="B1262" s="1">
        <v>42922</v>
      </c>
      <c r="C1262" s="1">
        <v>42922</v>
      </c>
      <c r="D1262" t="s">
        <v>426</v>
      </c>
      <c r="E1262" t="s">
        <v>2784</v>
      </c>
      <c r="F1262" t="s">
        <v>2785</v>
      </c>
      <c r="G1262" t="s">
        <v>25</v>
      </c>
      <c r="H1262" t="s">
        <v>26</v>
      </c>
      <c r="I1262" t="s">
        <v>1007</v>
      </c>
      <c r="J1262" t="s">
        <v>44</v>
      </c>
      <c r="K1262" t="s">
        <v>29</v>
      </c>
      <c r="L1262" t="s">
        <v>1586</v>
      </c>
      <c r="M1262" t="s">
        <v>31</v>
      </c>
      <c r="N1262" t="s">
        <v>37</v>
      </c>
      <c r="O1262" t="s">
        <v>1587</v>
      </c>
      <c r="P1262">
        <v>239.24</v>
      </c>
      <c r="Q1262">
        <v>1</v>
      </c>
      <c r="R1262">
        <v>0.2</v>
      </c>
      <c r="S1262">
        <v>23.923999999999999</v>
      </c>
      <c r="T1262" t="s">
        <v>431</v>
      </c>
      <c r="U1262" t="s">
        <v>72</v>
      </c>
    </row>
    <row r="1263" spans="1:21" x14ac:dyDescent="0.25">
      <c r="A1263" t="s">
        <v>3354</v>
      </c>
      <c r="B1263" s="1">
        <v>42729</v>
      </c>
      <c r="C1263" s="1">
        <v>42736</v>
      </c>
      <c r="D1263" t="s">
        <v>40</v>
      </c>
      <c r="E1263" t="s">
        <v>2088</v>
      </c>
      <c r="F1263" t="s">
        <v>2089</v>
      </c>
      <c r="G1263" t="s">
        <v>91</v>
      </c>
      <c r="H1263" t="s">
        <v>26</v>
      </c>
      <c r="I1263" t="s">
        <v>3355</v>
      </c>
      <c r="J1263" t="s">
        <v>885</v>
      </c>
      <c r="K1263" t="s">
        <v>68</v>
      </c>
      <c r="L1263" t="s">
        <v>1659</v>
      </c>
      <c r="M1263" t="s">
        <v>31</v>
      </c>
      <c r="N1263" t="s">
        <v>57</v>
      </c>
      <c r="O1263" t="s">
        <v>1660</v>
      </c>
      <c r="P1263">
        <v>21.12</v>
      </c>
      <c r="Q1263">
        <v>4</v>
      </c>
      <c r="R1263">
        <v>0</v>
      </c>
      <c r="S1263">
        <v>6.5472000000000001</v>
      </c>
      <c r="T1263" t="s">
        <v>48</v>
      </c>
      <c r="U1263" t="s">
        <v>97</v>
      </c>
    </row>
    <row r="1264" spans="1:21" x14ac:dyDescent="0.25">
      <c r="A1264" t="s">
        <v>3356</v>
      </c>
      <c r="B1264" s="1">
        <v>42352</v>
      </c>
      <c r="C1264" s="1">
        <v>42356</v>
      </c>
      <c r="D1264" t="s">
        <v>40</v>
      </c>
      <c r="E1264" t="s">
        <v>1241</v>
      </c>
      <c r="F1264" t="s">
        <v>1242</v>
      </c>
      <c r="G1264" t="s">
        <v>101</v>
      </c>
      <c r="H1264" t="s">
        <v>26</v>
      </c>
      <c r="I1264" t="s">
        <v>53</v>
      </c>
      <c r="J1264" t="s">
        <v>54</v>
      </c>
      <c r="K1264" t="s">
        <v>55</v>
      </c>
      <c r="L1264" t="s">
        <v>2391</v>
      </c>
      <c r="M1264" t="s">
        <v>31</v>
      </c>
      <c r="N1264" t="s">
        <v>57</v>
      </c>
      <c r="O1264" t="s">
        <v>2392</v>
      </c>
      <c r="P1264">
        <v>15.24</v>
      </c>
      <c r="Q1264">
        <v>3</v>
      </c>
      <c r="R1264">
        <v>0</v>
      </c>
      <c r="S1264">
        <v>5.1816000000000004</v>
      </c>
      <c r="T1264" t="s">
        <v>84</v>
      </c>
      <c r="U1264" t="s">
        <v>97</v>
      </c>
    </row>
    <row r="1265" spans="1:21" x14ac:dyDescent="0.25">
      <c r="A1265" t="s">
        <v>3357</v>
      </c>
      <c r="B1265" s="1">
        <v>42617</v>
      </c>
      <c r="C1265" s="1">
        <v>42621</v>
      </c>
      <c r="D1265" t="s">
        <v>40</v>
      </c>
      <c r="E1265" t="s">
        <v>2694</v>
      </c>
      <c r="F1265" t="s">
        <v>2695</v>
      </c>
      <c r="G1265" t="s">
        <v>25</v>
      </c>
      <c r="H1265" t="s">
        <v>26</v>
      </c>
      <c r="I1265" t="s">
        <v>3358</v>
      </c>
      <c r="J1265" t="s">
        <v>28</v>
      </c>
      <c r="K1265" t="s">
        <v>29</v>
      </c>
      <c r="L1265" t="s">
        <v>486</v>
      </c>
      <c r="M1265" t="s">
        <v>31</v>
      </c>
      <c r="N1265" t="s">
        <v>57</v>
      </c>
      <c r="O1265" t="s">
        <v>487</v>
      </c>
      <c r="P1265">
        <v>42.6</v>
      </c>
      <c r="Q1265">
        <v>3</v>
      </c>
      <c r="R1265">
        <v>0</v>
      </c>
      <c r="S1265">
        <v>16.614000000000001</v>
      </c>
      <c r="T1265" t="s">
        <v>84</v>
      </c>
      <c r="U1265" t="s">
        <v>78</v>
      </c>
    </row>
    <row r="1266" spans="1:21" x14ac:dyDescent="0.25">
      <c r="A1266" t="s">
        <v>3359</v>
      </c>
      <c r="B1266" s="1">
        <v>42404</v>
      </c>
      <c r="C1266" s="1">
        <v>42408</v>
      </c>
      <c r="D1266" t="s">
        <v>40</v>
      </c>
      <c r="E1266" t="s">
        <v>80</v>
      </c>
      <c r="F1266" t="s">
        <v>81</v>
      </c>
      <c r="G1266" t="s">
        <v>25</v>
      </c>
      <c r="H1266" t="s">
        <v>26</v>
      </c>
      <c r="I1266" t="s">
        <v>3360</v>
      </c>
      <c r="J1266" t="s">
        <v>521</v>
      </c>
      <c r="K1266" t="s">
        <v>55</v>
      </c>
      <c r="L1266" t="s">
        <v>1452</v>
      </c>
      <c r="M1266" t="s">
        <v>31</v>
      </c>
      <c r="N1266" t="s">
        <v>57</v>
      </c>
      <c r="O1266" t="s">
        <v>1453</v>
      </c>
      <c r="P1266">
        <v>14.368</v>
      </c>
      <c r="Q1266">
        <v>2</v>
      </c>
      <c r="R1266">
        <v>0.2</v>
      </c>
      <c r="S1266">
        <v>3.9512</v>
      </c>
      <c r="T1266" t="s">
        <v>84</v>
      </c>
      <c r="U1266" t="s">
        <v>298</v>
      </c>
    </row>
    <row r="1267" spans="1:21" x14ac:dyDescent="0.25">
      <c r="A1267" t="s">
        <v>3361</v>
      </c>
      <c r="B1267" s="1">
        <v>42874</v>
      </c>
      <c r="C1267" s="1">
        <v>42879</v>
      </c>
      <c r="D1267" t="s">
        <v>22</v>
      </c>
      <c r="E1267" t="s">
        <v>1557</v>
      </c>
      <c r="F1267" t="s">
        <v>1558</v>
      </c>
      <c r="G1267" t="s">
        <v>91</v>
      </c>
      <c r="H1267" t="s">
        <v>26</v>
      </c>
      <c r="I1267" t="s">
        <v>3125</v>
      </c>
      <c r="J1267" t="s">
        <v>142</v>
      </c>
      <c r="K1267" t="s">
        <v>29</v>
      </c>
      <c r="L1267" t="s">
        <v>669</v>
      </c>
      <c r="M1267" t="s">
        <v>31</v>
      </c>
      <c r="N1267" t="s">
        <v>37</v>
      </c>
      <c r="O1267" t="s">
        <v>670</v>
      </c>
      <c r="P1267">
        <v>314.35199999999998</v>
      </c>
      <c r="Q1267">
        <v>3</v>
      </c>
      <c r="R1267">
        <v>0.2</v>
      </c>
      <c r="S1267">
        <v>-35.364600000000003</v>
      </c>
      <c r="T1267" t="s">
        <v>59</v>
      </c>
      <c r="U1267" t="s">
        <v>162</v>
      </c>
    </row>
    <row r="1268" spans="1:21" x14ac:dyDescent="0.25">
      <c r="A1268" t="s">
        <v>3362</v>
      </c>
      <c r="B1268" s="1">
        <v>42250</v>
      </c>
      <c r="C1268" s="1">
        <v>42255</v>
      </c>
      <c r="D1268" t="s">
        <v>40</v>
      </c>
      <c r="E1268" t="s">
        <v>2059</v>
      </c>
      <c r="F1268" t="s">
        <v>2060</v>
      </c>
      <c r="G1268" t="s">
        <v>91</v>
      </c>
      <c r="H1268" t="s">
        <v>26</v>
      </c>
      <c r="I1268" t="s">
        <v>1223</v>
      </c>
      <c r="J1268" t="s">
        <v>521</v>
      </c>
      <c r="K1268" t="s">
        <v>55</v>
      </c>
      <c r="L1268" t="s">
        <v>1401</v>
      </c>
      <c r="M1268" t="s">
        <v>31</v>
      </c>
      <c r="N1268" t="s">
        <v>57</v>
      </c>
      <c r="O1268" t="s">
        <v>1402</v>
      </c>
      <c r="P1268">
        <v>238.15199999999999</v>
      </c>
      <c r="Q1268">
        <v>3</v>
      </c>
      <c r="R1268">
        <v>0.2</v>
      </c>
      <c r="S1268">
        <v>89.307000000000002</v>
      </c>
      <c r="T1268" t="s">
        <v>59</v>
      </c>
      <c r="U1268" t="s">
        <v>78</v>
      </c>
    </row>
    <row r="1269" spans="1:21" x14ac:dyDescent="0.25">
      <c r="A1269" t="s">
        <v>3363</v>
      </c>
      <c r="B1269" s="1">
        <v>42530</v>
      </c>
      <c r="C1269" s="1">
        <v>42537</v>
      </c>
      <c r="D1269" t="s">
        <v>40</v>
      </c>
      <c r="E1269" t="s">
        <v>3364</v>
      </c>
      <c r="F1269" t="s">
        <v>3365</v>
      </c>
      <c r="G1269" t="s">
        <v>101</v>
      </c>
      <c r="H1269" t="s">
        <v>26</v>
      </c>
      <c r="I1269" t="s">
        <v>166</v>
      </c>
      <c r="J1269" t="s">
        <v>167</v>
      </c>
      <c r="K1269" t="s">
        <v>94</v>
      </c>
      <c r="L1269" t="s">
        <v>3166</v>
      </c>
      <c r="M1269" t="s">
        <v>31</v>
      </c>
      <c r="N1269" t="s">
        <v>46</v>
      </c>
      <c r="O1269" t="s">
        <v>3167</v>
      </c>
      <c r="P1269">
        <v>692.94</v>
      </c>
      <c r="Q1269">
        <v>3</v>
      </c>
      <c r="R1269">
        <v>0</v>
      </c>
      <c r="S1269">
        <v>173.23500000000001</v>
      </c>
      <c r="T1269" t="s">
        <v>48</v>
      </c>
      <c r="U1269" t="s">
        <v>60</v>
      </c>
    </row>
    <row r="1270" spans="1:21" x14ac:dyDescent="0.25">
      <c r="A1270" t="s">
        <v>3366</v>
      </c>
      <c r="B1270" s="1">
        <v>42636</v>
      </c>
      <c r="C1270" s="1">
        <v>42639</v>
      </c>
      <c r="D1270" t="s">
        <v>22</v>
      </c>
      <c r="E1270" t="s">
        <v>525</v>
      </c>
      <c r="F1270" t="s">
        <v>526</v>
      </c>
      <c r="G1270" t="s">
        <v>101</v>
      </c>
      <c r="H1270" t="s">
        <v>26</v>
      </c>
      <c r="I1270" t="s">
        <v>816</v>
      </c>
      <c r="J1270" t="s">
        <v>232</v>
      </c>
      <c r="K1270" t="s">
        <v>68</v>
      </c>
      <c r="L1270" t="s">
        <v>2190</v>
      </c>
      <c r="M1270" t="s">
        <v>31</v>
      </c>
      <c r="N1270" t="s">
        <v>57</v>
      </c>
      <c r="O1270" t="s">
        <v>2191</v>
      </c>
      <c r="P1270">
        <v>28</v>
      </c>
      <c r="Q1270">
        <v>4</v>
      </c>
      <c r="R1270">
        <v>0.2</v>
      </c>
      <c r="S1270">
        <v>7.7</v>
      </c>
      <c r="T1270" t="s">
        <v>34</v>
      </c>
      <c r="U1270" t="s">
        <v>78</v>
      </c>
    </row>
    <row r="1271" spans="1:21" x14ac:dyDescent="0.25">
      <c r="A1271" t="s">
        <v>3367</v>
      </c>
      <c r="B1271" s="1">
        <v>42875</v>
      </c>
      <c r="C1271" s="1">
        <v>42879</v>
      </c>
      <c r="D1271" t="s">
        <v>40</v>
      </c>
      <c r="E1271" t="s">
        <v>883</v>
      </c>
      <c r="F1271" t="s">
        <v>884</v>
      </c>
      <c r="G1271" t="s">
        <v>101</v>
      </c>
      <c r="H1271" t="s">
        <v>26</v>
      </c>
      <c r="I1271" t="s">
        <v>2061</v>
      </c>
      <c r="J1271" t="s">
        <v>54</v>
      </c>
      <c r="K1271" t="s">
        <v>55</v>
      </c>
      <c r="L1271" t="s">
        <v>511</v>
      </c>
      <c r="M1271" t="s">
        <v>31</v>
      </c>
      <c r="N1271" t="s">
        <v>37</v>
      </c>
      <c r="O1271" t="s">
        <v>512</v>
      </c>
      <c r="P1271">
        <v>518.27200000000005</v>
      </c>
      <c r="Q1271">
        <v>8</v>
      </c>
      <c r="R1271">
        <v>0.2</v>
      </c>
      <c r="S1271">
        <v>-97.176000000000002</v>
      </c>
      <c r="T1271" t="s">
        <v>84</v>
      </c>
      <c r="U1271" t="s">
        <v>162</v>
      </c>
    </row>
    <row r="1272" spans="1:21" x14ac:dyDescent="0.25">
      <c r="A1272" t="s">
        <v>3367</v>
      </c>
      <c r="B1272" s="1">
        <v>42875</v>
      </c>
      <c r="C1272" s="1">
        <v>42879</v>
      </c>
      <c r="D1272" t="s">
        <v>40</v>
      </c>
      <c r="E1272" t="s">
        <v>883</v>
      </c>
      <c r="F1272" t="s">
        <v>884</v>
      </c>
      <c r="G1272" t="s">
        <v>101</v>
      </c>
      <c r="H1272" t="s">
        <v>26</v>
      </c>
      <c r="I1272" t="s">
        <v>2061</v>
      </c>
      <c r="J1272" t="s">
        <v>54</v>
      </c>
      <c r="K1272" t="s">
        <v>55</v>
      </c>
      <c r="L1272" t="s">
        <v>978</v>
      </c>
      <c r="M1272" t="s">
        <v>31</v>
      </c>
      <c r="N1272" t="s">
        <v>57</v>
      </c>
      <c r="O1272" t="s">
        <v>979</v>
      </c>
      <c r="P1272">
        <v>6.98</v>
      </c>
      <c r="Q1272">
        <v>1</v>
      </c>
      <c r="R1272">
        <v>0</v>
      </c>
      <c r="S1272">
        <v>3.3504</v>
      </c>
      <c r="T1272" t="s">
        <v>84</v>
      </c>
      <c r="U1272" t="s">
        <v>162</v>
      </c>
    </row>
    <row r="1273" spans="1:21" x14ac:dyDescent="0.25">
      <c r="A1273" t="s">
        <v>3368</v>
      </c>
      <c r="B1273" s="1">
        <v>42614</v>
      </c>
      <c r="C1273" s="1">
        <v>42620</v>
      </c>
      <c r="D1273" t="s">
        <v>40</v>
      </c>
      <c r="E1273" t="s">
        <v>1119</v>
      </c>
      <c r="F1273" t="s">
        <v>1120</v>
      </c>
      <c r="G1273" t="s">
        <v>25</v>
      </c>
      <c r="H1273" t="s">
        <v>26</v>
      </c>
      <c r="I1273" t="s">
        <v>174</v>
      </c>
      <c r="J1273" t="s">
        <v>121</v>
      </c>
      <c r="K1273" t="s">
        <v>68</v>
      </c>
      <c r="L1273" t="s">
        <v>552</v>
      </c>
      <c r="M1273" t="s">
        <v>31</v>
      </c>
      <c r="N1273" t="s">
        <v>57</v>
      </c>
      <c r="O1273" t="s">
        <v>553</v>
      </c>
      <c r="P1273">
        <v>191.82</v>
      </c>
      <c r="Q1273">
        <v>3</v>
      </c>
      <c r="R1273">
        <v>0</v>
      </c>
      <c r="S1273">
        <v>61.382399999999997</v>
      </c>
      <c r="T1273" t="s">
        <v>130</v>
      </c>
      <c r="U1273" t="s">
        <v>78</v>
      </c>
    </row>
    <row r="1274" spans="1:21" x14ac:dyDescent="0.25">
      <c r="A1274" t="s">
        <v>3369</v>
      </c>
      <c r="B1274" s="1">
        <v>41688</v>
      </c>
      <c r="C1274" s="1">
        <v>41688</v>
      </c>
      <c r="D1274" t="s">
        <v>426</v>
      </c>
      <c r="E1274" t="s">
        <v>499</v>
      </c>
      <c r="F1274" t="s">
        <v>500</v>
      </c>
      <c r="G1274" t="s">
        <v>25</v>
      </c>
      <c r="H1274" t="s">
        <v>26</v>
      </c>
      <c r="I1274" t="s">
        <v>3370</v>
      </c>
      <c r="J1274" t="s">
        <v>93</v>
      </c>
      <c r="K1274" t="s">
        <v>94</v>
      </c>
      <c r="L1274" t="s">
        <v>2615</v>
      </c>
      <c r="M1274" t="s">
        <v>31</v>
      </c>
      <c r="N1274" t="s">
        <v>57</v>
      </c>
      <c r="O1274" t="s">
        <v>2616</v>
      </c>
      <c r="P1274">
        <v>25.16</v>
      </c>
      <c r="Q1274">
        <v>5</v>
      </c>
      <c r="R1274">
        <v>0.6</v>
      </c>
      <c r="S1274">
        <v>-11.321999999999999</v>
      </c>
      <c r="T1274" t="s">
        <v>431</v>
      </c>
      <c r="U1274" t="s">
        <v>298</v>
      </c>
    </row>
    <row r="1275" spans="1:21" x14ac:dyDescent="0.25">
      <c r="A1275" t="s">
        <v>3371</v>
      </c>
      <c r="B1275" s="1">
        <v>42352</v>
      </c>
      <c r="C1275" s="1">
        <v>42356</v>
      </c>
      <c r="D1275" t="s">
        <v>40</v>
      </c>
      <c r="E1275" t="s">
        <v>1047</v>
      </c>
      <c r="F1275" t="s">
        <v>1048</v>
      </c>
      <c r="G1275" t="s">
        <v>25</v>
      </c>
      <c r="H1275" t="s">
        <v>26</v>
      </c>
      <c r="I1275" t="s">
        <v>551</v>
      </c>
      <c r="J1275" t="s">
        <v>54</v>
      </c>
      <c r="K1275" t="s">
        <v>55</v>
      </c>
      <c r="L1275" t="s">
        <v>316</v>
      </c>
      <c r="M1275" t="s">
        <v>31</v>
      </c>
      <c r="N1275" t="s">
        <v>57</v>
      </c>
      <c r="O1275" t="s">
        <v>317</v>
      </c>
      <c r="P1275">
        <v>29.22</v>
      </c>
      <c r="Q1275">
        <v>3</v>
      </c>
      <c r="R1275">
        <v>0</v>
      </c>
      <c r="S1275">
        <v>12.8568</v>
      </c>
      <c r="T1275" t="s">
        <v>84</v>
      </c>
      <c r="U1275" t="s">
        <v>97</v>
      </c>
    </row>
    <row r="1276" spans="1:21" x14ac:dyDescent="0.25">
      <c r="A1276" t="s">
        <v>3372</v>
      </c>
      <c r="B1276" s="1">
        <v>42998</v>
      </c>
      <c r="C1276" s="1">
        <v>43004</v>
      </c>
      <c r="D1276" t="s">
        <v>40</v>
      </c>
      <c r="E1276" t="s">
        <v>740</v>
      </c>
      <c r="F1276" t="s">
        <v>741</v>
      </c>
      <c r="G1276" t="s">
        <v>25</v>
      </c>
      <c r="H1276" t="s">
        <v>26</v>
      </c>
      <c r="I1276" t="s">
        <v>174</v>
      </c>
      <c r="J1276" t="s">
        <v>121</v>
      </c>
      <c r="K1276" t="s">
        <v>68</v>
      </c>
      <c r="L1276" t="s">
        <v>1187</v>
      </c>
      <c r="M1276" t="s">
        <v>31</v>
      </c>
      <c r="N1276" t="s">
        <v>37</v>
      </c>
      <c r="O1276" t="s">
        <v>1188</v>
      </c>
      <c r="P1276">
        <v>272.64600000000002</v>
      </c>
      <c r="Q1276">
        <v>3</v>
      </c>
      <c r="R1276">
        <v>0.1</v>
      </c>
      <c r="S1276">
        <v>18.176400000000001</v>
      </c>
      <c r="T1276" t="s">
        <v>130</v>
      </c>
      <c r="U1276" t="s">
        <v>78</v>
      </c>
    </row>
    <row r="1277" spans="1:21" x14ac:dyDescent="0.25">
      <c r="A1277" t="s">
        <v>3372</v>
      </c>
      <c r="B1277" s="1">
        <v>42998</v>
      </c>
      <c r="C1277" s="1">
        <v>43004</v>
      </c>
      <c r="D1277" t="s">
        <v>40</v>
      </c>
      <c r="E1277" t="s">
        <v>740</v>
      </c>
      <c r="F1277" t="s">
        <v>741</v>
      </c>
      <c r="G1277" t="s">
        <v>25</v>
      </c>
      <c r="H1277" t="s">
        <v>26</v>
      </c>
      <c r="I1277" t="s">
        <v>174</v>
      </c>
      <c r="J1277" t="s">
        <v>121</v>
      </c>
      <c r="K1277" t="s">
        <v>68</v>
      </c>
      <c r="L1277" t="s">
        <v>115</v>
      </c>
      <c r="M1277" t="s">
        <v>31</v>
      </c>
      <c r="N1277" t="s">
        <v>37</v>
      </c>
      <c r="O1277" t="s">
        <v>116</v>
      </c>
      <c r="P1277">
        <v>80.991</v>
      </c>
      <c r="Q1277">
        <v>1</v>
      </c>
      <c r="R1277">
        <v>0.1</v>
      </c>
      <c r="S1277">
        <v>8.0991</v>
      </c>
      <c r="T1277" t="s">
        <v>130</v>
      </c>
      <c r="U1277" t="s">
        <v>78</v>
      </c>
    </row>
    <row r="1278" spans="1:21" x14ac:dyDescent="0.25">
      <c r="A1278" t="s">
        <v>3372</v>
      </c>
      <c r="B1278" s="1">
        <v>42998</v>
      </c>
      <c r="C1278" s="1">
        <v>43004</v>
      </c>
      <c r="D1278" t="s">
        <v>40</v>
      </c>
      <c r="E1278" t="s">
        <v>740</v>
      </c>
      <c r="F1278" t="s">
        <v>741</v>
      </c>
      <c r="G1278" t="s">
        <v>25</v>
      </c>
      <c r="H1278" t="s">
        <v>26</v>
      </c>
      <c r="I1278" t="s">
        <v>174</v>
      </c>
      <c r="J1278" t="s">
        <v>121</v>
      </c>
      <c r="K1278" t="s">
        <v>68</v>
      </c>
      <c r="L1278" t="s">
        <v>382</v>
      </c>
      <c r="M1278" t="s">
        <v>31</v>
      </c>
      <c r="N1278" t="s">
        <v>37</v>
      </c>
      <c r="O1278" t="s">
        <v>383</v>
      </c>
      <c r="P1278">
        <v>2888.127</v>
      </c>
      <c r="Q1278">
        <v>11</v>
      </c>
      <c r="R1278">
        <v>0.1</v>
      </c>
      <c r="S1278">
        <v>609.71569999999997</v>
      </c>
      <c r="T1278" t="s">
        <v>130</v>
      </c>
      <c r="U1278" t="s">
        <v>78</v>
      </c>
    </row>
    <row r="1279" spans="1:21" x14ac:dyDescent="0.25">
      <c r="A1279" t="s">
        <v>3372</v>
      </c>
      <c r="B1279" s="1">
        <v>42998</v>
      </c>
      <c r="C1279" s="1">
        <v>43004</v>
      </c>
      <c r="D1279" t="s">
        <v>40</v>
      </c>
      <c r="E1279" t="s">
        <v>740</v>
      </c>
      <c r="F1279" t="s">
        <v>741</v>
      </c>
      <c r="G1279" t="s">
        <v>25</v>
      </c>
      <c r="H1279" t="s">
        <v>26</v>
      </c>
      <c r="I1279" t="s">
        <v>174</v>
      </c>
      <c r="J1279" t="s">
        <v>121</v>
      </c>
      <c r="K1279" t="s">
        <v>68</v>
      </c>
      <c r="L1279" t="s">
        <v>560</v>
      </c>
      <c r="M1279" t="s">
        <v>31</v>
      </c>
      <c r="N1279" t="s">
        <v>37</v>
      </c>
      <c r="O1279" t="s">
        <v>561</v>
      </c>
      <c r="P1279">
        <v>2254.41</v>
      </c>
      <c r="Q1279">
        <v>5</v>
      </c>
      <c r="R1279">
        <v>0.1</v>
      </c>
      <c r="S1279">
        <v>375.73500000000001</v>
      </c>
      <c r="T1279" t="s">
        <v>130</v>
      </c>
      <c r="U1279" t="s">
        <v>78</v>
      </c>
    </row>
    <row r="1280" spans="1:21" x14ac:dyDescent="0.25">
      <c r="A1280" t="s">
        <v>3373</v>
      </c>
      <c r="B1280" s="1">
        <v>42969</v>
      </c>
      <c r="C1280" s="1">
        <v>42971</v>
      </c>
      <c r="D1280" t="s">
        <v>88</v>
      </c>
      <c r="E1280" t="s">
        <v>2432</v>
      </c>
      <c r="F1280" t="s">
        <v>2433</v>
      </c>
      <c r="G1280" t="s">
        <v>101</v>
      </c>
      <c r="H1280" t="s">
        <v>26</v>
      </c>
      <c r="I1280" t="s">
        <v>66</v>
      </c>
      <c r="J1280" t="s">
        <v>67</v>
      </c>
      <c r="K1280" t="s">
        <v>68</v>
      </c>
      <c r="L1280" t="s">
        <v>916</v>
      </c>
      <c r="M1280" t="s">
        <v>31</v>
      </c>
      <c r="N1280" t="s">
        <v>46</v>
      </c>
      <c r="O1280" t="s">
        <v>917</v>
      </c>
      <c r="P1280">
        <v>314.53199999999998</v>
      </c>
      <c r="Q1280">
        <v>2</v>
      </c>
      <c r="R1280">
        <v>0.4</v>
      </c>
      <c r="S1280">
        <v>-83.875200000000007</v>
      </c>
      <c r="T1280" t="s">
        <v>71</v>
      </c>
      <c r="U1280" t="s">
        <v>254</v>
      </c>
    </row>
    <row r="1281" spans="1:21" x14ac:dyDescent="0.25">
      <c r="A1281" t="s">
        <v>3374</v>
      </c>
      <c r="B1281" s="1">
        <v>42686</v>
      </c>
      <c r="C1281" s="1">
        <v>42690</v>
      </c>
      <c r="D1281" t="s">
        <v>40</v>
      </c>
      <c r="E1281" t="s">
        <v>3375</v>
      </c>
      <c r="F1281" t="s">
        <v>3376</v>
      </c>
      <c r="G1281" t="s">
        <v>25</v>
      </c>
      <c r="H1281" t="s">
        <v>26</v>
      </c>
      <c r="I1281" t="s">
        <v>2985</v>
      </c>
      <c r="J1281" t="s">
        <v>232</v>
      </c>
      <c r="K1281" t="s">
        <v>68</v>
      </c>
      <c r="L1281" t="s">
        <v>2335</v>
      </c>
      <c r="M1281" t="s">
        <v>31</v>
      </c>
      <c r="N1281" t="s">
        <v>37</v>
      </c>
      <c r="O1281" t="s">
        <v>2336</v>
      </c>
      <c r="P1281">
        <v>1474.8019999999999</v>
      </c>
      <c r="Q1281">
        <v>7</v>
      </c>
      <c r="R1281">
        <v>0.3</v>
      </c>
      <c r="S1281">
        <v>-21.0686</v>
      </c>
      <c r="T1281" t="s">
        <v>84</v>
      </c>
      <c r="U1281" t="s">
        <v>35</v>
      </c>
    </row>
    <row r="1282" spans="1:21" x14ac:dyDescent="0.25">
      <c r="A1282" t="s">
        <v>3374</v>
      </c>
      <c r="B1282" s="1">
        <v>42686</v>
      </c>
      <c r="C1282" s="1">
        <v>42690</v>
      </c>
      <c r="D1282" t="s">
        <v>40</v>
      </c>
      <c r="E1282" t="s">
        <v>3375</v>
      </c>
      <c r="F1282" t="s">
        <v>3376</v>
      </c>
      <c r="G1282" t="s">
        <v>25</v>
      </c>
      <c r="H1282" t="s">
        <v>26</v>
      </c>
      <c r="I1282" t="s">
        <v>2985</v>
      </c>
      <c r="J1282" t="s">
        <v>232</v>
      </c>
      <c r="K1282" t="s">
        <v>68</v>
      </c>
      <c r="L1282" t="s">
        <v>36</v>
      </c>
      <c r="M1282" t="s">
        <v>31</v>
      </c>
      <c r="N1282" t="s">
        <v>37</v>
      </c>
      <c r="O1282" t="s">
        <v>38</v>
      </c>
      <c r="P1282">
        <v>1537.0740000000001</v>
      </c>
      <c r="Q1282">
        <v>9</v>
      </c>
      <c r="R1282">
        <v>0.3</v>
      </c>
      <c r="S1282">
        <v>0</v>
      </c>
      <c r="T1282" t="s">
        <v>84</v>
      </c>
      <c r="U1282" t="s">
        <v>35</v>
      </c>
    </row>
    <row r="1283" spans="1:21" x14ac:dyDescent="0.25">
      <c r="A1283" t="s">
        <v>3374</v>
      </c>
      <c r="B1283" s="1">
        <v>42686</v>
      </c>
      <c r="C1283" s="1">
        <v>42690</v>
      </c>
      <c r="D1283" t="s">
        <v>40</v>
      </c>
      <c r="E1283" t="s">
        <v>3375</v>
      </c>
      <c r="F1283" t="s">
        <v>3376</v>
      </c>
      <c r="G1283" t="s">
        <v>25</v>
      </c>
      <c r="H1283" t="s">
        <v>26</v>
      </c>
      <c r="I1283" t="s">
        <v>2985</v>
      </c>
      <c r="J1283" t="s">
        <v>232</v>
      </c>
      <c r="K1283" t="s">
        <v>68</v>
      </c>
      <c r="L1283" t="s">
        <v>796</v>
      </c>
      <c r="M1283" t="s">
        <v>31</v>
      </c>
      <c r="N1283" t="s">
        <v>37</v>
      </c>
      <c r="O1283" t="s">
        <v>797</v>
      </c>
      <c r="P1283">
        <v>449.37200000000001</v>
      </c>
      <c r="Q1283">
        <v>2</v>
      </c>
      <c r="R1283">
        <v>0.3</v>
      </c>
      <c r="S1283">
        <v>-12.8392</v>
      </c>
      <c r="T1283" t="s">
        <v>84</v>
      </c>
      <c r="U1283" t="s">
        <v>35</v>
      </c>
    </row>
    <row r="1284" spans="1:21" x14ac:dyDescent="0.25">
      <c r="A1284" t="s">
        <v>3377</v>
      </c>
      <c r="B1284" s="1">
        <v>42997</v>
      </c>
      <c r="C1284" s="1">
        <v>43003</v>
      </c>
      <c r="D1284" t="s">
        <v>40</v>
      </c>
      <c r="E1284" t="s">
        <v>3378</v>
      </c>
      <c r="F1284" t="s">
        <v>3379</v>
      </c>
      <c r="G1284" t="s">
        <v>91</v>
      </c>
      <c r="H1284" t="s">
        <v>26</v>
      </c>
      <c r="I1284" t="s">
        <v>879</v>
      </c>
      <c r="J1284" t="s">
        <v>1518</v>
      </c>
      <c r="K1284" t="s">
        <v>55</v>
      </c>
      <c r="L1284" t="s">
        <v>552</v>
      </c>
      <c r="M1284" t="s">
        <v>31</v>
      </c>
      <c r="N1284" t="s">
        <v>57</v>
      </c>
      <c r="O1284" t="s">
        <v>553</v>
      </c>
      <c r="P1284">
        <v>409.21600000000001</v>
      </c>
      <c r="Q1284">
        <v>8</v>
      </c>
      <c r="R1284">
        <v>0.2</v>
      </c>
      <c r="S1284">
        <v>61.382399999999997</v>
      </c>
      <c r="T1284" t="s">
        <v>130</v>
      </c>
      <c r="U1284" t="s">
        <v>78</v>
      </c>
    </row>
    <row r="1285" spans="1:21" x14ac:dyDescent="0.25">
      <c r="A1285" t="s">
        <v>3377</v>
      </c>
      <c r="B1285" s="1">
        <v>42997</v>
      </c>
      <c r="C1285" s="1">
        <v>43003</v>
      </c>
      <c r="D1285" t="s">
        <v>40</v>
      </c>
      <c r="E1285" t="s">
        <v>3378</v>
      </c>
      <c r="F1285" t="s">
        <v>3379</v>
      </c>
      <c r="G1285" t="s">
        <v>91</v>
      </c>
      <c r="H1285" t="s">
        <v>26</v>
      </c>
      <c r="I1285" t="s">
        <v>879</v>
      </c>
      <c r="J1285" t="s">
        <v>1518</v>
      </c>
      <c r="K1285" t="s">
        <v>55</v>
      </c>
      <c r="L1285" t="s">
        <v>457</v>
      </c>
      <c r="M1285" t="s">
        <v>31</v>
      </c>
      <c r="N1285" t="s">
        <v>32</v>
      </c>
      <c r="O1285" t="s">
        <v>458</v>
      </c>
      <c r="P1285">
        <v>72.587999999999994</v>
      </c>
      <c r="Q1285">
        <v>2</v>
      </c>
      <c r="R1285">
        <v>0.7</v>
      </c>
      <c r="S1285">
        <v>-128.2388</v>
      </c>
      <c r="T1285" t="s">
        <v>130</v>
      </c>
      <c r="U1285" t="s">
        <v>78</v>
      </c>
    </row>
    <row r="1286" spans="1:21" x14ac:dyDescent="0.25">
      <c r="A1286" t="s">
        <v>3380</v>
      </c>
      <c r="B1286" s="1">
        <v>42460</v>
      </c>
      <c r="C1286" s="1">
        <v>42466</v>
      </c>
      <c r="D1286" t="s">
        <v>40</v>
      </c>
      <c r="E1286" t="s">
        <v>1848</v>
      </c>
      <c r="F1286" t="s">
        <v>1849</v>
      </c>
      <c r="G1286" t="s">
        <v>25</v>
      </c>
      <c r="H1286" t="s">
        <v>26</v>
      </c>
      <c r="I1286" t="s">
        <v>174</v>
      </c>
      <c r="J1286" t="s">
        <v>121</v>
      </c>
      <c r="K1286" t="s">
        <v>68</v>
      </c>
      <c r="L1286" t="s">
        <v>252</v>
      </c>
      <c r="M1286" t="s">
        <v>31</v>
      </c>
      <c r="N1286" t="s">
        <v>37</v>
      </c>
      <c r="O1286" t="s">
        <v>253</v>
      </c>
      <c r="P1286">
        <v>327.99599999999998</v>
      </c>
      <c r="Q1286">
        <v>6</v>
      </c>
      <c r="R1286">
        <v>0.1</v>
      </c>
      <c r="S1286">
        <v>54.665999999999997</v>
      </c>
      <c r="T1286" t="s">
        <v>130</v>
      </c>
      <c r="U1286" t="s">
        <v>196</v>
      </c>
    </row>
    <row r="1287" spans="1:21" x14ac:dyDescent="0.25">
      <c r="A1287" t="s">
        <v>3381</v>
      </c>
      <c r="B1287" s="1">
        <v>42000</v>
      </c>
      <c r="C1287" s="1">
        <v>42004</v>
      </c>
      <c r="D1287" t="s">
        <v>40</v>
      </c>
      <c r="E1287" t="s">
        <v>3382</v>
      </c>
      <c r="F1287" t="s">
        <v>3383</v>
      </c>
      <c r="G1287" t="s">
        <v>101</v>
      </c>
      <c r="H1287" t="s">
        <v>26</v>
      </c>
      <c r="I1287" t="s">
        <v>174</v>
      </c>
      <c r="J1287" t="s">
        <v>121</v>
      </c>
      <c r="K1287" t="s">
        <v>68</v>
      </c>
      <c r="L1287" t="s">
        <v>299</v>
      </c>
      <c r="M1287" t="s">
        <v>31</v>
      </c>
      <c r="N1287" t="s">
        <v>37</v>
      </c>
      <c r="O1287" t="s">
        <v>300</v>
      </c>
      <c r="P1287">
        <v>767.21400000000006</v>
      </c>
      <c r="Q1287">
        <v>14</v>
      </c>
      <c r="R1287">
        <v>0.1</v>
      </c>
      <c r="S1287">
        <v>161.9674</v>
      </c>
      <c r="T1287" t="s">
        <v>84</v>
      </c>
      <c r="U1287" t="s">
        <v>97</v>
      </c>
    </row>
    <row r="1288" spans="1:21" x14ac:dyDescent="0.25">
      <c r="A1288" t="s">
        <v>3384</v>
      </c>
      <c r="B1288" s="1">
        <v>42598</v>
      </c>
      <c r="C1288" s="1">
        <v>42601</v>
      </c>
      <c r="D1288" t="s">
        <v>88</v>
      </c>
      <c r="E1288" t="s">
        <v>3385</v>
      </c>
      <c r="F1288" t="s">
        <v>3386</v>
      </c>
      <c r="G1288" t="s">
        <v>91</v>
      </c>
      <c r="H1288" t="s">
        <v>26</v>
      </c>
      <c r="I1288" t="s">
        <v>53</v>
      </c>
      <c r="J1288" t="s">
        <v>54</v>
      </c>
      <c r="K1288" t="s">
        <v>55</v>
      </c>
      <c r="L1288" t="s">
        <v>2407</v>
      </c>
      <c r="M1288" t="s">
        <v>31</v>
      </c>
      <c r="N1288" t="s">
        <v>46</v>
      </c>
      <c r="O1288" t="s">
        <v>2408</v>
      </c>
      <c r="P1288">
        <v>161.28</v>
      </c>
      <c r="Q1288">
        <v>2</v>
      </c>
      <c r="R1288">
        <v>0.2</v>
      </c>
      <c r="S1288">
        <v>12.096</v>
      </c>
      <c r="T1288" t="s">
        <v>34</v>
      </c>
      <c r="U1288" t="s">
        <v>254</v>
      </c>
    </row>
    <row r="1289" spans="1:21" x14ac:dyDescent="0.25">
      <c r="A1289" t="s">
        <v>3387</v>
      </c>
      <c r="B1289" s="1">
        <v>41728</v>
      </c>
      <c r="C1289" s="1">
        <v>41733</v>
      </c>
      <c r="D1289" t="s">
        <v>40</v>
      </c>
      <c r="E1289" t="s">
        <v>868</v>
      </c>
      <c r="F1289" t="s">
        <v>869</v>
      </c>
      <c r="G1289" t="s">
        <v>25</v>
      </c>
      <c r="H1289" t="s">
        <v>26</v>
      </c>
      <c r="I1289" t="s">
        <v>329</v>
      </c>
      <c r="J1289" t="s">
        <v>54</v>
      </c>
      <c r="K1289" t="s">
        <v>55</v>
      </c>
      <c r="L1289" t="s">
        <v>543</v>
      </c>
      <c r="M1289" t="s">
        <v>31</v>
      </c>
      <c r="N1289" t="s">
        <v>32</v>
      </c>
      <c r="O1289" t="s">
        <v>544</v>
      </c>
      <c r="P1289">
        <v>205.666</v>
      </c>
      <c r="Q1289">
        <v>2</v>
      </c>
      <c r="R1289">
        <v>0.15</v>
      </c>
      <c r="S1289">
        <v>-12.098000000000001</v>
      </c>
      <c r="T1289" t="s">
        <v>59</v>
      </c>
      <c r="U1289" t="s">
        <v>196</v>
      </c>
    </row>
    <row r="1290" spans="1:21" x14ac:dyDescent="0.25">
      <c r="A1290" t="s">
        <v>3388</v>
      </c>
      <c r="B1290" s="1">
        <v>43097</v>
      </c>
      <c r="C1290" s="1">
        <v>43100</v>
      </c>
      <c r="D1290" t="s">
        <v>88</v>
      </c>
      <c r="E1290" t="s">
        <v>2309</v>
      </c>
      <c r="F1290" t="s">
        <v>2310</v>
      </c>
      <c r="G1290" t="s">
        <v>91</v>
      </c>
      <c r="H1290" t="s">
        <v>26</v>
      </c>
      <c r="I1290" t="s">
        <v>731</v>
      </c>
      <c r="J1290" t="s">
        <v>54</v>
      </c>
      <c r="K1290" t="s">
        <v>55</v>
      </c>
      <c r="L1290" t="s">
        <v>122</v>
      </c>
      <c r="M1290" t="s">
        <v>31</v>
      </c>
      <c r="N1290" t="s">
        <v>37</v>
      </c>
      <c r="O1290" t="s">
        <v>123</v>
      </c>
      <c r="P1290">
        <v>340.70400000000001</v>
      </c>
      <c r="Q1290">
        <v>6</v>
      </c>
      <c r="R1290">
        <v>0.2</v>
      </c>
      <c r="S1290">
        <v>-34.070399999999999</v>
      </c>
      <c r="T1290" t="s">
        <v>34</v>
      </c>
      <c r="U1290" t="s">
        <v>97</v>
      </c>
    </row>
    <row r="1291" spans="1:21" x14ac:dyDescent="0.25">
      <c r="A1291" t="s">
        <v>3389</v>
      </c>
      <c r="B1291" s="1">
        <v>42468</v>
      </c>
      <c r="C1291" s="1">
        <v>42471</v>
      </c>
      <c r="D1291" t="s">
        <v>88</v>
      </c>
      <c r="E1291" t="s">
        <v>1490</v>
      </c>
      <c r="F1291" t="s">
        <v>1491</v>
      </c>
      <c r="G1291" t="s">
        <v>25</v>
      </c>
      <c r="H1291" t="s">
        <v>26</v>
      </c>
      <c r="I1291" t="s">
        <v>348</v>
      </c>
      <c r="J1291" t="s">
        <v>668</v>
      </c>
      <c r="K1291" t="s">
        <v>29</v>
      </c>
      <c r="L1291" t="s">
        <v>2480</v>
      </c>
      <c r="M1291" t="s">
        <v>31</v>
      </c>
      <c r="N1291" t="s">
        <v>32</v>
      </c>
      <c r="O1291" t="s">
        <v>2481</v>
      </c>
      <c r="P1291">
        <v>354.9</v>
      </c>
      <c r="Q1291">
        <v>5</v>
      </c>
      <c r="R1291">
        <v>0</v>
      </c>
      <c r="S1291">
        <v>88.724999999999994</v>
      </c>
      <c r="T1291" t="s">
        <v>34</v>
      </c>
      <c r="U1291" t="s">
        <v>114</v>
      </c>
    </row>
    <row r="1292" spans="1:21" x14ac:dyDescent="0.25">
      <c r="A1292" t="s">
        <v>3390</v>
      </c>
      <c r="B1292" s="1">
        <v>41716</v>
      </c>
      <c r="C1292" s="1">
        <v>41719</v>
      </c>
      <c r="D1292" t="s">
        <v>22</v>
      </c>
      <c r="E1292" t="s">
        <v>3391</v>
      </c>
      <c r="F1292" t="s">
        <v>3392</v>
      </c>
      <c r="G1292" t="s">
        <v>101</v>
      </c>
      <c r="H1292" t="s">
        <v>26</v>
      </c>
      <c r="I1292" t="s">
        <v>329</v>
      </c>
      <c r="J1292" t="s">
        <v>54</v>
      </c>
      <c r="K1292" t="s">
        <v>55</v>
      </c>
      <c r="L1292" t="s">
        <v>2623</v>
      </c>
      <c r="M1292" t="s">
        <v>31</v>
      </c>
      <c r="N1292" t="s">
        <v>32</v>
      </c>
      <c r="O1292" t="s">
        <v>2624</v>
      </c>
      <c r="P1292">
        <v>1198.33</v>
      </c>
      <c r="Q1292">
        <v>10</v>
      </c>
      <c r="R1292">
        <v>0.15</v>
      </c>
      <c r="S1292">
        <v>70.489999999999995</v>
      </c>
      <c r="T1292" t="s">
        <v>34</v>
      </c>
      <c r="U1292" t="s">
        <v>196</v>
      </c>
    </row>
    <row r="1293" spans="1:21" x14ac:dyDescent="0.25">
      <c r="A1293" t="s">
        <v>3393</v>
      </c>
      <c r="B1293" s="1">
        <v>42845</v>
      </c>
      <c r="C1293" s="1">
        <v>42848</v>
      </c>
      <c r="D1293" t="s">
        <v>88</v>
      </c>
      <c r="E1293" t="s">
        <v>185</v>
      </c>
      <c r="F1293" t="s">
        <v>186</v>
      </c>
      <c r="G1293" t="s">
        <v>91</v>
      </c>
      <c r="H1293" t="s">
        <v>26</v>
      </c>
      <c r="I1293" t="s">
        <v>66</v>
      </c>
      <c r="J1293" t="s">
        <v>67</v>
      </c>
      <c r="K1293" t="s">
        <v>68</v>
      </c>
      <c r="L1293" t="s">
        <v>2056</v>
      </c>
      <c r="M1293" t="s">
        <v>31</v>
      </c>
      <c r="N1293" t="s">
        <v>57</v>
      </c>
      <c r="O1293" t="s">
        <v>2057</v>
      </c>
      <c r="P1293">
        <v>51.968000000000004</v>
      </c>
      <c r="Q1293">
        <v>2</v>
      </c>
      <c r="R1293">
        <v>0.2</v>
      </c>
      <c r="S1293">
        <v>10.393599999999999</v>
      </c>
      <c r="T1293" t="s">
        <v>34</v>
      </c>
      <c r="U1293" t="s">
        <v>114</v>
      </c>
    </row>
    <row r="1294" spans="1:21" x14ac:dyDescent="0.25">
      <c r="A1294" t="s">
        <v>3393</v>
      </c>
      <c r="B1294" s="1">
        <v>42845</v>
      </c>
      <c r="C1294" s="1">
        <v>42848</v>
      </c>
      <c r="D1294" t="s">
        <v>88</v>
      </c>
      <c r="E1294" t="s">
        <v>185</v>
      </c>
      <c r="F1294" t="s">
        <v>186</v>
      </c>
      <c r="G1294" t="s">
        <v>91</v>
      </c>
      <c r="H1294" t="s">
        <v>26</v>
      </c>
      <c r="I1294" t="s">
        <v>66</v>
      </c>
      <c r="J1294" t="s">
        <v>67</v>
      </c>
      <c r="K1294" t="s">
        <v>68</v>
      </c>
      <c r="L1294" t="s">
        <v>1990</v>
      </c>
      <c r="M1294" t="s">
        <v>31</v>
      </c>
      <c r="N1294" t="s">
        <v>57</v>
      </c>
      <c r="O1294" t="s">
        <v>1991</v>
      </c>
      <c r="P1294">
        <v>42.408000000000001</v>
      </c>
      <c r="Q1294">
        <v>3</v>
      </c>
      <c r="R1294">
        <v>0.2</v>
      </c>
      <c r="S1294">
        <v>9.5418000000000003</v>
      </c>
      <c r="T1294" t="s">
        <v>34</v>
      </c>
      <c r="U1294" t="s">
        <v>114</v>
      </c>
    </row>
    <row r="1295" spans="1:21" x14ac:dyDescent="0.25">
      <c r="A1295" t="s">
        <v>3394</v>
      </c>
      <c r="B1295" s="1">
        <v>41717</v>
      </c>
      <c r="C1295" s="1">
        <v>41719</v>
      </c>
      <c r="D1295" t="s">
        <v>88</v>
      </c>
      <c r="E1295" t="s">
        <v>570</v>
      </c>
      <c r="F1295" t="s">
        <v>571</v>
      </c>
      <c r="G1295" t="s">
        <v>91</v>
      </c>
      <c r="H1295" t="s">
        <v>26</v>
      </c>
      <c r="I1295" t="s">
        <v>575</v>
      </c>
      <c r="J1295" t="s">
        <v>44</v>
      </c>
      <c r="K1295" t="s">
        <v>29</v>
      </c>
      <c r="L1295" t="s">
        <v>1362</v>
      </c>
      <c r="M1295" t="s">
        <v>31</v>
      </c>
      <c r="N1295" t="s">
        <v>57</v>
      </c>
      <c r="O1295" t="s">
        <v>424</v>
      </c>
      <c r="P1295">
        <v>4.992</v>
      </c>
      <c r="Q1295">
        <v>3</v>
      </c>
      <c r="R1295">
        <v>0.2</v>
      </c>
      <c r="S1295">
        <v>1.3728</v>
      </c>
      <c r="T1295" t="s">
        <v>71</v>
      </c>
      <c r="U1295" t="s">
        <v>196</v>
      </c>
    </row>
    <row r="1296" spans="1:21" x14ac:dyDescent="0.25">
      <c r="A1296" t="s">
        <v>3394</v>
      </c>
      <c r="B1296" s="1">
        <v>41717</v>
      </c>
      <c r="C1296" s="1">
        <v>41719</v>
      </c>
      <c r="D1296" t="s">
        <v>88</v>
      </c>
      <c r="E1296" t="s">
        <v>570</v>
      </c>
      <c r="F1296" t="s">
        <v>571</v>
      </c>
      <c r="G1296" t="s">
        <v>91</v>
      </c>
      <c r="H1296" t="s">
        <v>26</v>
      </c>
      <c r="I1296" t="s">
        <v>575</v>
      </c>
      <c r="J1296" t="s">
        <v>44</v>
      </c>
      <c r="K1296" t="s">
        <v>29</v>
      </c>
      <c r="L1296" t="s">
        <v>2890</v>
      </c>
      <c r="M1296" t="s">
        <v>31</v>
      </c>
      <c r="N1296" t="s">
        <v>57</v>
      </c>
      <c r="O1296" t="s">
        <v>2891</v>
      </c>
      <c r="P1296">
        <v>20.015999999999998</v>
      </c>
      <c r="Q1296">
        <v>3</v>
      </c>
      <c r="R1296">
        <v>0.2</v>
      </c>
      <c r="S1296">
        <v>5.5044000000000004</v>
      </c>
      <c r="T1296" t="s">
        <v>71</v>
      </c>
      <c r="U1296" t="s">
        <v>196</v>
      </c>
    </row>
    <row r="1297" spans="1:21" x14ac:dyDescent="0.25">
      <c r="A1297" t="s">
        <v>3395</v>
      </c>
      <c r="B1297" s="1">
        <v>42268</v>
      </c>
      <c r="C1297" s="1">
        <v>42273</v>
      </c>
      <c r="D1297" t="s">
        <v>40</v>
      </c>
      <c r="E1297" t="s">
        <v>2224</v>
      </c>
      <c r="F1297" t="s">
        <v>2225</v>
      </c>
      <c r="G1297" t="s">
        <v>25</v>
      </c>
      <c r="H1297" t="s">
        <v>26</v>
      </c>
      <c r="I1297" t="s">
        <v>158</v>
      </c>
      <c r="J1297" t="s">
        <v>159</v>
      </c>
      <c r="K1297" t="s">
        <v>29</v>
      </c>
      <c r="L1297" t="s">
        <v>982</v>
      </c>
      <c r="M1297" t="s">
        <v>31</v>
      </c>
      <c r="N1297" t="s">
        <v>37</v>
      </c>
      <c r="O1297" t="s">
        <v>983</v>
      </c>
      <c r="P1297">
        <v>1690.04</v>
      </c>
      <c r="Q1297">
        <v>4</v>
      </c>
      <c r="R1297">
        <v>0</v>
      </c>
      <c r="S1297">
        <v>422.51</v>
      </c>
      <c r="T1297" t="s">
        <v>59</v>
      </c>
      <c r="U1297" t="s">
        <v>78</v>
      </c>
    </row>
    <row r="1298" spans="1:21" x14ac:dyDescent="0.25">
      <c r="A1298" t="s">
        <v>3396</v>
      </c>
      <c r="B1298" s="1">
        <v>42715</v>
      </c>
      <c r="C1298" s="1">
        <v>42717</v>
      </c>
      <c r="D1298" t="s">
        <v>88</v>
      </c>
      <c r="E1298" t="s">
        <v>3397</v>
      </c>
      <c r="F1298" t="s">
        <v>3398</v>
      </c>
      <c r="G1298" t="s">
        <v>101</v>
      </c>
      <c r="H1298" t="s">
        <v>26</v>
      </c>
      <c r="I1298" t="s">
        <v>3399</v>
      </c>
      <c r="J1298" t="s">
        <v>1518</v>
      </c>
      <c r="K1298" t="s">
        <v>55</v>
      </c>
      <c r="L1298" t="s">
        <v>105</v>
      </c>
      <c r="M1298" t="s">
        <v>31</v>
      </c>
      <c r="N1298" t="s">
        <v>37</v>
      </c>
      <c r="O1298" t="s">
        <v>106</v>
      </c>
      <c r="P1298">
        <v>403.92</v>
      </c>
      <c r="Q1298">
        <v>5</v>
      </c>
      <c r="R1298">
        <v>0.2</v>
      </c>
      <c r="S1298">
        <v>25.245000000000001</v>
      </c>
      <c r="T1298" t="s">
        <v>71</v>
      </c>
      <c r="U1298" t="s">
        <v>97</v>
      </c>
    </row>
    <row r="1299" spans="1:21" x14ac:dyDescent="0.25">
      <c r="A1299" t="s">
        <v>3400</v>
      </c>
      <c r="B1299" s="1">
        <v>42728</v>
      </c>
      <c r="C1299" s="1">
        <v>42732</v>
      </c>
      <c r="D1299" t="s">
        <v>40</v>
      </c>
      <c r="E1299" t="s">
        <v>1332</v>
      </c>
      <c r="F1299" t="s">
        <v>1333</v>
      </c>
      <c r="G1299" t="s">
        <v>25</v>
      </c>
      <c r="H1299" t="s">
        <v>26</v>
      </c>
      <c r="I1299" t="s">
        <v>174</v>
      </c>
      <c r="J1299" t="s">
        <v>121</v>
      </c>
      <c r="K1299" t="s">
        <v>68</v>
      </c>
      <c r="L1299" t="s">
        <v>3158</v>
      </c>
      <c r="M1299" t="s">
        <v>31</v>
      </c>
      <c r="N1299" t="s">
        <v>57</v>
      </c>
      <c r="O1299" t="s">
        <v>3159</v>
      </c>
      <c r="P1299">
        <v>799.56</v>
      </c>
      <c r="Q1299">
        <v>9</v>
      </c>
      <c r="R1299">
        <v>0</v>
      </c>
      <c r="S1299">
        <v>207.88560000000001</v>
      </c>
      <c r="T1299" t="s">
        <v>84</v>
      </c>
      <c r="U1299" t="s">
        <v>97</v>
      </c>
    </row>
    <row r="1300" spans="1:21" x14ac:dyDescent="0.25">
      <c r="A1300" t="s">
        <v>3401</v>
      </c>
      <c r="B1300" s="1">
        <v>42720</v>
      </c>
      <c r="C1300" s="1">
        <v>42727</v>
      </c>
      <c r="D1300" t="s">
        <v>40</v>
      </c>
      <c r="E1300" t="s">
        <v>492</v>
      </c>
      <c r="F1300" t="s">
        <v>493</v>
      </c>
      <c r="G1300" t="s">
        <v>25</v>
      </c>
      <c r="H1300" t="s">
        <v>26</v>
      </c>
      <c r="I1300" t="s">
        <v>3232</v>
      </c>
      <c r="J1300" t="s">
        <v>54</v>
      </c>
      <c r="K1300" t="s">
        <v>55</v>
      </c>
      <c r="L1300" t="s">
        <v>1142</v>
      </c>
      <c r="M1300" t="s">
        <v>31</v>
      </c>
      <c r="N1300" t="s">
        <v>37</v>
      </c>
      <c r="O1300" t="s">
        <v>1143</v>
      </c>
      <c r="P1300">
        <v>563.91999999999996</v>
      </c>
      <c r="Q1300">
        <v>5</v>
      </c>
      <c r="R1300">
        <v>0.2</v>
      </c>
      <c r="S1300">
        <v>7.0490000000000004</v>
      </c>
      <c r="T1300" t="s">
        <v>48</v>
      </c>
      <c r="U1300" t="s">
        <v>97</v>
      </c>
    </row>
    <row r="1301" spans="1:21" x14ac:dyDescent="0.25">
      <c r="A1301" t="s">
        <v>3402</v>
      </c>
      <c r="B1301" s="1">
        <v>43070</v>
      </c>
      <c r="C1301" s="1">
        <v>43072</v>
      </c>
      <c r="D1301" t="s">
        <v>88</v>
      </c>
      <c r="E1301" t="s">
        <v>2883</v>
      </c>
      <c r="F1301" t="s">
        <v>2884</v>
      </c>
      <c r="G1301" t="s">
        <v>101</v>
      </c>
      <c r="H1301" t="s">
        <v>26</v>
      </c>
      <c r="I1301" t="s">
        <v>1771</v>
      </c>
      <c r="J1301" t="s">
        <v>232</v>
      </c>
      <c r="K1301" t="s">
        <v>68</v>
      </c>
      <c r="L1301" t="s">
        <v>960</v>
      </c>
      <c r="M1301" t="s">
        <v>31</v>
      </c>
      <c r="N1301" t="s">
        <v>57</v>
      </c>
      <c r="O1301" t="s">
        <v>961</v>
      </c>
      <c r="P1301">
        <v>7.7119999999999997</v>
      </c>
      <c r="Q1301">
        <v>2</v>
      </c>
      <c r="R1301">
        <v>0.2</v>
      </c>
      <c r="S1301">
        <v>1.7352000000000001</v>
      </c>
      <c r="T1301" t="s">
        <v>71</v>
      </c>
      <c r="U1301" t="s">
        <v>97</v>
      </c>
    </row>
    <row r="1302" spans="1:21" x14ac:dyDescent="0.25">
      <c r="A1302" t="s">
        <v>3403</v>
      </c>
      <c r="B1302" s="1">
        <v>42663</v>
      </c>
      <c r="C1302" s="1">
        <v>42667</v>
      </c>
      <c r="D1302" t="s">
        <v>22</v>
      </c>
      <c r="E1302" t="s">
        <v>3404</v>
      </c>
      <c r="F1302" t="s">
        <v>3405</v>
      </c>
      <c r="G1302" t="s">
        <v>25</v>
      </c>
      <c r="H1302" t="s">
        <v>26</v>
      </c>
      <c r="I1302" t="s">
        <v>102</v>
      </c>
      <c r="J1302" t="s">
        <v>93</v>
      </c>
      <c r="K1302" t="s">
        <v>94</v>
      </c>
      <c r="L1302" t="s">
        <v>496</v>
      </c>
      <c r="M1302" t="s">
        <v>31</v>
      </c>
      <c r="N1302" t="s">
        <v>37</v>
      </c>
      <c r="O1302" t="s">
        <v>497</v>
      </c>
      <c r="P1302">
        <v>56.686</v>
      </c>
      <c r="Q1302">
        <v>1</v>
      </c>
      <c r="R1302">
        <v>0.3</v>
      </c>
      <c r="S1302">
        <v>-14.5764</v>
      </c>
      <c r="T1302" t="s">
        <v>84</v>
      </c>
      <c r="U1302" t="s">
        <v>49</v>
      </c>
    </row>
    <row r="1303" spans="1:21" x14ac:dyDescent="0.25">
      <c r="A1303" t="s">
        <v>3406</v>
      </c>
      <c r="B1303" s="1">
        <v>42965</v>
      </c>
      <c r="C1303" s="1">
        <v>42972</v>
      </c>
      <c r="D1303" t="s">
        <v>40</v>
      </c>
      <c r="E1303" t="s">
        <v>3407</v>
      </c>
      <c r="F1303" t="s">
        <v>3408</v>
      </c>
      <c r="G1303" t="s">
        <v>91</v>
      </c>
      <c r="H1303" t="s">
        <v>26</v>
      </c>
      <c r="I1303" t="s">
        <v>192</v>
      </c>
      <c r="J1303" t="s">
        <v>193</v>
      </c>
      <c r="K1303" t="s">
        <v>55</v>
      </c>
      <c r="L1303" t="s">
        <v>631</v>
      </c>
      <c r="M1303" t="s">
        <v>31</v>
      </c>
      <c r="N1303" t="s">
        <v>57</v>
      </c>
      <c r="O1303" t="s">
        <v>632</v>
      </c>
      <c r="P1303">
        <v>65.94</v>
      </c>
      <c r="Q1303">
        <v>3</v>
      </c>
      <c r="R1303">
        <v>0</v>
      </c>
      <c r="S1303">
        <v>22.419599999999999</v>
      </c>
      <c r="T1303" t="s">
        <v>48</v>
      </c>
      <c r="U1303" t="s">
        <v>254</v>
      </c>
    </row>
    <row r="1304" spans="1:21" x14ac:dyDescent="0.25">
      <c r="A1304" t="s">
        <v>3409</v>
      </c>
      <c r="B1304" s="1">
        <v>42336</v>
      </c>
      <c r="C1304" s="1">
        <v>42341</v>
      </c>
      <c r="D1304" t="s">
        <v>40</v>
      </c>
      <c r="E1304" t="s">
        <v>2413</v>
      </c>
      <c r="F1304" t="s">
        <v>2414</v>
      </c>
      <c r="G1304" t="s">
        <v>91</v>
      </c>
      <c r="H1304" t="s">
        <v>26</v>
      </c>
      <c r="I1304" t="s">
        <v>174</v>
      </c>
      <c r="J1304" t="s">
        <v>121</v>
      </c>
      <c r="K1304" t="s">
        <v>68</v>
      </c>
      <c r="L1304" t="s">
        <v>284</v>
      </c>
      <c r="M1304" t="s">
        <v>31</v>
      </c>
      <c r="N1304" t="s">
        <v>57</v>
      </c>
      <c r="O1304" t="s">
        <v>285</v>
      </c>
      <c r="P1304">
        <v>68.16</v>
      </c>
      <c r="Q1304">
        <v>3</v>
      </c>
      <c r="R1304">
        <v>0</v>
      </c>
      <c r="S1304">
        <v>27.945599999999999</v>
      </c>
      <c r="T1304" t="s">
        <v>59</v>
      </c>
      <c r="U1304" t="s">
        <v>35</v>
      </c>
    </row>
    <row r="1305" spans="1:21" x14ac:dyDescent="0.25">
      <c r="A1305" t="s">
        <v>3410</v>
      </c>
      <c r="B1305" s="1">
        <v>43092</v>
      </c>
      <c r="C1305" s="1">
        <v>43096</v>
      </c>
      <c r="D1305" t="s">
        <v>40</v>
      </c>
      <c r="E1305" t="s">
        <v>589</v>
      </c>
      <c r="F1305" t="s">
        <v>590</v>
      </c>
      <c r="G1305" t="s">
        <v>25</v>
      </c>
      <c r="H1305" t="s">
        <v>26</v>
      </c>
      <c r="I1305" t="s">
        <v>3411</v>
      </c>
      <c r="J1305" t="s">
        <v>142</v>
      </c>
      <c r="K1305" t="s">
        <v>29</v>
      </c>
      <c r="L1305" t="s">
        <v>284</v>
      </c>
      <c r="M1305" t="s">
        <v>31</v>
      </c>
      <c r="N1305" t="s">
        <v>57</v>
      </c>
      <c r="O1305" t="s">
        <v>285</v>
      </c>
      <c r="P1305">
        <v>72.703999999999994</v>
      </c>
      <c r="Q1305">
        <v>4</v>
      </c>
      <c r="R1305">
        <v>0.2</v>
      </c>
      <c r="S1305">
        <v>19.084800000000001</v>
      </c>
      <c r="T1305" t="s">
        <v>84</v>
      </c>
      <c r="U1305" t="s">
        <v>97</v>
      </c>
    </row>
    <row r="1306" spans="1:21" x14ac:dyDescent="0.25">
      <c r="A1306" t="s">
        <v>3412</v>
      </c>
      <c r="B1306" s="1">
        <v>42282</v>
      </c>
      <c r="C1306" s="1">
        <v>42286</v>
      </c>
      <c r="D1306" t="s">
        <v>40</v>
      </c>
      <c r="E1306" t="s">
        <v>2874</v>
      </c>
      <c r="F1306" t="s">
        <v>2875</v>
      </c>
      <c r="G1306" t="s">
        <v>25</v>
      </c>
      <c r="H1306" t="s">
        <v>26</v>
      </c>
      <c r="I1306" t="s">
        <v>3399</v>
      </c>
      <c r="J1306" t="s">
        <v>1518</v>
      </c>
      <c r="K1306" t="s">
        <v>55</v>
      </c>
      <c r="L1306" t="s">
        <v>2311</v>
      </c>
      <c r="M1306" t="s">
        <v>31</v>
      </c>
      <c r="N1306" t="s">
        <v>32</v>
      </c>
      <c r="O1306" t="s">
        <v>2312</v>
      </c>
      <c r="P1306">
        <v>66.293999999999997</v>
      </c>
      <c r="Q1306">
        <v>1</v>
      </c>
      <c r="R1306">
        <v>0.7</v>
      </c>
      <c r="S1306">
        <v>-103.86060000000001</v>
      </c>
      <c r="T1306" t="s">
        <v>84</v>
      </c>
      <c r="U1306" t="s">
        <v>49</v>
      </c>
    </row>
    <row r="1307" spans="1:21" x14ac:dyDescent="0.25">
      <c r="A1307" t="s">
        <v>3412</v>
      </c>
      <c r="B1307" s="1">
        <v>42282</v>
      </c>
      <c r="C1307" s="1">
        <v>42286</v>
      </c>
      <c r="D1307" t="s">
        <v>40</v>
      </c>
      <c r="E1307" t="s">
        <v>2874</v>
      </c>
      <c r="F1307" t="s">
        <v>2875</v>
      </c>
      <c r="G1307" t="s">
        <v>25</v>
      </c>
      <c r="H1307" t="s">
        <v>26</v>
      </c>
      <c r="I1307" t="s">
        <v>3399</v>
      </c>
      <c r="J1307" t="s">
        <v>1518</v>
      </c>
      <c r="K1307" t="s">
        <v>55</v>
      </c>
      <c r="L1307" t="s">
        <v>2181</v>
      </c>
      <c r="M1307" t="s">
        <v>31</v>
      </c>
      <c r="N1307" t="s">
        <v>37</v>
      </c>
      <c r="O1307" t="s">
        <v>2182</v>
      </c>
      <c r="P1307">
        <v>291.16800000000001</v>
      </c>
      <c r="Q1307">
        <v>4</v>
      </c>
      <c r="R1307">
        <v>0.2</v>
      </c>
      <c r="S1307">
        <v>-14.558400000000001</v>
      </c>
      <c r="T1307" t="s">
        <v>84</v>
      </c>
      <c r="U1307" t="s">
        <v>49</v>
      </c>
    </row>
    <row r="1308" spans="1:21" x14ac:dyDescent="0.25">
      <c r="A1308" t="s">
        <v>3413</v>
      </c>
      <c r="B1308" s="1">
        <v>42989</v>
      </c>
      <c r="C1308" s="1">
        <v>42989</v>
      </c>
      <c r="D1308" t="s">
        <v>426</v>
      </c>
      <c r="E1308" t="s">
        <v>3414</v>
      </c>
      <c r="F1308" t="s">
        <v>3415</v>
      </c>
      <c r="G1308" t="s">
        <v>25</v>
      </c>
      <c r="H1308" t="s">
        <v>26</v>
      </c>
      <c r="I1308" t="s">
        <v>192</v>
      </c>
      <c r="J1308" t="s">
        <v>193</v>
      </c>
      <c r="K1308" t="s">
        <v>55</v>
      </c>
      <c r="L1308" t="s">
        <v>822</v>
      </c>
      <c r="M1308" t="s">
        <v>31</v>
      </c>
      <c r="N1308" t="s">
        <v>37</v>
      </c>
      <c r="O1308" t="s">
        <v>823</v>
      </c>
      <c r="P1308">
        <v>177.56800000000001</v>
      </c>
      <c r="Q1308">
        <v>2</v>
      </c>
      <c r="R1308">
        <v>0.2</v>
      </c>
      <c r="S1308">
        <v>8.8783999999999992</v>
      </c>
      <c r="T1308" t="s">
        <v>431</v>
      </c>
      <c r="U1308" t="s">
        <v>78</v>
      </c>
    </row>
    <row r="1309" spans="1:21" x14ac:dyDescent="0.25">
      <c r="A1309" t="s">
        <v>3416</v>
      </c>
      <c r="B1309" s="1">
        <v>42350</v>
      </c>
      <c r="C1309" s="1">
        <v>42354</v>
      </c>
      <c r="D1309" t="s">
        <v>40</v>
      </c>
      <c r="E1309" t="s">
        <v>2909</v>
      </c>
      <c r="F1309" t="s">
        <v>2910</v>
      </c>
      <c r="G1309" t="s">
        <v>25</v>
      </c>
      <c r="H1309" t="s">
        <v>26</v>
      </c>
      <c r="I1309" t="s">
        <v>1492</v>
      </c>
      <c r="J1309" t="s">
        <v>54</v>
      </c>
      <c r="K1309" t="s">
        <v>55</v>
      </c>
      <c r="L1309" t="s">
        <v>1785</v>
      </c>
      <c r="M1309" t="s">
        <v>31</v>
      </c>
      <c r="N1309" t="s">
        <v>57</v>
      </c>
      <c r="O1309" t="s">
        <v>1786</v>
      </c>
      <c r="P1309">
        <v>166.5</v>
      </c>
      <c r="Q1309">
        <v>3</v>
      </c>
      <c r="R1309">
        <v>0</v>
      </c>
      <c r="S1309">
        <v>21.645</v>
      </c>
      <c r="T1309" t="s">
        <v>84</v>
      </c>
      <c r="U1309" t="s">
        <v>97</v>
      </c>
    </row>
    <row r="1310" spans="1:21" x14ac:dyDescent="0.25">
      <c r="A1310" t="s">
        <v>3417</v>
      </c>
      <c r="B1310" s="1">
        <v>42883</v>
      </c>
      <c r="C1310" s="1">
        <v>42886</v>
      </c>
      <c r="D1310" t="s">
        <v>22</v>
      </c>
      <c r="E1310" t="s">
        <v>3418</v>
      </c>
      <c r="F1310" t="s">
        <v>3419</v>
      </c>
      <c r="G1310" t="s">
        <v>91</v>
      </c>
      <c r="H1310" t="s">
        <v>26</v>
      </c>
      <c r="I1310" t="s">
        <v>510</v>
      </c>
      <c r="J1310" t="s">
        <v>885</v>
      </c>
      <c r="K1310" t="s">
        <v>68</v>
      </c>
      <c r="L1310" t="s">
        <v>2111</v>
      </c>
      <c r="M1310" t="s">
        <v>31</v>
      </c>
      <c r="N1310" t="s">
        <v>57</v>
      </c>
      <c r="O1310" t="s">
        <v>2112</v>
      </c>
      <c r="P1310">
        <v>247.44</v>
      </c>
      <c r="Q1310">
        <v>8</v>
      </c>
      <c r="R1310">
        <v>0</v>
      </c>
      <c r="S1310">
        <v>101.4504</v>
      </c>
      <c r="T1310" t="s">
        <v>34</v>
      </c>
      <c r="U1310" t="s">
        <v>162</v>
      </c>
    </row>
    <row r="1311" spans="1:21" x14ac:dyDescent="0.25">
      <c r="A1311" t="s">
        <v>3420</v>
      </c>
      <c r="B1311" s="1">
        <v>42328</v>
      </c>
      <c r="C1311" s="1">
        <v>42333</v>
      </c>
      <c r="D1311" t="s">
        <v>40</v>
      </c>
      <c r="E1311" t="s">
        <v>3293</v>
      </c>
      <c r="F1311" t="s">
        <v>3294</v>
      </c>
      <c r="G1311" t="s">
        <v>101</v>
      </c>
      <c r="H1311" t="s">
        <v>26</v>
      </c>
      <c r="I1311" t="s">
        <v>192</v>
      </c>
      <c r="J1311" t="s">
        <v>193</v>
      </c>
      <c r="K1311" t="s">
        <v>55</v>
      </c>
      <c r="L1311" t="s">
        <v>1719</v>
      </c>
      <c r="M1311" t="s">
        <v>31</v>
      </c>
      <c r="N1311" t="s">
        <v>57</v>
      </c>
      <c r="O1311" t="s">
        <v>1720</v>
      </c>
      <c r="P1311">
        <v>22.14</v>
      </c>
      <c r="Q1311">
        <v>3</v>
      </c>
      <c r="R1311">
        <v>0</v>
      </c>
      <c r="S1311">
        <v>6.4206000000000003</v>
      </c>
      <c r="T1311" t="s">
        <v>59</v>
      </c>
      <c r="U1311" t="s">
        <v>35</v>
      </c>
    </row>
    <row r="1312" spans="1:21" x14ac:dyDescent="0.25">
      <c r="A1312" t="s">
        <v>3421</v>
      </c>
      <c r="B1312" s="1">
        <v>42884</v>
      </c>
      <c r="C1312" s="1">
        <v>42890</v>
      </c>
      <c r="D1312" t="s">
        <v>40</v>
      </c>
      <c r="E1312" t="s">
        <v>2517</v>
      </c>
      <c r="F1312" t="s">
        <v>2518</v>
      </c>
      <c r="G1312" t="s">
        <v>25</v>
      </c>
      <c r="H1312" t="s">
        <v>26</v>
      </c>
      <c r="I1312" t="s">
        <v>348</v>
      </c>
      <c r="J1312" t="s">
        <v>111</v>
      </c>
      <c r="K1312" t="s">
        <v>94</v>
      </c>
      <c r="L1312" t="s">
        <v>1362</v>
      </c>
      <c r="M1312" t="s">
        <v>31</v>
      </c>
      <c r="N1312" t="s">
        <v>57</v>
      </c>
      <c r="O1312" t="s">
        <v>424</v>
      </c>
      <c r="P1312">
        <v>6.24</v>
      </c>
      <c r="Q1312">
        <v>3</v>
      </c>
      <c r="R1312">
        <v>0</v>
      </c>
      <c r="S1312">
        <v>2.6208</v>
      </c>
      <c r="T1312" t="s">
        <v>130</v>
      </c>
      <c r="U1312" t="s">
        <v>162</v>
      </c>
    </row>
    <row r="1313" spans="1:21" x14ac:dyDescent="0.25">
      <c r="A1313" t="s">
        <v>3422</v>
      </c>
      <c r="B1313" s="1">
        <v>42255</v>
      </c>
      <c r="C1313" s="1">
        <v>42261</v>
      </c>
      <c r="D1313" t="s">
        <v>40</v>
      </c>
      <c r="E1313" t="s">
        <v>275</v>
      </c>
      <c r="F1313" t="s">
        <v>276</v>
      </c>
      <c r="G1313" t="s">
        <v>91</v>
      </c>
      <c r="H1313" t="s">
        <v>26</v>
      </c>
      <c r="I1313" t="s">
        <v>1617</v>
      </c>
      <c r="J1313" t="s">
        <v>1277</v>
      </c>
      <c r="K1313" t="s">
        <v>29</v>
      </c>
      <c r="L1313" t="s">
        <v>2514</v>
      </c>
      <c r="M1313" t="s">
        <v>31</v>
      </c>
      <c r="N1313" t="s">
        <v>57</v>
      </c>
      <c r="O1313" t="s">
        <v>2515</v>
      </c>
      <c r="P1313">
        <v>21.36</v>
      </c>
      <c r="Q1313">
        <v>8</v>
      </c>
      <c r="R1313">
        <v>0</v>
      </c>
      <c r="S1313">
        <v>8.1167999999999996</v>
      </c>
      <c r="T1313" t="s">
        <v>130</v>
      </c>
      <c r="U1313" t="s">
        <v>78</v>
      </c>
    </row>
    <row r="1314" spans="1:21" x14ac:dyDescent="0.25">
      <c r="A1314" t="s">
        <v>3423</v>
      </c>
      <c r="B1314" s="1">
        <v>43071</v>
      </c>
      <c r="C1314" s="1">
        <v>43075</v>
      </c>
      <c r="D1314" t="s">
        <v>40</v>
      </c>
      <c r="E1314" t="s">
        <v>1936</v>
      </c>
      <c r="F1314" t="s">
        <v>1937</v>
      </c>
      <c r="G1314" t="s">
        <v>91</v>
      </c>
      <c r="H1314" t="s">
        <v>26</v>
      </c>
      <c r="I1314" t="s">
        <v>1471</v>
      </c>
      <c r="J1314" t="s">
        <v>54</v>
      </c>
      <c r="K1314" t="s">
        <v>55</v>
      </c>
      <c r="L1314" t="s">
        <v>2550</v>
      </c>
      <c r="M1314" t="s">
        <v>31</v>
      </c>
      <c r="N1314" t="s">
        <v>37</v>
      </c>
      <c r="O1314" t="s">
        <v>2551</v>
      </c>
      <c r="P1314">
        <v>1159.056</v>
      </c>
      <c r="Q1314">
        <v>9</v>
      </c>
      <c r="R1314">
        <v>0.2</v>
      </c>
      <c r="S1314">
        <v>43.464599999999997</v>
      </c>
      <c r="T1314" t="s">
        <v>84</v>
      </c>
      <c r="U1314" t="s">
        <v>97</v>
      </c>
    </row>
    <row r="1315" spans="1:21" x14ac:dyDescent="0.25">
      <c r="A1315" t="s">
        <v>3424</v>
      </c>
      <c r="B1315" s="1">
        <v>42568</v>
      </c>
      <c r="C1315" s="1">
        <v>42573</v>
      </c>
      <c r="D1315" t="s">
        <v>22</v>
      </c>
      <c r="E1315" t="s">
        <v>1769</v>
      </c>
      <c r="F1315" t="s">
        <v>1770</v>
      </c>
      <c r="G1315" t="s">
        <v>25</v>
      </c>
      <c r="H1315" t="s">
        <v>26</v>
      </c>
      <c r="I1315" t="s">
        <v>192</v>
      </c>
      <c r="J1315" t="s">
        <v>193</v>
      </c>
      <c r="K1315" t="s">
        <v>55</v>
      </c>
      <c r="L1315" t="s">
        <v>1981</v>
      </c>
      <c r="M1315" t="s">
        <v>31</v>
      </c>
      <c r="N1315" t="s">
        <v>57</v>
      </c>
      <c r="O1315" t="s">
        <v>1982</v>
      </c>
      <c r="P1315">
        <v>12.42</v>
      </c>
      <c r="Q1315">
        <v>3</v>
      </c>
      <c r="R1315">
        <v>0</v>
      </c>
      <c r="S1315">
        <v>4.4711999999999996</v>
      </c>
      <c r="T1315" t="s">
        <v>59</v>
      </c>
      <c r="U1315" t="s">
        <v>72</v>
      </c>
    </row>
    <row r="1316" spans="1:21" x14ac:dyDescent="0.25">
      <c r="A1316" t="s">
        <v>3424</v>
      </c>
      <c r="B1316" s="1">
        <v>42568</v>
      </c>
      <c r="C1316" s="1">
        <v>42573</v>
      </c>
      <c r="D1316" t="s">
        <v>22</v>
      </c>
      <c r="E1316" t="s">
        <v>1769</v>
      </c>
      <c r="F1316" t="s">
        <v>1770</v>
      </c>
      <c r="G1316" t="s">
        <v>25</v>
      </c>
      <c r="H1316" t="s">
        <v>26</v>
      </c>
      <c r="I1316" t="s">
        <v>192</v>
      </c>
      <c r="J1316" t="s">
        <v>193</v>
      </c>
      <c r="K1316" t="s">
        <v>55</v>
      </c>
      <c r="L1316" t="s">
        <v>2602</v>
      </c>
      <c r="M1316" t="s">
        <v>31</v>
      </c>
      <c r="N1316" t="s">
        <v>57</v>
      </c>
      <c r="O1316" t="s">
        <v>2603</v>
      </c>
      <c r="P1316">
        <v>24.75</v>
      </c>
      <c r="Q1316">
        <v>5</v>
      </c>
      <c r="R1316">
        <v>0</v>
      </c>
      <c r="S1316">
        <v>10.89</v>
      </c>
      <c r="T1316" t="s">
        <v>59</v>
      </c>
      <c r="U1316" t="s">
        <v>72</v>
      </c>
    </row>
    <row r="1317" spans="1:21" x14ac:dyDescent="0.25">
      <c r="A1317" t="s">
        <v>3425</v>
      </c>
      <c r="B1317" s="1">
        <v>42328</v>
      </c>
      <c r="C1317" s="1">
        <v>42334</v>
      </c>
      <c r="D1317" t="s">
        <v>40</v>
      </c>
      <c r="E1317" t="s">
        <v>1439</v>
      </c>
      <c r="F1317" t="s">
        <v>1440</v>
      </c>
      <c r="G1317" t="s">
        <v>25</v>
      </c>
      <c r="H1317" t="s">
        <v>26</v>
      </c>
      <c r="I1317" t="s">
        <v>1771</v>
      </c>
      <c r="J1317" t="s">
        <v>232</v>
      </c>
      <c r="K1317" t="s">
        <v>68</v>
      </c>
      <c r="L1317" t="s">
        <v>3426</v>
      </c>
      <c r="M1317" t="s">
        <v>31</v>
      </c>
      <c r="N1317" t="s">
        <v>57</v>
      </c>
      <c r="O1317" t="s">
        <v>3427</v>
      </c>
      <c r="P1317">
        <v>63.823999999999998</v>
      </c>
      <c r="Q1317">
        <v>2</v>
      </c>
      <c r="R1317">
        <v>0.2</v>
      </c>
      <c r="S1317">
        <v>9.5736000000000008</v>
      </c>
      <c r="T1317" t="s">
        <v>130</v>
      </c>
      <c r="U1317" t="s">
        <v>35</v>
      </c>
    </row>
    <row r="1318" spans="1:21" x14ac:dyDescent="0.25">
      <c r="A1318" t="s">
        <v>3428</v>
      </c>
      <c r="B1318" s="1">
        <v>42637</v>
      </c>
      <c r="C1318" s="1">
        <v>42641</v>
      </c>
      <c r="D1318" t="s">
        <v>40</v>
      </c>
      <c r="E1318" t="s">
        <v>1599</v>
      </c>
      <c r="F1318" t="s">
        <v>1600</v>
      </c>
      <c r="G1318" t="s">
        <v>91</v>
      </c>
      <c r="H1318" t="s">
        <v>26</v>
      </c>
      <c r="I1318" t="s">
        <v>53</v>
      </c>
      <c r="J1318" t="s">
        <v>54</v>
      </c>
      <c r="K1318" t="s">
        <v>55</v>
      </c>
      <c r="L1318" t="s">
        <v>1533</v>
      </c>
      <c r="M1318" t="s">
        <v>31</v>
      </c>
      <c r="N1318" t="s">
        <v>37</v>
      </c>
      <c r="O1318" t="s">
        <v>1534</v>
      </c>
      <c r="P1318">
        <v>563.24</v>
      </c>
      <c r="Q1318">
        <v>5</v>
      </c>
      <c r="R1318">
        <v>0.2</v>
      </c>
      <c r="S1318">
        <v>56.323999999999998</v>
      </c>
      <c r="T1318" t="s">
        <v>84</v>
      </c>
      <c r="U1318" t="s">
        <v>78</v>
      </c>
    </row>
    <row r="1319" spans="1:21" x14ac:dyDescent="0.25">
      <c r="A1319" t="s">
        <v>3429</v>
      </c>
      <c r="B1319" s="1">
        <v>42664</v>
      </c>
      <c r="C1319" s="1">
        <v>42669</v>
      </c>
      <c r="D1319" t="s">
        <v>40</v>
      </c>
      <c r="E1319" t="s">
        <v>275</v>
      </c>
      <c r="F1319" t="s">
        <v>276</v>
      </c>
      <c r="G1319" t="s">
        <v>91</v>
      </c>
      <c r="H1319" t="s">
        <v>26</v>
      </c>
      <c r="I1319" t="s">
        <v>2061</v>
      </c>
      <c r="J1319" t="s">
        <v>232</v>
      </c>
      <c r="K1319" t="s">
        <v>68</v>
      </c>
      <c r="L1319" t="s">
        <v>1724</v>
      </c>
      <c r="M1319" t="s">
        <v>31</v>
      </c>
      <c r="N1319" t="s">
        <v>46</v>
      </c>
      <c r="O1319" t="s">
        <v>1725</v>
      </c>
      <c r="P1319">
        <v>661.17600000000004</v>
      </c>
      <c r="Q1319">
        <v>2</v>
      </c>
      <c r="R1319">
        <v>0.4</v>
      </c>
      <c r="S1319">
        <v>-231.41159999999999</v>
      </c>
      <c r="T1319" t="s">
        <v>59</v>
      </c>
      <c r="U1319" t="s">
        <v>49</v>
      </c>
    </row>
    <row r="1320" spans="1:21" x14ac:dyDescent="0.25">
      <c r="A1320" t="s">
        <v>3430</v>
      </c>
      <c r="B1320" s="1">
        <v>41828</v>
      </c>
      <c r="C1320" s="1">
        <v>41832</v>
      </c>
      <c r="D1320" t="s">
        <v>40</v>
      </c>
      <c r="E1320" t="s">
        <v>504</v>
      </c>
      <c r="F1320" t="s">
        <v>505</v>
      </c>
      <c r="G1320" t="s">
        <v>91</v>
      </c>
      <c r="H1320" t="s">
        <v>26</v>
      </c>
      <c r="I1320" t="s">
        <v>329</v>
      </c>
      <c r="J1320" t="s">
        <v>54</v>
      </c>
      <c r="K1320" t="s">
        <v>55</v>
      </c>
      <c r="L1320" t="s">
        <v>1329</v>
      </c>
      <c r="M1320" t="s">
        <v>31</v>
      </c>
      <c r="N1320" t="s">
        <v>46</v>
      </c>
      <c r="O1320" t="s">
        <v>1330</v>
      </c>
      <c r="P1320">
        <v>502.488</v>
      </c>
      <c r="Q1320">
        <v>3</v>
      </c>
      <c r="R1320">
        <v>0.2</v>
      </c>
      <c r="S1320">
        <v>-87.935400000000001</v>
      </c>
      <c r="T1320" t="s">
        <v>84</v>
      </c>
      <c r="U1320" t="s">
        <v>72</v>
      </c>
    </row>
    <row r="1321" spans="1:21" x14ac:dyDescent="0.25">
      <c r="A1321" t="s">
        <v>3431</v>
      </c>
      <c r="B1321" s="1">
        <v>42076</v>
      </c>
      <c r="C1321" s="1">
        <v>42081</v>
      </c>
      <c r="D1321" t="s">
        <v>22</v>
      </c>
      <c r="E1321" t="s">
        <v>1016</v>
      </c>
      <c r="F1321" t="s">
        <v>1017</v>
      </c>
      <c r="G1321" t="s">
        <v>101</v>
      </c>
      <c r="H1321" t="s">
        <v>26</v>
      </c>
      <c r="I1321" t="s">
        <v>3432</v>
      </c>
      <c r="J1321" t="s">
        <v>54</v>
      </c>
      <c r="K1321" t="s">
        <v>55</v>
      </c>
      <c r="L1321" t="s">
        <v>207</v>
      </c>
      <c r="M1321" t="s">
        <v>31</v>
      </c>
      <c r="N1321" t="s">
        <v>37</v>
      </c>
      <c r="O1321" t="s">
        <v>208</v>
      </c>
      <c r="P1321">
        <v>915.13599999999997</v>
      </c>
      <c r="Q1321">
        <v>4</v>
      </c>
      <c r="R1321">
        <v>0.2</v>
      </c>
      <c r="S1321">
        <v>102.9528</v>
      </c>
      <c r="T1321" t="s">
        <v>59</v>
      </c>
      <c r="U1321" t="s">
        <v>196</v>
      </c>
    </row>
    <row r="1322" spans="1:21" x14ac:dyDescent="0.25">
      <c r="A1322" t="s">
        <v>3431</v>
      </c>
      <c r="B1322" s="1">
        <v>42076</v>
      </c>
      <c r="C1322" s="1">
        <v>42081</v>
      </c>
      <c r="D1322" t="s">
        <v>22</v>
      </c>
      <c r="E1322" t="s">
        <v>1016</v>
      </c>
      <c r="F1322" t="s">
        <v>1017</v>
      </c>
      <c r="G1322" t="s">
        <v>101</v>
      </c>
      <c r="H1322" t="s">
        <v>26</v>
      </c>
      <c r="I1322" t="s">
        <v>3432</v>
      </c>
      <c r="J1322" t="s">
        <v>54</v>
      </c>
      <c r="K1322" t="s">
        <v>55</v>
      </c>
      <c r="L1322" t="s">
        <v>641</v>
      </c>
      <c r="M1322" t="s">
        <v>31</v>
      </c>
      <c r="N1322" t="s">
        <v>57</v>
      </c>
      <c r="O1322" t="s">
        <v>642</v>
      </c>
      <c r="P1322">
        <v>327.76</v>
      </c>
      <c r="Q1322">
        <v>8</v>
      </c>
      <c r="R1322">
        <v>0</v>
      </c>
      <c r="S1322">
        <v>91.772800000000004</v>
      </c>
      <c r="T1322" t="s">
        <v>59</v>
      </c>
      <c r="U1322" t="s">
        <v>196</v>
      </c>
    </row>
    <row r="1323" spans="1:21" x14ac:dyDescent="0.25">
      <c r="A1323" t="s">
        <v>3433</v>
      </c>
      <c r="B1323" s="1">
        <v>43071</v>
      </c>
      <c r="C1323" s="1">
        <v>43074</v>
      </c>
      <c r="D1323" t="s">
        <v>88</v>
      </c>
      <c r="E1323" t="s">
        <v>3434</v>
      </c>
      <c r="F1323" t="s">
        <v>3435</v>
      </c>
      <c r="G1323" t="s">
        <v>25</v>
      </c>
      <c r="H1323" t="s">
        <v>26</v>
      </c>
      <c r="I1323" t="s">
        <v>3234</v>
      </c>
      <c r="J1323" t="s">
        <v>717</v>
      </c>
      <c r="K1323" t="s">
        <v>29</v>
      </c>
      <c r="L1323" t="s">
        <v>1487</v>
      </c>
      <c r="M1323" t="s">
        <v>31</v>
      </c>
      <c r="N1323" t="s">
        <v>37</v>
      </c>
      <c r="O1323" t="s">
        <v>1488</v>
      </c>
      <c r="P1323">
        <v>701.96</v>
      </c>
      <c r="Q1323">
        <v>2</v>
      </c>
      <c r="R1323">
        <v>0</v>
      </c>
      <c r="S1323">
        <v>168.47040000000001</v>
      </c>
      <c r="T1323" t="s">
        <v>34</v>
      </c>
      <c r="U1323" t="s">
        <v>97</v>
      </c>
    </row>
    <row r="1324" spans="1:21" x14ac:dyDescent="0.25">
      <c r="A1324" t="s">
        <v>3436</v>
      </c>
      <c r="B1324" s="1">
        <v>43069</v>
      </c>
      <c r="C1324" s="1">
        <v>43072</v>
      </c>
      <c r="D1324" t="s">
        <v>88</v>
      </c>
      <c r="E1324" t="s">
        <v>3437</v>
      </c>
      <c r="F1324" t="s">
        <v>3438</v>
      </c>
      <c r="G1324" t="s">
        <v>101</v>
      </c>
      <c r="H1324" t="s">
        <v>26</v>
      </c>
      <c r="I1324" t="s">
        <v>329</v>
      </c>
      <c r="J1324" t="s">
        <v>54</v>
      </c>
      <c r="K1324" t="s">
        <v>55</v>
      </c>
      <c r="L1324" t="s">
        <v>3439</v>
      </c>
      <c r="M1324" t="s">
        <v>31</v>
      </c>
      <c r="N1324" t="s">
        <v>57</v>
      </c>
      <c r="O1324" t="s">
        <v>3440</v>
      </c>
      <c r="P1324">
        <v>25.83</v>
      </c>
      <c r="Q1324">
        <v>3</v>
      </c>
      <c r="R1324">
        <v>0</v>
      </c>
      <c r="S1324">
        <v>9.5571000000000002</v>
      </c>
      <c r="T1324" t="s">
        <v>34</v>
      </c>
      <c r="U1324" t="s">
        <v>35</v>
      </c>
    </row>
    <row r="1325" spans="1:21" x14ac:dyDescent="0.25">
      <c r="A1325" t="s">
        <v>3441</v>
      </c>
      <c r="B1325" s="1">
        <v>42678</v>
      </c>
      <c r="C1325" s="1">
        <v>42680</v>
      </c>
      <c r="D1325" t="s">
        <v>22</v>
      </c>
      <c r="E1325" t="s">
        <v>3442</v>
      </c>
      <c r="F1325" t="s">
        <v>3443</v>
      </c>
      <c r="G1325" t="s">
        <v>91</v>
      </c>
      <c r="H1325" t="s">
        <v>26</v>
      </c>
      <c r="I1325" t="s">
        <v>3444</v>
      </c>
      <c r="J1325" t="s">
        <v>1518</v>
      </c>
      <c r="K1325" t="s">
        <v>55</v>
      </c>
      <c r="L1325" t="s">
        <v>2579</v>
      </c>
      <c r="M1325" t="s">
        <v>31</v>
      </c>
      <c r="N1325" t="s">
        <v>37</v>
      </c>
      <c r="O1325" t="s">
        <v>2580</v>
      </c>
      <c r="P1325">
        <v>104.78400000000001</v>
      </c>
      <c r="Q1325">
        <v>1</v>
      </c>
      <c r="R1325">
        <v>0.2</v>
      </c>
      <c r="S1325">
        <v>-14.4078</v>
      </c>
      <c r="T1325" t="s">
        <v>71</v>
      </c>
      <c r="U1325" t="s">
        <v>35</v>
      </c>
    </row>
    <row r="1326" spans="1:21" x14ac:dyDescent="0.25">
      <c r="A1326" t="s">
        <v>3441</v>
      </c>
      <c r="B1326" s="1">
        <v>42678</v>
      </c>
      <c r="C1326" s="1">
        <v>42680</v>
      </c>
      <c r="D1326" t="s">
        <v>22</v>
      </c>
      <c r="E1326" t="s">
        <v>3442</v>
      </c>
      <c r="F1326" t="s">
        <v>3443</v>
      </c>
      <c r="G1326" t="s">
        <v>91</v>
      </c>
      <c r="H1326" t="s">
        <v>26</v>
      </c>
      <c r="I1326" t="s">
        <v>3444</v>
      </c>
      <c r="J1326" t="s">
        <v>1518</v>
      </c>
      <c r="K1326" t="s">
        <v>55</v>
      </c>
      <c r="L1326" t="s">
        <v>2731</v>
      </c>
      <c r="M1326" t="s">
        <v>31</v>
      </c>
      <c r="N1326" t="s">
        <v>37</v>
      </c>
      <c r="O1326" t="s">
        <v>2732</v>
      </c>
      <c r="P1326">
        <v>650.35199999999998</v>
      </c>
      <c r="Q1326">
        <v>3</v>
      </c>
      <c r="R1326">
        <v>0.2</v>
      </c>
      <c r="S1326">
        <v>-97.552800000000005</v>
      </c>
      <c r="T1326" t="s">
        <v>71</v>
      </c>
      <c r="U1326" t="s">
        <v>35</v>
      </c>
    </row>
    <row r="1327" spans="1:21" x14ac:dyDescent="0.25">
      <c r="A1327" t="s">
        <v>3445</v>
      </c>
      <c r="B1327" s="1">
        <v>41893</v>
      </c>
      <c r="C1327" s="1">
        <v>41898</v>
      </c>
      <c r="D1327" t="s">
        <v>40</v>
      </c>
      <c r="E1327" t="s">
        <v>3446</v>
      </c>
      <c r="F1327" t="s">
        <v>3447</v>
      </c>
      <c r="G1327" t="s">
        <v>25</v>
      </c>
      <c r="H1327" t="s">
        <v>26</v>
      </c>
      <c r="I1327" t="s">
        <v>3448</v>
      </c>
      <c r="J1327" t="s">
        <v>54</v>
      </c>
      <c r="K1327" t="s">
        <v>55</v>
      </c>
      <c r="L1327" t="s">
        <v>182</v>
      </c>
      <c r="M1327" t="s">
        <v>31</v>
      </c>
      <c r="N1327" t="s">
        <v>57</v>
      </c>
      <c r="O1327" t="s">
        <v>183</v>
      </c>
      <c r="P1327">
        <v>127.95</v>
      </c>
      <c r="Q1327">
        <v>3</v>
      </c>
      <c r="R1327">
        <v>0</v>
      </c>
      <c r="S1327">
        <v>21.7515</v>
      </c>
      <c r="T1327" t="s">
        <v>59</v>
      </c>
      <c r="U1327" t="s">
        <v>78</v>
      </c>
    </row>
    <row r="1328" spans="1:21" x14ac:dyDescent="0.25">
      <c r="A1328" t="s">
        <v>3449</v>
      </c>
      <c r="B1328" s="1">
        <v>41659</v>
      </c>
      <c r="C1328" s="1">
        <v>41665</v>
      </c>
      <c r="D1328" t="s">
        <v>40</v>
      </c>
      <c r="E1328" t="s">
        <v>3450</v>
      </c>
      <c r="F1328" t="s">
        <v>3451</v>
      </c>
      <c r="G1328" t="s">
        <v>25</v>
      </c>
      <c r="H1328" t="s">
        <v>26</v>
      </c>
      <c r="I1328" t="s">
        <v>3452</v>
      </c>
      <c r="J1328" t="s">
        <v>290</v>
      </c>
      <c r="K1328" t="s">
        <v>94</v>
      </c>
      <c r="L1328" t="s">
        <v>359</v>
      </c>
      <c r="M1328" t="s">
        <v>31</v>
      </c>
      <c r="N1328" t="s">
        <v>57</v>
      </c>
      <c r="O1328" t="s">
        <v>360</v>
      </c>
      <c r="P1328">
        <v>272.94</v>
      </c>
      <c r="Q1328">
        <v>3</v>
      </c>
      <c r="R1328">
        <v>0</v>
      </c>
      <c r="S1328">
        <v>30.023399999999999</v>
      </c>
      <c r="T1328" t="s">
        <v>130</v>
      </c>
      <c r="U1328" t="s">
        <v>170</v>
      </c>
    </row>
    <row r="1329" spans="1:21" x14ac:dyDescent="0.25">
      <c r="A1329" t="s">
        <v>3449</v>
      </c>
      <c r="B1329" s="1">
        <v>41659</v>
      </c>
      <c r="C1329" s="1">
        <v>41665</v>
      </c>
      <c r="D1329" t="s">
        <v>40</v>
      </c>
      <c r="E1329" t="s">
        <v>3450</v>
      </c>
      <c r="F1329" t="s">
        <v>3451</v>
      </c>
      <c r="G1329" t="s">
        <v>25</v>
      </c>
      <c r="H1329" t="s">
        <v>26</v>
      </c>
      <c r="I1329" t="s">
        <v>3452</v>
      </c>
      <c r="J1329" t="s">
        <v>290</v>
      </c>
      <c r="K1329" t="s">
        <v>94</v>
      </c>
      <c r="L1329" t="s">
        <v>1100</v>
      </c>
      <c r="M1329" t="s">
        <v>31</v>
      </c>
      <c r="N1329" t="s">
        <v>57</v>
      </c>
      <c r="O1329" t="s">
        <v>1101</v>
      </c>
      <c r="P1329">
        <v>14.73</v>
      </c>
      <c r="Q1329">
        <v>3</v>
      </c>
      <c r="R1329">
        <v>0</v>
      </c>
      <c r="S1329">
        <v>4.8609</v>
      </c>
      <c r="T1329" t="s">
        <v>130</v>
      </c>
      <c r="U1329" t="s">
        <v>170</v>
      </c>
    </row>
    <row r="1330" spans="1:21" x14ac:dyDescent="0.25">
      <c r="A1330" t="s">
        <v>3453</v>
      </c>
      <c r="B1330" s="1">
        <v>42612</v>
      </c>
      <c r="C1330" s="1">
        <v>42619</v>
      </c>
      <c r="D1330" t="s">
        <v>40</v>
      </c>
      <c r="E1330" t="s">
        <v>2364</v>
      </c>
      <c r="F1330" t="s">
        <v>2365</v>
      </c>
      <c r="G1330" t="s">
        <v>25</v>
      </c>
      <c r="H1330" t="s">
        <v>26</v>
      </c>
      <c r="I1330" t="s">
        <v>53</v>
      </c>
      <c r="J1330" t="s">
        <v>54</v>
      </c>
      <c r="K1330" t="s">
        <v>55</v>
      </c>
      <c r="L1330" t="s">
        <v>2410</v>
      </c>
      <c r="M1330" t="s">
        <v>31</v>
      </c>
      <c r="N1330" t="s">
        <v>57</v>
      </c>
      <c r="O1330" t="s">
        <v>2411</v>
      </c>
      <c r="P1330">
        <v>47.04</v>
      </c>
      <c r="Q1330">
        <v>4</v>
      </c>
      <c r="R1330">
        <v>0</v>
      </c>
      <c r="S1330">
        <v>15.993600000000001</v>
      </c>
      <c r="T1330" t="s">
        <v>48</v>
      </c>
      <c r="U1330" t="s">
        <v>254</v>
      </c>
    </row>
    <row r="1331" spans="1:21" x14ac:dyDescent="0.25">
      <c r="A1331" t="s">
        <v>3454</v>
      </c>
      <c r="B1331" s="1">
        <v>43013</v>
      </c>
      <c r="C1331" s="1">
        <v>43017</v>
      </c>
      <c r="D1331" t="s">
        <v>40</v>
      </c>
      <c r="E1331" t="s">
        <v>1318</v>
      </c>
      <c r="F1331" t="s">
        <v>1319</v>
      </c>
      <c r="G1331" t="s">
        <v>91</v>
      </c>
      <c r="H1331" t="s">
        <v>26</v>
      </c>
      <c r="I1331" t="s">
        <v>174</v>
      </c>
      <c r="J1331" t="s">
        <v>121</v>
      </c>
      <c r="K1331" t="s">
        <v>68</v>
      </c>
      <c r="L1331" t="s">
        <v>1029</v>
      </c>
      <c r="M1331" t="s">
        <v>31</v>
      </c>
      <c r="N1331" t="s">
        <v>37</v>
      </c>
      <c r="O1331" t="s">
        <v>1030</v>
      </c>
      <c r="P1331">
        <v>221.38200000000001</v>
      </c>
      <c r="Q1331">
        <v>2</v>
      </c>
      <c r="R1331">
        <v>0.1</v>
      </c>
      <c r="S1331">
        <v>2.4598</v>
      </c>
      <c r="T1331" t="s">
        <v>84</v>
      </c>
      <c r="U1331" t="s">
        <v>49</v>
      </c>
    </row>
    <row r="1332" spans="1:21" x14ac:dyDescent="0.25">
      <c r="A1332" t="s">
        <v>3455</v>
      </c>
      <c r="B1332" s="1">
        <v>42981</v>
      </c>
      <c r="C1332" s="1">
        <v>42986</v>
      </c>
      <c r="D1332" t="s">
        <v>40</v>
      </c>
      <c r="E1332" t="s">
        <v>1473</v>
      </c>
      <c r="F1332" t="s">
        <v>1474</v>
      </c>
      <c r="G1332" t="s">
        <v>25</v>
      </c>
      <c r="H1332" t="s">
        <v>26</v>
      </c>
      <c r="I1332" t="s">
        <v>1740</v>
      </c>
      <c r="J1332" t="s">
        <v>93</v>
      </c>
      <c r="K1332" t="s">
        <v>94</v>
      </c>
      <c r="L1332" t="s">
        <v>1018</v>
      </c>
      <c r="M1332" t="s">
        <v>31</v>
      </c>
      <c r="N1332" t="s">
        <v>57</v>
      </c>
      <c r="O1332" t="s">
        <v>1019</v>
      </c>
      <c r="P1332">
        <v>108.4</v>
      </c>
      <c r="Q1332">
        <v>5</v>
      </c>
      <c r="R1332">
        <v>0.6</v>
      </c>
      <c r="S1332">
        <v>-105.69</v>
      </c>
      <c r="T1332" t="s">
        <v>59</v>
      </c>
      <c r="U1332" t="s">
        <v>78</v>
      </c>
    </row>
    <row r="1333" spans="1:21" x14ac:dyDescent="0.25">
      <c r="A1333" t="s">
        <v>3456</v>
      </c>
      <c r="B1333" s="1">
        <v>42646</v>
      </c>
      <c r="C1333" s="1">
        <v>42650</v>
      </c>
      <c r="D1333" t="s">
        <v>40</v>
      </c>
      <c r="E1333" t="s">
        <v>3442</v>
      </c>
      <c r="F1333" t="s">
        <v>3443</v>
      </c>
      <c r="G1333" t="s">
        <v>91</v>
      </c>
      <c r="H1333" t="s">
        <v>26</v>
      </c>
      <c r="I1333" t="s">
        <v>1718</v>
      </c>
      <c r="J1333" t="s">
        <v>93</v>
      </c>
      <c r="K1333" t="s">
        <v>94</v>
      </c>
      <c r="L1333" t="s">
        <v>384</v>
      </c>
      <c r="M1333" t="s">
        <v>31</v>
      </c>
      <c r="N1333" t="s">
        <v>57</v>
      </c>
      <c r="O1333" t="s">
        <v>385</v>
      </c>
      <c r="P1333">
        <v>38.08</v>
      </c>
      <c r="Q1333">
        <v>5</v>
      </c>
      <c r="R1333">
        <v>0.6</v>
      </c>
      <c r="S1333">
        <v>-29.512</v>
      </c>
      <c r="T1333" t="s">
        <v>84</v>
      </c>
      <c r="U1333" t="s">
        <v>49</v>
      </c>
    </row>
    <row r="1334" spans="1:21" x14ac:dyDescent="0.25">
      <c r="A1334" t="s">
        <v>3457</v>
      </c>
      <c r="B1334" s="1">
        <v>42695</v>
      </c>
      <c r="C1334" s="1">
        <v>42695</v>
      </c>
      <c r="D1334" t="s">
        <v>426</v>
      </c>
      <c r="E1334" t="s">
        <v>1238</v>
      </c>
      <c r="F1334" t="s">
        <v>1239</v>
      </c>
      <c r="G1334" t="s">
        <v>101</v>
      </c>
      <c r="H1334" t="s">
        <v>26</v>
      </c>
      <c r="I1334" t="s">
        <v>174</v>
      </c>
      <c r="J1334" t="s">
        <v>121</v>
      </c>
      <c r="K1334" t="s">
        <v>68</v>
      </c>
      <c r="L1334" t="s">
        <v>2421</v>
      </c>
      <c r="M1334" t="s">
        <v>31</v>
      </c>
      <c r="N1334" t="s">
        <v>32</v>
      </c>
      <c r="O1334" t="s">
        <v>2422</v>
      </c>
      <c r="P1334">
        <v>113.568</v>
      </c>
      <c r="Q1334">
        <v>2</v>
      </c>
      <c r="R1334">
        <v>0.2</v>
      </c>
      <c r="S1334">
        <v>12.776400000000001</v>
      </c>
      <c r="T1334" t="s">
        <v>431</v>
      </c>
      <c r="U1334" t="s">
        <v>35</v>
      </c>
    </row>
    <row r="1335" spans="1:21" x14ac:dyDescent="0.25">
      <c r="A1335" t="s">
        <v>3458</v>
      </c>
      <c r="B1335" s="1">
        <v>43011</v>
      </c>
      <c r="C1335" s="1">
        <v>43013</v>
      </c>
      <c r="D1335" t="s">
        <v>22</v>
      </c>
      <c r="E1335" t="s">
        <v>883</v>
      </c>
      <c r="F1335" t="s">
        <v>884</v>
      </c>
      <c r="G1335" t="s">
        <v>101</v>
      </c>
      <c r="H1335" t="s">
        <v>26</v>
      </c>
      <c r="I1335" t="s">
        <v>174</v>
      </c>
      <c r="J1335" t="s">
        <v>121</v>
      </c>
      <c r="K1335" t="s">
        <v>68</v>
      </c>
      <c r="L1335" t="s">
        <v>187</v>
      </c>
      <c r="M1335" t="s">
        <v>31</v>
      </c>
      <c r="N1335" t="s">
        <v>57</v>
      </c>
      <c r="O1335" t="s">
        <v>188</v>
      </c>
      <c r="P1335">
        <v>83.92</v>
      </c>
      <c r="Q1335">
        <v>4</v>
      </c>
      <c r="R1335">
        <v>0</v>
      </c>
      <c r="S1335">
        <v>21.819199999999999</v>
      </c>
      <c r="T1335" t="s">
        <v>71</v>
      </c>
      <c r="U1335" t="s">
        <v>49</v>
      </c>
    </row>
    <row r="1336" spans="1:21" x14ac:dyDescent="0.25">
      <c r="A1336" t="s">
        <v>3459</v>
      </c>
      <c r="B1336" s="1">
        <v>41758</v>
      </c>
      <c r="C1336" s="1">
        <v>41762</v>
      </c>
      <c r="D1336" t="s">
        <v>40</v>
      </c>
      <c r="E1336" t="s">
        <v>985</v>
      </c>
      <c r="F1336" t="s">
        <v>986</v>
      </c>
      <c r="G1336" t="s">
        <v>91</v>
      </c>
      <c r="H1336" t="s">
        <v>26</v>
      </c>
      <c r="I1336" t="s">
        <v>141</v>
      </c>
      <c r="J1336" t="s">
        <v>142</v>
      </c>
      <c r="K1336" t="s">
        <v>29</v>
      </c>
      <c r="L1336" t="s">
        <v>852</v>
      </c>
      <c r="M1336" t="s">
        <v>31</v>
      </c>
      <c r="N1336" t="s">
        <v>37</v>
      </c>
      <c r="O1336" t="s">
        <v>853</v>
      </c>
      <c r="P1336">
        <v>561.58399999999995</v>
      </c>
      <c r="Q1336">
        <v>2</v>
      </c>
      <c r="R1336">
        <v>0.2</v>
      </c>
      <c r="S1336">
        <v>70.197999999999993</v>
      </c>
      <c r="T1336" t="s">
        <v>84</v>
      </c>
      <c r="U1336" t="s">
        <v>114</v>
      </c>
    </row>
    <row r="1337" spans="1:21" x14ac:dyDescent="0.25">
      <c r="A1337" t="s">
        <v>3460</v>
      </c>
      <c r="B1337" s="1">
        <v>42719</v>
      </c>
      <c r="C1337" s="1">
        <v>42726</v>
      </c>
      <c r="D1337" t="s">
        <v>40</v>
      </c>
      <c r="E1337" t="s">
        <v>1565</v>
      </c>
      <c r="F1337" t="s">
        <v>1566</v>
      </c>
      <c r="G1337" t="s">
        <v>25</v>
      </c>
      <c r="H1337" t="s">
        <v>26</v>
      </c>
      <c r="I1337" t="s">
        <v>53</v>
      </c>
      <c r="J1337" t="s">
        <v>54</v>
      </c>
      <c r="K1337" t="s">
        <v>55</v>
      </c>
      <c r="L1337" t="s">
        <v>1719</v>
      </c>
      <c r="M1337" t="s">
        <v>31</v>
      </c>
      <c r="N1337" t="s">
        <v>57</v>
      </c>
      <c r="O1337" t="s">
        <v>1720</v>
      </c>
      <c r="P1337">
        <v>14.76</v>
      </c>
      <c r="Q1337">
        <v>2</v>
      </c>
      <c r="R1337">
        <v>0</v>
      </c>
      <c r="S1337">
        <v>4.2804000000000002</v>
      </c>
      <c r="T1337" t="s">
        <v>48</v>
      </c>
      <c r="U1337" t="s">
        <v>97</v>
      </c>
    </row>
    <row r="1338" spans="1:21" x14ac:dyDescent="0.25">
      <c r="A1338" t="s">
        <v>3461</v>
      </c>
      <c r="B1338" s="1">
        <v>42458</v>
      </c>
      <c r="C1338" s="1">
        <v>42462</v>
      </c>
      <c r="D1338" t="s">
        <v>40</v>
      </c>
      <c r="E1338" t="s">
        <v>499</v>
      </c>
      <c r="F1338" t="s">
        <v>500</v>
      </c>
      <c r="G1338" t="s">
        <v>25</v>
      </c>
      <c r="H1338" t="s">
        <v>26</v>
      </c>
      <c r="I1338" t="s">
        <v>879</v>
      </c>
      <c r="J1338" t="s">
        <v>232</v>
      </c>
      <c r="K1338" t="s">
        <v>68</v>
      </c>
      <c r="L1338" t="s">
        <v>711</v>
      </c>
      <c r="M1338" t="s">
        <v>31</v>
      </c>
      <c r="N1338" t="s">
        <v>32</v>
      </c>
      <c r="O1338" t="s">
        <v>712</v>
      </c>
      <c r="P1338">
        <v>299.97500000000002</v>
      </c>
      <c r="Q1338">
        <v>5</v>
      </c>
      <c r="R1338">
        <v>0.5</v>
      </c>
      <c r="S1338">
        <v>-167.98599999999999</v>
      </c>
      <c r="T1338" t="s">
        <v>84</v>
      </c>
      <c r="U1338" t="s">
        <v>196</v>
      </c>
    </row>
    <row r="1339" spans="1:21" x14ac:dyDescent="0.25">
      <c r="A1339" t="s">
        <v>3462</v>
      </c>
      <c r="B1339" s="1">
        <v>42718</v>
      </c>
      <c r="C1339" s="1">
        <v>42723</v>
      </c>
      <c r="D1339" t="s">
        <v>40</v>
      </c>
      <c r="E1339" t="s">
        <v>492</v>
      </c>
      <c r="F1339" t="s">
        <v>493</v>
      </c>
      <c r="G1339" t="s">
        <v>25</v>
      </c>
      <c r="H1339" t="s">
        <v>26</v>
      </c>
      <c r="I1339" t="s">
        <v>174</v>
      </c>
      <c r="J1339" t="s">
        <v>121</v>
      </c>
      <c r="K1339" t="s">
        <v>68</v>
      </c>
      <c r="L1339" t="s">
        <v>1401</v>
      </c>
      <c r="M1339" t="s">
        <v>31</v>
      </c>
      <c r="N1339" t="s">
        <v>57</v>
      </c>
      <c r="O1339" t="s">
        <v>1402</v>
      </c>
      <c r="P1339">
        <v>396.92</v>
      </c>
      <c r="Q1339">
        <v>4</v>
      </c>
      <c r="R1339">
        <v>0</v>
      </c>
      <c r="S1339">
        <v>198.46</v>
      </c>
      <c r="T1339" t="s">
        <v>59</v>
      </c>
      <c r="U1339" t="s">
        <v>97</v>
      </c>
    </row>
    <row r="1340" spans="1:21" x14ac:dyDescent="0.25">
      <c r="A1340" t="s">
        <v>3463</v>
      </c>
      <c r="B1340" s="1">
        <v>42885</v>
      </c>
      <c r="C1340" s="1">
        <v>42886</v>
      </c>
      <c r="D1340" t="s">
        <v>88</v>
      </c>
      <c r="E1340" t="s">
        <v>634</v>
      </c>
      <c r="F1340" t="s">
        <v>635</v>
      </c>
      <c r="G1340" t="s">
        <v>25</v>
      </c>
      <c r="H1340" t="s">
        <v>26</v>
      </c>
      <c r="I1340" t="s">
        <v>1406</v>
      </c>
      <c r="J1340" t="s">
        <v>1407</v>
      </c>
      <c r="K1340" t="s">
        <v>29</v>
      </c>
      <c r="L1340" t="s">
        <v>1475</v>
      </c>
      <c r="M1340" t="s">
        <v>31</v>
      </c>
      <c r="N1340" t="s">
        <v>32</v>
      </c>
      <c r="O1340" t="s">
        <v>1476</v>
      </c>
      <c r="P1340">
        <v>241.96</v>
      </c>
      <c r="Q1340">
        <v>2</v>
      </c>
      <c r="R1340">
        <v>0</v>
      </c>
      <c r="S1340">
        <v>33.874400000000001</v>
      </c>
      <c r="T1340" t="s">
        <v>124</v>
      </c>
      <c r="U1340" t="s">
        <v>162</v>
      </c>
    </row>
    <row r="1341" spans="1:21" x14ac:dyDescent="0.25">
      <c r="A1341" t="s">
        <v>3463</v>
      </c>
      <c r="B1341" s="1">
        <v>42885</v>
      </c>
      <c r="C1341" s="1">
        <v>42886</v>
      </c>
      <c r="D1341" t="s">
        <v>88</v>
      </c>
      <c r="E1341" t="s">
        <v>634</v>
      </c>
      <c r="F1341" t="s">
        <v>635</v>
      </c>
      <c r="G1341" t="s">
        <v>25</v>
      </c>
      <c r="H1341" t="s">
        <v>26</v>
      </c>
      <c r="I1341" t="s">
        <v>1406</v>
      </c>
      <c r="J1341" t="s">
        <v>1407</v>
      </c>
      <c r="K1341" t="s">
        <v>29</v>
      </c>
      <c r="L1341" t="s">
        <v>2514</v>
      </c>
      <c r="M1341" t="s">
        <v>31</v>
      </c>
      <c r="N1341" t="s">
        <v>57</v>
      </c>
      <c r="O1341" t="s">
        <v>2515</v>
      </c>
      <c r="P1341">
        <v>8.01</v>
      </c>
      <c r="Q1341">
        <v>3</v>
      </c>
      <c r="R1341">
        <v>0</v>
      </c>
      <c r="S1341">
        <v>3.0438000000000001</v>
      </c>
      <c r="T1341" t="s">
        <v>124</v>
      </c>
      <c r="U1341" t="s">
        <v>162</v>
      </c>
    </row>
    <row r="1342" spans="1:21" x14ac:dyDescent="0.25">
      <c r="A1342" t="s">
        <v>3464</v>
      </c>
      <c r="B1342" s="1">
        <v>42978</v>
      </c>
      <c r="C1342" s="1">
        <v>42980</v>
      </c>
      <c r="D1342" t="s">
        <v>22</v>
      </c>
      <c r="E1342" t="s">
        <v>1961</v>
      </c>
      <c r="F1342" t="s">
        <v>1962</v>
      </c>
      <c r="G1342" t="s">
        <v>91</v>
      </c>
      <c r="H1342" t="s">
        <v>26</v>
      </c>
      <c r="I1342" t="s">
        <v>1567</v>
      </c>
      <c r="J1342" t="s">
        <v>193</v>
      </c>
      <c r="K1342" t="s">
        <v>55</v>
      </c>
      <c r="L1342" t="s">
        <v>515</v>
      </c>
      <c r="M1342" t="s">
        <v>31</v>
      </c>
      <c r="N1342" t="s">
        <v>37</v>
      </c>
      <c r="O1342" t="s">
        <v>516</v>
      </c>
      <c r="P1342">
        <v>569.56799999999998</v>
      </c>
      <c r="Q1342">
        <v>2</v>
      </c>
      <c r="R1342">
        <v>0.2</v>
      </c>
      <c r="S1342">
        <v>7.1196000000000002</v>
      </c>
      <c r="T1342" t="s">
        <v>71</v>
      </c>
      <c r="U1342" t="s">
        <v>254</v>
      </c>
    </row>
    <row r="1343" spans="1:21" x14ac:dyDescent="0.25">
      <c r="A1343" t="s">
        <v>3465</v>
      </c>
      <c r="B1343" s="1">
        <v>42869</v>
      </c>
      <c r="C1343" s="1">
        <v>42870</v>
      </c>
      <c r="D1343" t="s">
        <v>88</v>
      </c>
      <c r="E1343" t="s">
        <v>874</v>
      </c>
      <c r="F1343" t="s">
        <v>875</v>
      </c>
      <c r="G1343" t="s">
        <v>25</v>
      </c>
      <c r="H1343" t="s">
        <v>26</v>
      </c>
      <c r="I1343" t="s">
        <v>102</v>
      </c>
      <c r="J1343" t="s">
        <v>93</v>
      </c>
      <c r="K1343" t="s">
        <v>94</v>
      </c>
      <c r="L1343" t="s">
        <v>1601</v>
      </c>
      <c r="M1343" t="s">
        <v>31</v>
      </c>
      <c r="N1343" t="s">
        <v>37</v>
      </c>
      <c r="O1343" t="s">
        <v>1602</v>
      </c>
      <c r="P1343">
        <v>899.43</v>
      </c>
      <c r="Q1343">
        <v>5</v>
      </c>
      <c r="R1343">
        <v>0.3</v>
      </c>
      <c r="S1343">
        <v>-12.849</v>
      </c>
      <c r="T1343" t="s">
        <v>124</v>
      </c>
      <c r="U1343" t="s">
        <v>162</v>
      </c>
    </row>
    <row r="1344" spans="1:21" x14ac:dyDescent="0.25">
      <c r="A1344" t="s">
        <v>3466</v>
      </c>
      <c r="B1344" s="1">
        <v>42674</v>
      </c>
      <c r="C1344" s="1">
        <v>42679</v>
      </c>
      <c r="D1344" t="s">
        <v>40</v>
      </c>
      <c r="E1344" t="s">
        <v>829</v>
      </c>
      <c r="F1344" t="s">
        <v>830</v>
      </c>
      <c r="G1344" t="s">
        <v>91</v>
      </c>
      <c r="H1344" t="s">
        <v>26</v>
      </c>
      <c r="I1344" t="s">
        <v>2022</v>
      </c>
      <c r="J1344" t="s">
        <v>1523</v>
      </c>
      <c r="K1344" t="s">
        <v>94</v>
      </c>
      <c r="L1344" t="s">
        <v>1748</v>
      </c>
      <c r="M1344" t="s">
        <v>31</v>
      </c>
      <c r="N1344" t="s">
        <v>37</v>
      </c>
      <c r="O1344" t="s">
        <v>1749</v>
      </c>
      <c r="P1344">
        <v>368.97</v>
      </c>
      <c r="Q1344">
        <v>3</v>
      </c>
      <c r="R1344">
        <v>0</v>
      </c>
      <c r="S1344">
        <v>81.173400000000001</v>
      </c>
      <c r="T1344" t="s">
        <v>59</v>
      </c>
      <c r="U1344" t="s">
        <v>49</v>
      </c>
    </row>
    <row r="1345" spans="1:21" x14ac:dyDescent="0.25">
      <c r="A1345" t="s">
        <v>3467</v>
      </c>
      <c r="B1345" s="1">
        <v>42301</v>
      </c>
      <c r="C1345" s="1">
        <v>42304</v>
      </c>
      <c r="D1345" t="s">
        <v>88</v>
      </c>
      <c r="E1345" t="s">
        <v>994</v>
      </c>
      <c r="F1345" t="s">
        <v>995</v>
      </c>
      <c r="G1345" t="s">
        <v>101</v>
      </c>
      <c r="H1345" t="s">
        <v>26</v>
      </c>
      <c r="I1345" t="s">
        <v>1471</v>
      </c>
      <c r="J1345" t="s">
        <v>54</v>
      </c>
      <c r="K1345" t="s">
        <v>55</v>
      </c>
      <c r="L1345" t="s">
        <v>459</v>
      </c>
      <c r="M1345" t="s">
        <v>31</v>
      </c>
      <c r="N1345" t="s">
        <v>37</v>
      </c>
      <c r="O1345" t="s">
        <v>460</v>
      </c>
      <c r="P1345">
        <v>454.27199999999999</v>
      </c>
      <c r="Q1345">
        <v>8</v>
      </c>
      <c r="R1345">
        <v>0.2</v>
      </c>
      <c r="S1345">
        <v>-73.819199999999995</v>
      </c>
      <c r="T1345" t="s">
        <v>34</v>
      </c>
      <c r="U1345" t="s">
        <v>49</v>
      </c>
    </row>
    <row r="1346" spans="1:21" x14ac:dyDescent="0.25">
      <c r="A1346" t="s">
        <v>3468</v>
      </c>
      <c r="B1346" s="1">
        <v>41946</v>
      </c>
      <c r="C1346" s="1">
        <v>41950</v>
      </c>
      <c r="D1346" t="s">
        <v>40</v>
      </c>
      <c r="E1346" t="s">
        <v>3469</v>
      </c>
      <c r="F1346" t="s">
        <v>3470</v>
      </c>
      <c r="G1346" t="s">
        <v>25</v>
      </c>
      <c r="H1346" t="s">
        <v>26</v>
      </c>
      <c r="I1346" t="s">
        <v>607</v>
      </c>
      <c r="J1346" t="s">
        <v>1037</v>
      </c>
      <c r="K1346" t="s">
        <v>29</v>
      </c>
      <c r="L1346" t="s">
        <v>194</v>
      </c>
      <c r="M1346" t="s">
        <v>31</v>
      </c>
      <c r="N1346" t="s">
        <v>46</v>
      </c>
      <c r="O1346" t="s">
        <v>195</v>
      </c>
      <c r="P1346">
        <v>945.03599999999994</v>
      </c>
      <c r="Q1346">
        <v>6</v>
      </c>
      <c r="R1346">
        <v>0.4</v>
      </c>
      <c r="S1346">
        <v>-299.26139999999998</v>
      </c>
      <c r="T1346" t="s">
        <v>84</v>
      </c>
      <c r="U1346" t="s">
        <v>35</v>
      </c>
    </row>
    <row r="1347" spans="1:21" x14ac:dyDescent="0.25">
      <c r="A1347" t="s">
        <v>3468</v>
      </c>
      <c r="B1347" s="1">
        <v>41946</v>
      </c>
      <c r="C1347" s="1">
        <v>41950</v>
      </c>
      <c r="D1347" t="s">
        <v>40</v>
      </c>
      <c r="E1347" t="s">
        <v>3469</v>
      </c>
      <c r="F1347" t="s">
        <v>3470</v>
      </c>
      <c r="G1347" t="s">
        <v>25</v>
      </c>
      <c r="H1347" t="s">
        <v>26</v>
      </c>
      <c r="I1347" t="s">
        <v>607</v>
      </c>
      <c r="J1347" t="s">
        <v>1037</v>
      </c>
      <c r="K1347" t="s">
        <v>29</v>
      </c>
      <c r="L1347" t="s">
        <v>1832</v>
      </c>
      <c r="M1347" t="s">
        <v>31</v>
      </c>
      <c r="N1347" t="s">
        <v>57</v>
      </c>
      <c r="O1347" t="s">
        <v>1833</v>
      </c>
      <c r="P1347">
        <v>410.35199999999998</v>
      </c>
      <c r="Q1347">
        <v>3</v>
      </c>
      <c r="R1347">
        <v>0.2</v>
      </c>
      <c r="S1347">
        <v>-51.293999999999997</v>
      </c>
      <c r="T1347" t="s">
        <v>84</v>
      </c>
      <c r="U1347" t="s">
        <v>35</v>
      </c>
    </row>
    <row r="1348" spans="1:21" x14ac:dyDescent="0.25">
      <c r="A1348" t="s">
        <v>3471</v>
      </c>
      <c r="B1348" s="1">
        <v>42882</v>
      </c>
      <c r="C1348" s="1">
        <v>42884</v>
      </c>
      <c r="D1348" t="s">
        <v>88</v>
      </c>
      <c r="E1348" t="s">
        <v>1572</v>
      </c>
      <c r="F1348" t="s">
        <v>1573</v>
      </c>
      <c r="G1348" t="s">
        <v>25</v>
      </c>
      <c r="H1348" t="s">
        <v>26</v>
      </c>
      <c r="I1348" t="s">
        <v>3239</v>
      </c>
      <c r="J1348" t="s">
        <v>2281</v>
      </c>
      <c r="K1348" t="s">
        <v>55</v>
      </c>
      <c r="L1348" t="s">
        <v>2190</v>
      </c>
      <c r="M1348" t="s">
        <v>31</v>
      </c>
      <c r="N1348" t="s">
        <v>57</v>
      </c>
      <c r="O1348" t="s">
        <v>2191</v>
      </c>
      <c r="P1348">
        <v>35</v>
      </c>
      <c r="Q1348">
        <v>4</v>
      </c>
      <c r="R1348">
        <v>0</v>
      </c>
      <c r="S1348">
        <v>14.7</v>
      </c>
      <c r="T1348" t="s">
        <v>71</v>
      </c>
      <c r="U1348" t="s">
        <v>162</v>
      </c>
    </row>
    <row r="1349" spans="1:21" x14ac:dyDescent="0.25">
      <c r="A1349" t="s">
        <v>3472</v>
      </c>
      <c r="B1349" s="1">
        <v>43083</v>
      </c>
      <c r="C1349" s="1">
        <v>43088</v>
      </c>
      <c r="D1349" t="s">
        <v>40</v>
      </c>
      <c r="E1349" t="s">
        <v>222</v>
      </c>
      <c r="F1349" t="s">
        <v>223</v>
      </c>
      <c r="G1349" t="s">
        <v>25</v>
      </c>
      <c r="H1349" t="s">
        <v>26</v>
      </c>
      <c r="I1349" t="s">
        <v>2479</v>
      </c>
      <c r="J1349" t="s">
        <v>93</v>
      </c>
      <c r="K1349" t="s">
        <v>94</v>
      </c>
      <c r="L1349" t="s">
        <v>45</v>
      </c>
      <c r="M1349" t="s">
        <v>31</v>
      </c>
      <c r="N1349" t="s">
        <v>46</v>
      </c>
      <c r="O1349" t="s">
        <v>47</v>
      </c>
      <c r="P1349">
        <v>974.98800000000006</v>
      </c>
      <c r="Q1349">
        <v>4</v>
      </c>
      <c r="R1349">
        <v>0.3</v>
      </c>
      <c r="S1349">
        <v>-97.498800000000003</v>
      </c>
      <c r="T1349" t="s">
        <v>59</v>
      </c>
      <c r="U1349" t="s">
        <v>97</v>
      </c>
    </row>
    <row r="1350" spans="1:21" x14ac:dyDescent="0.25">
      <c r="A1350" t="s">
        <v>3473</v>
      </c>
      <c r="B1350" s="1">
        <v>41916</v>
      </c>
      <c r="C1350" s="1">
        <v>41918</v>
      </c>
      <c r="D1350" t="s">
        <v>88</v>
      </c>
      <c r="E1350" t="s">
        <v>1153</v>
      </c>
      <c r="F1350" t="s">
        <v>1154</v>
      </c>
      <c r="G1350" t="s">
        <v>25</v>
      </c>
      <c r="H1350" t="s">
        <v>26</v>
      </c>
      <c r="I1350" t="s">
        <v>174</v>
      </c>
      <c r="J1350" t="s">
        <v>121</v>
      </c>
      <c r="K1350" t="s">
        <v>68</v>
      </c>
      <c r="L1350" t="s">
        <v>2579</v>
      </c>
      <c r="M1350" t="s">
        <v>31</v>
      </c>
      <c r="N1350" t="s">
        <v>37</v>
      </c>
      <c r="O1350" t="s">
        <v>2580</v>
      </c>
      <c r="P1350">
        <v>589.41</v>
      </c>
      <c r="Q1350">
        <v>5</v>
      </c>
      <c r="R1350">
        <v>0.1</v>
      </c>
      <c r="S1350">
        <v>-6.5490000000000004</v>
      </c>
      <c r="T1350" t="s">
        <v>71</v>
      </c>
      <c r="U1350" t="s">
        <v>49</v>
      </c>
    </row>
    <row r="1351" spans="1:21" x14ac:dyDescent="0.25">
      <c r="A1351" t="s">
        <v>3474</v>
      </c>
      <c r="B1351" s="1">
        <v>42656</v>
      </c>
      <c r="C1351" s="1">
        <v>42663</v>
      </c>
      <c r="D1351" t="s">
        <v>40</v>
      </c>
      <c r="E1351" t="s">
        <v>1961</v>
      </c>
      <c r="F1351" t="s">
        <v>1962</v>
      </c>
      <c r="G1351" t="s">
        <v>91</v>
      </c>
      <c r="H1351" t="s">
        <v>26</v>
      </c>
      <c r="I1351" t="s">
        <v>174</v>
      </c>
      <c r="J1351" t="s">
        <v>121</v>
      </c>
      <c r="K1351" t="s">
        <v>68</v>
      </c>
      <c r="L1351" t="s">
        <v>1150</v>
      </c>
      <c r="M1351" t="s">
        <v>31</v>
      </c>
      <c r="N1351" t="s">
        <v>57</v>
      </c>
      <c r="O1351" t="s">
        <v>1151</v>
      </c>
      <c r="P1351">
        <v>82.26</v>
      </c>
      <c r="Q1351">
        <v>3</v>
      </c>
      <c r="R1351">
        <v>0</v>
      </c>
      <c r="S1351">
        <v>33.726599999999998</v>
      </c>
      <c r="T1351" t="s">
        <v>48</v>
      </c>
      <c r="U1351" t="s">
        <v>49</v>
      </c>
    </row>
    <row r="1352" spans="1:21" x14ac:dyDescent="0.25">
      <c r="A1352" t="s">
        <v>3475</v>
      </c>
      <c r="B1352" s="1">
        <v>42798</v>
      </c>
      <c r="C1352" s="1">
        <v>42800</v>
      </c>
      <c r="D1352" t="s">
        <v>22</v>
      </c>
      <c r="E1352" t="s">
        <v>3476</v>
      </c>
      <c r="F1352" t="s">
        <v>3477</v>
      </c>
      <c r="G1352" t="s">
        <v>101</v>
      </c>
      <c r="H1352" t="s">
        <v>26</v>
      </c>
      <c r="I1352" t="s">
        <v>102</v>
      </c>
      <c r="J1352" t="s">
        <v>93</v>
      </c>
      <c r="K1352" t="s">
        <v>94</v>
      </c>
      <c r="L1352" t="s">
        <v>85</v>
      </c>
      <c r="M1352" t="s">
        <v>31</v>
      </c>
      <c r="N1352" t="s">
        <v>57</v>
      </c>
      <c r="O1352" t="s">
        <v>86</v>
      </c>
      <c r="P1352">
        <v>103.5</v>
      </c>
      <c r="Q1352">
        <v>5</v>
      </c>
      <c r="R1352">
        <v>0.6</v>
      </c>
      <c r="S1352">
        <v>-77.625</v>
      </c>
      <c r="T1352" t="s">
        <v>71</v>
      </c>
      <c r="U1352" t="s">
        <v>196</v>
      </c>
    </row>
    <row r="1353" spans="1:21" x14ac:dyDescent="0.25">
      <c r="A1353" t="s">
        <v>3478</v>
      </c>
      <c r="B1353" s="1">
        <v>42947</v>
      </c>
      <c r="C1353" s="1">
        <v>42950</v>
      </c>
      <c r="D1353" t="s">
        <v>88</v>
      </c>
      <c r="E1353" t="s">
        <v>3479</v>
      </c>
      <c r="F1353" t="s">
        <v>3480</v>
      </c>
      <c r="G1353" t="s">
        <v>25</v>
      </c>
      <c r="H1353" t="s">
        <v>26</v>
      </c>
      <c r="I1353" t="s">
        <v>329</v>
      </c>
      <c r="J1353" t="s">
        <v>54</v>
      </c>
      <c r="K1353" t="s">
        <v>55</v>
      </c>
      <c r="L1353" t="s">
        <v>1659</v>
      </c>
      <c r="M1353" t="s">
        <v>31</v>
      </c>
      <c r="N1353" t="s">
        <v>57</v>
      </c>
      <c r="O1353" t="s">
        <v>1660</v>
      </c>
      <c r="P1353">
        <v>36.96</v>
      </c>
      <c r="Q1353">
        <v>7</v>
      </c>
      <c r="R1353">
        <v>0</v>
      </c>
      <c r="S1353">
        <v>11.457599999999999</v>
      </c>
      <c r="T1353" t="s">
        <v>34</v>
      </c>
      <c r="U1353" t="s">
        <v>72</v>
      </c>
    </row>
    <row r="1354" spans="1:21" x14ac:dyDescent="0.25">
      <c r="A1354" t="s">
        <v>3481</v>
      </c>
      <c r="B1354" s="1">
        <v>42869</v>
      </c>
      <c r="C1354" s="1">
        <v>42872</v>
      </c>
      <c r="D1354" t="s">
        <v>88</v>
      </c>
      <c r="E1354" t="s">
        <v>877</v>
      </c>
      <c r="F1354" t="s">
        <v>878</v>
      </c>
      <c r="G1354" t="s">
        <v>91</v>
      </c>
      <c r="H1354" t="s">
        <v>26</v>
      </c>
      <c r="I1354" t="s">
        <v>2755</v>
      </c>
      <c r="J1354" t="s">
        <v>1090</v>
      </c>
      <c r="K1354" t="s">
        <v>68</v>
      </c>
      <c r="L1354" t="s">
        <v>2579</v>
      </c>
      <c r="M1354" t="s">
        <v>31</v>
      </c>
      <c r="N1354" t="s">
        <v>37</v>
      </c>
      <c r="O1354" t="s">
        <v>2580</v>
      </c>
      <c r="P1354">
        <v>261.95999999999998</v>
      </c>
      <c r="Q1354">
        <v>2</v>
      </c>
      <c r="R1354">
        <v>0</v>
      </c>
      <c r="S1354">
        <v>23.5764</v>
      </c>
      <c r="T1354" t="s">
        <v>34</v>
      </c>
      <c r="U1354" t="s">
        <v>162</v>
      </c>
    </row>
    <row r="1355" spans="1:21" x14ac:dyDescent="0.25">
      <c r="A1355" t="s">
        <v>3482</v>
      </c>
      <c r="B1355" s="1">
        <v>42635</v>
      </c>
      <c r="C1355" s="1">
        <v>42641</v>
      </c>
      <c r="D1355" t="s">
        <v>40</v>
      </c>
      <c r="E1355" t="s">
        <v>2825</v>
      </c>
      <c r="F1355" t="s">
        <v>2826</v>
      </c>
      <c r="G1355" t="s">
        <v>101</v>
      </c>
      <c r="H1355" t="s">
        <v>26</v>
      </c>
      <c r="I1355" t="s">
        <v>866</v>
      </c>
      <c r="J1355" t="s">
        <v>28</v>
      </c>
      <c r="K1355" t="s">
        <v>29</v>
      </c>
      <c r="L1355" t="s">
        <v>2327</v>
      </c>
      <c r="M1355" t="s">
        <v>31</v>
      </c>
      <c r="N1355" t="s">
        <v>57</v>
      </c>
      <c r="O1355" t="s">
        <v>2328</v>
      </c>
      <c r="P1355">
        <v>13.28</v>
      </c>
      <c r="Q1355">
        <v>2</v>
      </c>
      <c r="R1355">
        <v>0</v>
      </c>
      <c r="S1355">
        <v>6.3743999999999996</v>
      </c>
      <c r="T1355" t="s">
        <v>130</v>
      </c>
      <c r="U1355" t="s">
        <v>78</v>
      </c>
    </row>
    <row r="1356" spans="1:21" x14ac:dyDescent="0.25">
      <c r="A1356" t="s">
        <v>3483</v>
      </c>
      <c r="B1356" s="1">
        <v>42706</v>
      </c>
      <c r="C1356" s="1">
        <v>42712</v>
      </c>
      <c r="D1356" t="s">
        <v>40</v>
      </c>
      <c r="E1356" t="s">
        <v>3397</v>
      </c>
      <c r="F1356" t="s">
        <v>3398</v>
      </c>
      <c r="G1356" t="s">
        <v>101</v>
      </c>
      <c r="H1356" t="s">
        <v>26</v>
      </c>
      <c r="I1356" t="s">
        <v>1645</v>
      </c>
      <c r="J1356" t="s">
        <v>1646</v>
      </c>
      <c r="K1356" t="s">
        <v>68</v>
      </c>
      <c r="L1356" t="s">
        <v>552</v>
      </c>
      <c r="M1356" t="s">
        <v>31</v>
      </c>
      <c r="N1356" t="s">
        <v>57</v>
      </c>
      <c r="O1356" t="s">
        <v>3126</v>
      </c>
      <c r="P1356">
        <v>72.42</v>
      </c>
      <c r="Q1356">
        <v>6</v>
      </c>
      <c r="R1356">
        <v>0</v>
      </c>
      <c r="S1356">
        <v>23.898599999999998</v>
      </c>
      <c r="T1356" t="s">
        <v>130</v>
      </c>
      <c r="U1356" t="s">
        <v>97</v>
      </c>
    </row>
    <row r="1357" spans="1:21" x14ac:dyDescent="0.25">
      <c r="A1357" t="s">
        <v>3484</v>
      </c>
      <c r="B1357" s="1">
        <v>41653</v>
      </c>
      <c r="C1357" s="1">
        <v>41654</v>
      </c>
      <c r="D1357" t="s">
        <v>88</v>
      </c>
      <c r="E1357" t="s">
        <v>3485</v>
      </c>
      <c r="F1357" t="s">
        <v>3486</v>
      </c>
      <c r="G1357" t="s">
        <v>91</v>
      </c>
      <c r="H1357" t="s">
        <v>26</v>
      </c>
      <c r="I1357" t="s">
        <v>66</v>
      </c>
      <c r="J1357" t="s">
        <v>67</v>
      </c>
      <c r="K1357" t="s">
        <v>68</v>
      </c>
      <c r="L1357" t="s">
        <v>1176</v>
      </c>
      <c r="M1357" t="s">
        <v>31</v>
      </c>
      <c r="N1357" t="s">
        <v>32</v>
      </c>
      <c r="O1357" t="s">
        <v>1177</v>
      </c>
      <c r="P1357">
        <v>61.96</v>
      </c>
      <c r="Q1357">
        <v>4</v>
      </c>
      <c r="R1357">
        <v>0.5</v>
      </c>
      <c r="S1357">
        <v>-53.285600000000002</v>
      </c>
      <c r="T1357" t="s">
        <v>124</v>
      </c>
      <c r="U1357" t="s">
        <v>170</v>
      </c>
    </row>
    <row r="1358" spans="1:21" x14ac:dyDescent="0.25">
      <c r="A1358" t="s">
        <v>3487</v>
      </c>
      <c r="B1358" s="1">
        <v>42889</v>
      </c>
      <c r="C1358" s="1">
        <v>42896</v>
      </c>
      <c r="D1358" t="s">
        <v>40</v>
      </c>
      <c r="E1358" t="s">
        <v>2937</v>
      </c>
      <c r="F1358" t="s">
        <v>2938</v>
      </c>
      <c r="G1358" t="s">
        <v>25</v>
      </c>
      <c r="H1358" t="s">
        <v>26</v>
      </c>
      <c r="I1358" t="s">
        <v>441</v>
      </c>
      <c r="J1358" t="s">
        <v>44</v>
      </c>
      <c r="K1358" t="s">
        <v>29</v>
      </c>
      <c r="L1358" t="s">
        <v>530</v>
      </c>
      <c r="M1358" t="s">
        <v>31</v>
      </c>
      <c r="N1358" t="s">
        <v>32</v>
      </c>
      <c r="O1358" t="s">
        <v>531</v>
      </c>
      <c r="P1358">
        <v>241.56800000000001</v>
      </c>
      <c r="Q1358">
        <v>2</v>
      </c>
      <c r="R1358">
        <v>0.2</v>
      </c>
      <c r="S1358">
        <v>0</v>
      </c>
      <c r="T1358" t="s">
        <v>48</v>
      </c>
      <c r="U1358" t="s">
        <v>60</v>
      </c>
    </row>
    <row r="1359" spans="1:21" x14ac:dyDescent="0.25">
      <c r="A1359" t="s">
        <v>3488</v>
      </c>
      <c r="B1359" s="1">
        <v>42889</v>
      </c>
      <c r="C1359" s="1">
        <v>42895</v>
      </c>
      <c r="D1359" t="s">
        <v>40</v>
      </c>
      <c r="E1359" t="s">
        <v>3489</v>
      </c>
      <c r="F1359" t="s">
        <v>3490</v>
      </c>
      <c r="G1359" t="s">
        <v>91</v>
      </c>
      <c r="H1359" t="s">
        <v>26</v>
      </c>
      <c r="I1359" t="s">
        <v>174</v>
      </c>
      <c r="J1359" t="s">
        <v>121</v>
      </c>
      <c r="K1359" t="s">
        <v>68</v>
      </c>
      <c r="L1359" t="s">
        <v>1078</v>
      </c>
      <c r="M1359" t="s">
        <v>31</v>
      </c>
      <c r="N1359" t="s">
        <v>46</v>
      </c>
      <c r="O1359" t="s">
        <v>1079</v>
      </c>
      <c r="P1359">
        <v>384.76799999999997</v>
      </c>
      <c r="Q1359">
        <v>2</v>
      </c>
      <c r="R1359">
        <v>0.4</v>
      </c>
      <c r="S1359">
        <v>-115.43040000000001</v>
      </c>
      <c r="T1359" t="s">
        <v>130</v>
      </c>
      <c r="U1359" t="s">
        <v>60</v>
      </c>
    </row>
    <row r="1360" spans="1:21" x14ac:dyDescent="0.25">
      <c r="A1360" t="s">
        <v>3491</v>
      </c>
      <c r="B1360" s="1">
        <v>41897</v>
      </c>
      <c r="C1360" s="1">
        <v>41901</v>
      </c>
      <c r="D1360" t="s">
        <v>40</v>
      </c>
      <c r="E1360" t="s">
        <v>2959</v>
      </c>
      <c r="F1360" t="s">
        <v>2960</v>
      </c>
      <c r="G1360" t="s">
        <v>91</v>
      </c>
      <c r="H1360" t="s">
        <v>26</v>
      </c>
      <c r="I1360" t="s">
        <v>66</v>
      </c>
      <c r="J1360" t="s">
        <v>67</v>
      </c>
      <c r="K1360" t="s">
        <v>68</v>
      </c>
      <c r="L1360" t="s">
        <v>757</v>
      </c>
      <c r="M1360" t="s">
        <v>31</v>
      </c>
      <c r="N1360" t="s">
        <v>57</v>
      </c>
      <c r="O1360" t="s">
        <v>758</v>
      </c>
      <c r="P1360">
        <v>103.93600000000001</v>
      </c>
      <c r="Q1360">
        <v>4</v>
      </c>
      <c r="R1360">
        <v>0.2</v>
      </c>
      <c r="S1360">
        <v>16.889600000000002</v>
      </c>
      <c r="T1360" t="s">
        <v>84</v>
      </c>
      <c r="U1360" t="s">
        <v>78</v>
      </c>
    </row>
    <row r="1361" spans="1:21" x14ac:dyDescent="0.25">
      <c r="A1361" t="s">
        <v>3492</v>
      </c>
      <c r="B1361" s="1">
        <v>42694</v>
      </c>
      <c r="C1361" s="1">
        <v>42699</v>
      </c>
      <c r="D1361" t="s">
        <v>40</v>
      </c>
      <c r="E1361" t="s">
        <v>1536</v>
      </c>
      <c r="F1361" t="s">
        <v>1537</v>
      </c>
      <c r="G1361" t="s">
        <v>91</v>
      </c>
      <c r="H1361" t="s">
        <v>26</v>
      </c>
      <c r="I1361" t="s">
        <v>3493</v>
      </c>
      <c r="J1361" t="s">
        <v>44</v>
      </c>
      <c r="K1361" t="s">
        <v>29</v>
      </c>
      <c r="L1361" t="s">
        <v>278</v>
      </c>
      <c r="M1361" t="s">
        <v>31</v>
      </c>
      <c r="N1361" t="s">
        <v>32</v>
      </c>
      <c r="O1361" t="s">
        <v>279</v>
      </c>
      <c r="P1361">
        <v>289.56799999999998</v>
      </c>
      <c r="Q1361">
        <v>2</v>
      </c>
      <c r="R1361">
        <v>0.2</v>
      </c>
      <c r="S1361">
        <v>10.8588</v>
      </c>
      <c r="T1361" t="s">
        <v>59</v>
      </c>
      <c r="U1361" t="s">
        <v>35</v>
      </c>
    </row>
    <row r="1362" spans="1:21" x14ac:dyDescent="0.25">
      <c r="A1362" t="s">
        <v>3494</v>
      </c>
      <c r="B1362" s="1">
        <v>42209</v>
      </c>
      <c r="C1362" s="1">
        <v>42213</v>
      </c>
      <c r="D1362" t="s">
        <v>40</v>
      </c>
      <c r="E1362" t="s">
        <v>3495</v>
      </c>
      <c r="F1362" t="s">
        <v>3496</v>
      </c>
      <c r="G1362" t="s">
        <v>101</v>
      </c>
      <c r="H1362" t="s">
        <v>26</v>
      </c>
      <c r="I1362" t="s">
        <v>866</v>
      </c>
      <c r="J1362" t="s">
        <v>28</v>
      </c>
      <c r="K1362" t="s">
        <v>29</v>
      </c>
      <c r="L1362" t="s">
        <v>56</v>
      </c>
      <c r="M1362" t="s">
        <v>31</v>
      </c>
      <c r="N1362" t="s">
        <v>57</v>
      </c>
      <c r="O1362" t="s">
        <v>58</v>
      </c>
      <c r="P1362">
        <v>20.94</v>
      </c>
      <c r="Q1362">
        <v>3</v>
      </c>
      <c r="R1362">
        <v>0</v>
      </c>
      <c r="S1362">
        <v>6.0726000000000004</v>
      </c>
      <c r="T1362" t="s">
        <v>84</v>
      </c>
      <c r="U1362" t="s">
        <v>72</v>
      </c>
    </row>
    <row r="1363" spans="1:21" x14ac:dyDescent="0.25">
      <c r="A1363" t="s">
        <v>3497</v>
      </c>
      <c r="B1363" s="1">
        <v>42652</v>
      </c>
      <c r="C1363" s="1">
        <v>42654</v>
      </c>
      <c r="D1363" t="s">
        <v>22</v>
      </c>
      <c r="E1363" t="s">
        <v>3498</v>
      </c>
      <c r="F1363" t="s">
        <v>3499</v>
      </c>
      <c r="G1363" t="s">
        <v>91</v>
      </c>
      <c r="H1363" t="s">
        <v>26</v>
      </c>
      <c r="I1363" t="s">
        <v>66</v>
      </c>
      <c r="J1363" t="s">
        <v>67</v>
      </c>
      <c r="K1363" t="s">
        <v>68</v>
      </c>
      <c r="L1363" t="s">
        <v>718</v>
      </c>
      <c r="M1363" t="s">
        <v>31</v>
      </c>
      <c r="N1363" t="s">
        <v>57</v>
      </c>
      <c r="O1363" t="s">
        <v>719</v>
      </c>
      <c r="P1363">
        <v>332.83199999999999</v>
      </c>
      <c r="Q1363">
        <v>4</v>
      </c>
      <c r="R1363">
        <v>0.2</v>
      </c>
      <c r="S1363">
        <v>-24.962399999999999</v>
      </c>
      <c r="T1363" t="s">
        <v>71</v>
      </c>
      <c r="U1363" t="s">
        <v>49</v>
      </c>
    </row>
    <row r="1364" spans="1:21" x14ac:dyDescent="0.25">
      <c r="A1364" t="s">
        <v>3500</v>
      </c>
      <c r="B1364" s="1">
        <v>42993</v>
      </c>
      <c r="C1364" s="1">
        <v>42997</v>
      </c>
      <c r="D1364" t="s">
        <v>40</v>
      </c>
      <c r="E1364" t="s">
        <v>1662</v>
      </c>
      <c r="F1364" t="s">
        <v>1663</v>
      </c>
      <c r="G1364" t="s">
        <v>25</v>
      </c>
      <c r="H1364" t="s">
        <v>26</v>
      </c>
      <c r="I1364" t="s">
        <v>329</v>
      </c>
      <c r="J1364" t="s">
        <v>54</v>
      </c>
      <c r="K1364" t="s">
        <v>55</v>
      </c>
      <c r="L1364" t="s">
        <v>1218</v>
      </c>
      <c r="M1364" t="s">
        <v>31</v>
      </c>
      <c r="N1364" t="s">
        <v>37</v>
      </c>
      <c r="O1364" t="s">
        <v>1219</v>
      </c>
      <c r="P1364">
        <v>218.352</v>
      </c>
      <c r="Q1364">
        <v>3</v>
      </c>
      <c r="R1364">
        <v>0.2</v>
      </c>
      <c r="S1364">
        <v>0</v>
      </c>
      <c r="T1364" t="s">
        <v>84</v>
      </c>
      <c r="U1364" t="s">
        <v>78</v>
      </c>
    </row>
    <row r="1365" spans="1:21" x14ac:dyDescent="0.25">
      <c r="A1365" t="s">
        <v>3500</v>
      </c>
      <c r="B1365" s="1">
        <v>42993</v>
      </c>
      <c r="C1365" s="1">
        <v>42997</v>
      </c>
      <c r="D1365" t="s">
        <v>40</v>
      </c>
      <c r="E1365" t="s">
        <v>1662</v>
      </c>
      <c r="F1365" t="s">
        <v>1663</v>
      </c>
      <c r="G1365" t="s">
        <v>25</v>
      </c>
      <c r="H1365" t="s">
        <v>26</v>
      </c>
      <c r="I1365" t="s">
        <v>329</v>
      </c>
      <c r="J1365" t="s">
        <v>54</v>
      </c>
      <c r="K1365" t="s">
        <v>55</v>
      </c>
      <c r="L1365" t="s">
        <v>1392</v>
      </c>
      <c r="M1365" t="s">
        <v>31</v>
      </c>
      <c r="N1365" t="s">
        <v>57</v>
      </c>
      <c r="O1365" t="s">
        <v>1393</v>
      </c>
      <c r="P1365">
        <v>529.9</v>
      </c>
      <c r="Q1365">
        <v>5</v>
      </c>
      <c r="R1365">
        <v>0</v>
      </c>
      <c r="S1365">
        <v>105.98</v>
      </c>
      <c r="T1365" t="s">
        <v>84</v>
      </c>
      <c r="U1365" t="s">
        <v>78</v>
      </c>
    </row>
    <row r="1366" spans="1:21" x14ac:dyDescent="0.25">
      <c r="A1366" t="s">
        <v>3501</v>
      </c>
      <c r="B1366" s="1">
        <v>42751</v>
      </c>
      <c r="C1366" s="1">
        <v>42753</v>
      </c>
      <c r="D1366" t="s">
        <v>22</v>
      </c>
      <c r="E1366" t="s">
        <v>2676</v>
      </c>
      <c r="F1366" t="s">
        <v>2677</v>
      </c>
      <c r="G1366" t="s">
        <v>25</v>
      </c>
      <c r="H1366" t="s">
        <v>26</v>
      </c>
      <c r="I1366" t="s">
        <v>478</v>
      </c>
      <c r="J1366" t="s">
        <v>290</v>
      </c>
      <c r="K1366" t="s">
        <v>94</v>
      </c>
      <c r="L1366" t="s">
        <v>3018</v>
      </c>
      <c r="M1366" t="s">
        <v>31</v>
      </c>
      <c r="N1366" t="s">
        <v>37</v>
      </c>
      <c r="O1366" t="s">
        <v>3019</v>
      </c>
      <c r="P1366">
        <v>302.67</v>
      </c>
      <c r="Q1366">
        <v>3</v>
      </c>
      <c r="R1366">
        <v>0</v>
      </c>
      <c r="S1366">
        <v>72.640799999999999</v>
      </c>
      <c r="T1366" t="s">
        <v>71</v>
      </c>
      <c r="U1366" t="s">
        <v>170</v>
      </c>
    </row>
    <row r="1367" spans="1:21" x14ac:dyDescent="0.25">
      <c r="A1367" t="s">
        <v>3502</v>
      </c>
      <c r="B1367" s="1">
        <v>41960</v>
      </c>
      <c r="C1367" s="1">
        <v>41965</v>
      </c>
      <c r="D1367" t="s">
        <v>40</v>
      </c>
      <c r="E1367" t="s">
        <v>874</v>
      </c>
      <c r="F1367" t="s">
        <v>875</v>
      </c>
      <c r="G1367" t="s">
        <v>25</v>
      </c>
      <c r="H1367" t="s">
        <v>26</v>
      </c>
      <c r="I1367" t="s">
        <v>2955</v>
      </c>
      <c r="J1367" t="s">
        <v>121</v>
      </c>
      <c r="K1367" t="s">
        <v>68</v>
      </c>
      <c r="L1367" t="s">
        <v>1696</v>
      </c>
      <c r="M1367" t="s">
        <v>31</v>
      </c>
      <c r="N1367" t="s">
        <v>32</v>
      </c>
      <c r="O1367" t="s">
        <v>1697</v>
      </c>
      <c r="P1367">
        <v>4007.84</v>
      </c>
      <c r="Q1367">
        <v>10</v>
      </c>
      <c r="R1367">
        <v>0.2</v>
      </c>
      <c r="S1367">
        <v>-50.097999999999999</v>
      </c>
      <c r="T1367" t="s">
        <v>59</v>
      </c>
      <c r="U1367" t="s">
        <v>35</v>
      </c>
    </row>
    <row r="1368" spans="1:21" x14ac:dyDescent="0.25">
      <c r="A1368" t="s">
        <v>3503</v>
      </c>
      <c r="B1368" s="1">
        <v>41932</v>
      </c>
      <c r="C1368" s="1">
        <v>41935</v>
      </c>
      <c r="D1368" t="s">
        <v>88</v>
      </c>
      <c r="E1368" t="s">
        <v>3268</v>
      </c>
      <c r="F1368" t="s">
        <v>3269</v>
      </c>
      <c r="G1368" t="s">
        <v>91</v>
      </c>
      <c r="H1368" t="s">
        <v>26</v>
      </c>
      <c r="I1368" t="s">
        <v>3125</v>
      </c>
      <c r="J1368" t="s">
        <v>142</v>
      </c>
      <c r="K1368" t="s">
        <v>29</v>
      </c>
      <c r="L1368" t="s">
        <v>1235</v>
      </c>
      <c r="M1368" t="s">
        <v>31</v>
      </c>
      <c r="N1368" t="s">
        <v>46</v>
      </c>
      <c r="O1368" t="s">
        <v>1236</v>
      </c>
      <c r="P1368">
        <v>328.59</v>
      </c>
      <c r="Q1368">
        <v>3</v>
      </c>
      <c r="R1368">
        <v>0.4</v>
      </c>
      <c r="S1368">
        <v>-147.8655</v>
      </c>
      <c r="T1368" t="s">
        <v>34</v>
      </c>
      <c r="U1368" t="s">
        <v>49</v>
      </c>
    </row>
    <row r="1369" spans="1:21" x14ac:dyDescent="0.25">
      <c r="A1369" t="s">
        <v>3504</v>
      </c>
      <c r="B1369" s="1">
        <v>42302</v>
      </c>
      <c r="C1369" s="1">
        <v>42307</v>
      </c>
      <c r="D1369" t="s">
        <v>40</v>
      </c>
      <c r="E1369" t="s">
        <v>270</v>
      </c>
      <c r="F1369" t="s">
        <v>271</v>
      </c>
      <c r="G1369" t="s">
        <v>91</v>
      </c>
      <c r="H1369" t="s">
        <v>26</v>
      </c>
      <c r="I1369" t="s">
        <v>231</v>
      </c>
      <c r="J1369" t="s">
        <v>201</v>
      </c>
      <c r="K1369" t="s">
        <v>68</v>
      </c>
      <c r="L1369" t="s">
        <v>1893</v>
      </c>
      <c r="M1369" t="s">
        <v>31</v>
      </c>
      <c r="N1369" t="s">
        <v>37</v>
      </c>
      <c r="O1369" t="s">
        <v>1894</v>
      </c>
      <c r="P1369">
        <v>291.10000000000002</v>
      </c>
      <c r="Q1369">
        <v>5</v>
      </c>
      <c r="R1369">
        <v>0</v>
      </c>
      <c r="S1369">
        <v>75.686000000000007</v>
      </c>
      <c r="T1369" t="s">
        <v>59</v>
      </c>
      <c r="U1369" t="s">
        <v>49</v>
      </c>
    </row>
    <row r="1370" spans="1:21" x14ac:dyDescent="0.25">
      <c r="A1370" t="s">
        <v>3505</v>
      </c>
      <c r="B1370" s="1">
        <v>43055</v>
      </c>
      <c r="C1370" s="1">
        <v>43058</v>
      </c>
      <c r="D1370" t="s">
        <v>88</v>
      </c>
      <c r="E1370" t="s">
        <v>1153</v>
      </c>
      <c r="F1370" t="s">
        <v>1154</v>
      </c>
      <c r="G1370" t="s">
        <v>25</v>
      </c>
      <c r="H1370" t="s">
        <v>26</v>
      </c>
      <c r="I1370" t="s">
        <v>192</v>
      </c>
      <c r="J1370" t="s">
        <v>193</v>
      </c>
      <c r="K1370" t="s">
        <v>55</v>
      </c>
      <c r="L1370" t="s">
        <v>726</v>
      </c>
      <c r="M1370" t="s">
        <v>31</v>
      </c>
      <c r="N1370" t="s">
        <v>57</v>
      </c>
      <c r="O1370" t="s">
        <v>727</v>
      </c>
      <c r="P1370">
        <v>139.91999999999999</v>
      </c>
      <c r="Q1370">
        <v>2</v>
      </c>
      <c r="R1370">
        <v>0</v>
      </c>
      <c r="S1370">
        <v>23.7864</v>
      </c>
      <c r="T1370" t="s">
        <v>34</v>
      </c>
      <c r="U1370" t="s">
        <v>35</v>
      </c>
    </row>
    <row r="1371" spans="1:21" x14ac:dyDescent="0.25">
      <c r="A1371" t="s">
        <v>3506</v>
      </c>
      <c r="B1371" s="1">
        <v>41699</v>
      </c>
      <c r="C1371" s="1">
        <v>41703</v>
      </c>
      <c r="D1371" t="s">
        <v>40</v>
      </c>
      <c r="E1371" t="s">
        <v>2862</v>
      </c>
      <c r="F1371" t="s">
        <v>2863</v>
      </c>
      <c r="G1371" t="s">
        <v>101</v>
      </c>
      <c r="H1371" t="s">
        <v>26</v>
      </c>
      <c r="I1371" t="s">
        <v>3507</v>
      </c>
      <c r="J1371" t="s">
        <v>135</v>
      </c>
      <c r="K1371" t="s">
        <v>94</v>
      </c>
      <c r="L1371" t="s">
        <v>160</v>
      </c>
      <c r="M1371" t="s">
        <v>31</v>
      </c>
      <c r="N1371" t="s">
        <v>37</v>
      </c>
      <c r="O1371" t="s">
        <v>161</v>
      </c>
      <c r="P1371">
        <v>634.11599999999999</v>
      </c>
      <c r="Q1371">
        <v>6</v>
      </c>
      <c r="R1371">
        <v>0.3</v>
      </c>
      <c r="S1371">
        <v>-172.1172</v>
      </c>
      <c r="T1371" t="s">
        <v>84</v>
      </c>
      <c r="U1371" t="s">
        <v>196</v>
      </c>
    </row>
    <row r="1372" spans="1:21" x14ac:dyDescent="0.25">
      <c r="A1372" t="s">
        <v>3508</v>
      </c>
      <c r="B1372" s="1">
        <v>42215</v>
      </c>
      <c r="C1372" s="1">
        <v>42217</v>
      </c>
      <c r="D1372" t="s">
        <v>88</v>
      </c>
      <c r="E1372" t="s">
        <v>2600</v>
      </c>
      <c r="F1372" t="s">
        <v>2601</v>
      </c>
      <c r="G1372" t="s">
        <v>101</v>
      </c>
      <c r="H1372" t="s">
        <v>26</v>
      </c>
      <c r="I1372" t="s">
        <v>325</v>
      </c>
      <c r="J1372" t="s">
        <v>167</v>
      </c>
      <c r="K1372" t="s">
        <v>94</v>
      </c>
      <c r="L1372" t="s">
        <v>1004</v>
      </c>
      <c r="M1372" t="s">
        <v>31</v>
      </c>
      <c r="N1372" t="s">
        <v>37</v>
      </c>
      <c r="O1372" t="s">
        <v>1005</v>
      </c>
      <c r="P1372">
        <v>155.88</v>
      </c>
      <c r="Q1372">
        <v>6</v>
      </c>
      <c r="R1372">
        <v>0</v>
      </c>
      <c r="S1372">
        <v>38.97</v>
      </c>
      <c r="T1372" t="s">
        <v>71</v>
      </c>
      <c r="U1372" t="s">
        <v>72</v>
      </c>
    </row>
    <row r="1373" spans="1:21" x14ac:dyDescent="0.25">
      <c r="A1373" t="s">
        <v>3509</v>
      </c>
      <c r="B1373" s="1">
        <v>42309</v>
      </c>
      <c r="C1373" s="1">
        <v>42311</v>
      </c>
      <c r="D1373" t="s">
        <v>22</v>
      </c>
      <c r="E1373" t="s">
        <v>2258</v>
      </c>
      <c r="F1373" t="s">
        <v>2259</v>
      </c>
      <c r="G1373" t="s">
        <v>25</v>
      </c>
      <c r="H1373" t="s">
        <v>26</v>
      </c>
      <c r="I1373" t="s">
        <v>174</v>
      </c>
      <c r="J1373" t="s">
        <v>121</v>
      </c>
      <c r="K1373" t="s">
        <v>68</v>
      </c>
      <c r="L1373" t="s">
        <v>2181</v>
      </c>
      <c r="M1373" t="s">
        <v>31</v>
      </c>
      <c r="N1373" t="s">
        <v>37</v>
      </c>
      <c r="O1373" t="s">
        <v>2182</v>
      </c>
      <c r="P1373">
        <v>327.56400000000002</v>
      </c>
      <c r="Q1373">
        <v>4</v>
      </c>
      <c r="R1373">
        <v>0.1</v>
      </c>
      <c r="S1373">
        <v>21.837599999999998</v>
      </c>
      <c r="T1373" t="s">
        <v>71</v>
      </c>
      <c r="U1373" t="s">
        <v>35</v>
      </c>
    </row>
    <row r="1374" spans="1:21" x14ac:dyDescent="0.25">
      <c r="A1374" t="s">
        <v>3510</v>
      </c>
      <c r="B1374" s="1">
        <v>42160</v>
      </c>
      <c r="C1374" s="1">
        <v>42165</v>
      </c>
      <c r="D1374" t="s">
        <v>40</v>
      </c>
      <c r="E1374" t="s">
        <v>2382</v>
      </c>
      <c r="F1374" t="s">
        <v>2383</v>
      </c>
      <c r="G1374" t="s">
        <v>91</v>
      </c>
      <c r="H1374" t="s">
        <v>26</v>
      </c>
      <c r="I1374" t="s">
        <v>2955</v>
      </c>
      <c r="J1374" t="s">
        <v>121</v>
      </c>
      <c r="K1374" t="s">
        <v>68</v>
      </c>
      <c r="L1374" t="s">
        <v>626</v>
      </c>
      <c r="M1374" t="s">
        <v>31</v>
      </c>
      <c r="N1374" t="s">
        <v>37</v>
      </c>
      <c r="O1374" t="s">
        <v>627</v>
      </c>
      <c r="P1374">
        <v>1522.6379999999999</v>
      </c>
      <c r="Q1374">
        <v>9</v>
      </c>
      <c r="R1374">
        <v>0.1</v>
      </c>
      <c r="S1374">
        <v>169.18199999999999</v>
      </c>
      <c r="T1374" t="s">
        <v>59</v>
      </c>
      <c r="U1374" t="s">
        <v>60</v>
      </c>
    </row>
    <row r="1375" spans="1:21" x14ac:dyDescent="0.25">
      <c r="A1375" t="s">
        <v>3511</v>
      </c>
      <c r="B1375" s="1">
        <v>41766</v>
      </c>
      <c r="C1375" s="1">
        <v>41771</v>
      </c>
      <c r="D1375" t="s">
        <v>40</v>
      </c>
      <c r="E1375" t="s">
        <v>1649</v>
      </c>
      <c r="F1375" t="s">
        <v>1650</v>
      </c>
      <c r="G1375" t="s">
        <v>25</v>
      </c>
      <c r="H1375" t="s">
        <v>26</v>
      </c>
      <c r="I1375" t="s">
        <v>472</v>
      </c>
      <c r="J1375" t="s">
        <v>435</v>
      </c>
      <c r="K1375" t="s">
        <v>68</v>
      </c>
      <c r="L1375" t="s">
        <v>2567</v>
      </c>
      <c r="M1375" t="s">
        <v>31</v>
      </c>
      <c r="N1375" t="s">
        <v>46</v>
      </c>
      <c r="O1375" t="s">
        <v>2568</v>
      </c>
      <c r="P1375">
        <v>194.25</v>
      </c>
      <c r="Q1375">
        <v>2</v>
      </c>
      <c r="R1375">
        <v>0.3</v>
      </c>
      <c r="S1375">
        <v>-38.85</v>
      </c>
      <c r="T1375" t="s">
        <v>59</v>
      </c>
      <c r="U1375" t="s">
        <v>162</v>
      </c>
    </row>
    <row r="1376" spans="1:21" x14ac:dyDescent="0.25">
      <c r="A1376" t="s">
        <v>3511</v>
      </c>
      <c r="B1376" s="1">
        <v>41766</v>
      </c>
      <c r="C1376" s="1">
        <v>41771</v>
      </c>
      <c r="D1376" t="s">
        <v>40</v>
      </c>
      <c r="E1376" t="s">
        <v>1649</v>
      </c>
      <c r="F1376" t="s">
        <v>1650</v>
      </c>
      <c r="G1376" t="s">
        <v>25</v>
      </c>
      <c r="H1376" t="s">
        <v>26</v>
      </c>
      <c r="I1376" t="s">
        <v>472</v>
      </c>
      <c r="J1376" t="s">
        <v>435</v>
      </c>
      <c r="K1376" t="s">
        <v>68</v>
      </c>
      <c r="L1376" t="s">
        <v>817</v>
      </c>
      <c r="M1376" t="s">
        <v>31</v>
      </c>
      <c r="N1376" t="s">
        <v>37</v>
      </c>
      <c r="O1376" t="s">
        <v>818</v>
      </c>
      <c r="P1376">
        <v>872.32</v>
      </c>
      <c r="Q1376">
        <v>4</v>
      </c>
      <c r="R1376">
        <v>0</v>
      </c>
      <c r="S1376">
        <v>244.24959999999999</v>
      </c>
      <c r="T1376" t="s">
        <v>59</v>
      </c>
      <c r="U1376" t="s">
        <v>162</v>
      </c>
    </row>
    <row r="1377" spans="1:21" x14ac:dyDescent="0.25">
      <c r="A1377" t="s">
        <v>3512</v>
      </c>
      <c r="B1377" s="1">
        <v>41747</v>
      </c>
      <c r="C1377" s="1">
        <v>41751</v>
      </c>
      <c r="D1377" t="s">
        <v>40</v>
      </c>
      <c r="E1377" t="s">
        <v>126</v>
      </c>
      <c r="F1377" t="s">
        <v>127</v>
      </c>
      <c r="G1377" t="s">
        <v>25</v>
      </c>
      <c r="H1377" t="s">
        <v>26</v>
      </c>
      <c r="I1377" t="s">
        <v>102</v>
      </c>
      <c r="J1377" t="s">
        <v>93</v>
      </c>
      <c r="K1377" t="s">
        <v>94</v>
      </c>
      <c r="L1377" t="s">
        <v>395</v>
      </c>
      <c r="M1377" t="s">
        <v>31</v>
      </c>
      <c r="N1377" t="s">
        <v>37</v>
      </c>
      <c r="O1377" t="s">
        <v>396</v>
      </c>
      <c r="P1377">
        <v>317.05799999999999</v>
      </c>
      <c r="Q1377">
        <v>3</v>
      </c>
      <c r="R1377">
        <v>0.3</v>
      </c>
      <c r="S1377">
        <v>-18.117599999999999</v>
      </c>
      <c r="T1377" t="s">
        <v>84</v>
      </c>
      <c r="U1377" t="s">
        <v>114</v>
      </c>
    </row>
    <row r="1378" spans="1:21" x14ac:dyDescent="0.25">
      <c r="A1378" t="s">
        <v>3513</v>
      </c>
      <c r="B1378" s="1">
        <v>42797</v>
      </c>
      <c r="C1378" s="1">
        <v>42802</v>
      </c>
      <c r="D1378" t="s">
        <v>40</v>
      </c>
      <c r="E1378" t="s">
        <v>2565</v>
      </c>
      <c r="F1378" t="s">
        <v>2566</v>
      </c>
      <c r="G1378" t="s">
        <v>25</v>
      </c>
      <c r="H1378" t="s">
        <v>26</v>
      </c>
      <c r="I1378" t="s">
        <v>53</v>
      </c>
      <c r="J1378" t="s">
        <v>54</v>
      </c>
      <c r="K1378" t="s">
        <v>55</v>
      </c>
      <c r="L1378" t="s">
        <v>122</v>
      </c>
      <c r="M1378" t="s">
        <v>31</v>
      </c>
      <c r="N1378" t="s">
        <v>37</v>
      </c>
      <c r="O1378" t="s">
        <v>123</v>
      </c>
      <c r="P1378">
        <v>170.352</v>
      </c>
      <c r="Q1378">
        <v>3</v>
      </c>
      <c r="R1378">
        <v>0.2</v>
      </c>
      <c r="S1378">
        <v>-17.0352</v>
      </c>
      <c r="T1378" t="s">
        <v>59</v>
      </c>
      <c r="U1378" t="s">
        <v>196</v>
      </c>
    </row>
    <row r="1379" spans="1:21" x14ac:dyDescent="0.25">
      <c r="A1379" t="s">
        <v>3514</v>
      </c>
      <c r="B1379" s="1">
        <v>42665</v>
      </c>
      <c r="C1379" s="1">
        <v>42665</v>
      </c>
      <c r="D1379" t="s">
        <v>426</v>
      </c>
      <c r="E1379" t="s">
        <v>2071</v>
      </c>
      <c r="F1379" t="s">
        <v>2072</v>
      </c>
      <c r="G1379" t="s">
        <v>25</v>
      </c>
      <c r="H1379" t="s">
        <v>26</v>
      </c>
      <c r="I1379" t="s">
        <v>192</v>
      </c>
      <c r="J1379" t="s">
        <v>193</v>
      </c>
      <c r="K1379" t="s">
        <v>55</v>
      </c>
      <c r="L1379" t="s">
        <v>3515</v>
      </c>
      <c r="M1379" t="s">
        <v>31</v>
      </c>
      <c r="N1379" t="s">
        <v>57</v>
      </c>
      <c r="O1379" t="s">
        <v>3516</v>
      </c>
      <c r="P1379">
        <v>101.94</v>
      </c>
      <c r="Q1379">
        <v>3</v>
      </c>
      <c r="R1379">
        <v>0</v>
      </c>
      <c r="S1379">
        <v>30.582000000000001</v>
      </c>
      <c r="T1379" t="s">
        <v>431</v>
      </c>
      <c r="U1379" t="s">
        <v>49</v>
      </c>
    </row>
    <row r="1380" spans="1:21" x14ac:dyDescent="0.25">
      <c r="A1380" t="s">
        <v>3517</v>
      </c>
      <c r="B1380" s="1">
        <v>42937</v>
      </c>
      <c r="C1380" s="1">
        <v>42943</v>
      </c>
      <c r="D1380" t="s">
        <v>40</v>
      </c>
      <c r="E1380" t="s">
        <v>1640</v>
      </c>
      <c r="F1380" t="s">
        <v>1641</v>
      </c>
      <c r="G1380" t="s">
        <v>25</v>
      </c>
      <c r="H1380" t="s">
        <v>26</v>
      </c>
      <c r="I1380" t="s">
        <v>3234</v>
      </c>
      <c r="J1380" t="s">
        <v>717</v>
      </c>
      <c r="K1380" t="s">
        <v>29</v>
      </c>
      <c r="L1380" t="s">
        <v>338</v>
      </c>
      <c r="M1380" t="s">
        <v>31</v>
      </c>
      <c r="N1380" t="s">
        <v>57</v>
      </c>
      <c r="O1380" t="s">
        <v>339</v>
      </c>
      <c r="P1380">
        <v>8.8000000000000007</v>
      </c>
      <c r="Q1380">
        <v>5</v>
      </c>
      <c r="R1380">
        <v>0</v>
      </c>
      <c r="S1380">
        <v>3.8719999999999999</v>
      </c>
      <c r="T1380" t="s">
        <v>130</v>
      </c>
      <c r="U1380" t="s">
        <v>72</v>
      </c>
    </row>
    <row r="1381" spans="1:21" x14ac:dyDescent="0.25">
      <c r="A1381" t="s">
        <v>3517</v>
      </c>
      <c r="B1381" s="1">
        <v>42937</v>
      </c>
      <c r="C1381" s="1">
        <v>42943</v>
      </c>
      <c r="D1381" t="s">
        <v>40</v>
      </c>
      <c r="E1381" t="s">
        <v>1640</v>
      </c>
      <c r="F1381" t="s">
        <v>1641</v>
      </c>
      <c r="G1381" t="s">
        <v>25</v>
      </c>
      <c r="H1381" t="s">
        <v>26</v>
      </c>
      <c r="I1381" t="s">
        <v>3234</v>
      </c>
      <c r="J1381" t="s">
        <v>717</v>
      </c>
      <c r="K1381" t="s">
        <v>29</v>
      </c>
      <c r="L1381" t="s">
        <v>899</v>
      </c>
      <c r="M1381" t="s">
        <v>31</v>
      </c>
      <c r="N1381" t="s">
        <v>32</v>
      </c>
      <c r="O1381" t="s">
        <v>900</v>
      </c>
      <c r="P1381">
        <v>302.94</v>
      </c>
      <c r="Q1381">
        <v>3</v>
      </c>
      <c r="R1381">
        <v>0</v>
      </c>
      <c r="S1381">
        <v>69.676199999999994</v>
      </c>
      <c r="T1381" t="s">
        <v>130</v>
      </c>
      <c r="U1381" t="s">
        <v>72</v>
      </c>
    </row>
    <row r="1382" spans="1:21" x14ac:dyDescent="0.25">
      <c r="A1382" t="s">
        <v>3518</v>
      </c>
      <c r="B1382" s="1">
        <v>41975</v>
      </c>
      <c r="C1382" s="1">
        <v>41980</v>
      </c>
      <c r="D1382" t="s">
        <v>40</v>
      </c>
      <c r="E1382" t="s">
        <v>3519</v>
      </c>
      <c r="F1382" t="s">
        <v>3520</v>
      </c>
      <c r="G1382" t="s">
        <v>91</v>
      </c>
      <c r="H1382" t="s">
        <v>26</v>
      </c>
      <c r="I1382" t="s">
        <v>2523</v>
      </c>
      <c r="J1382" t="s">
        <v>1090</v>
      </c>
      <c r="K1382" t="s">
        <v>68</v>
      </c>
      <c r="L1382" t="s">
        <v>649</v>
      </c>
      <c r="M1382" t="s">
        <v>31</v>
      </c>
      <c r="N1382" t="s">
        <v>57</v>
      </c>
      <c r="O1382" t="s">
        <v>650</v>
      </c>
      <c r="P1382">
        <v>60.72</v>
      </c>
      <c r="Q1382">
        <v>3</v>
      </c>
      <c r="R1382">
        <v>0</v>
      </c>
      <c r="S1382">
        <v>23.680800000000001</v>
      </c>
      <c r="T1382" t="s">
        <v>59</v>
      </c>
      <c r="U1382" t="s">
        <v>97</v>
      </c>
    </row>
    <row r="1383" spans="1:21" x14ac:dyDescent="0.25">
      <c r="A1383" t="s">
        <v>3518</v>
      </c>
      <c r="B1383" s="1">
        <v>41975</v>
      </c>
      <c r="C1383" s="1">
        <v>41980</v>
      </c>
      <c r="D1383" t="s">
        <v>40</v>
      </c>
      <c r="E1383" t="s">
        <v>3519</v>
      </c>
      <c r="F1383" t="s">
        <v>3520</v>
      </c>
      <c r="G1383" t="s">
        <v>91</v>
      </c>
      <c r="H1383" t="s">
        <v>26</v>
      </c>
      <c r="I1383" t="s">
        <v>2523</v>
      </c>
      <c r="J1383" t="s">
        <v>1090</v>
      </c>
      <c r="K1383" t="s">
        <v>68</v>
      </c>
      <c r="L1383" t="s">
        <v>1514</v>
      </c>
      <c r="M1383" t="s">
        <v>31</v>
      </c>
      <c r="N1383" t="s">
        <v>37</v>
      </c>
      <c r="O1383" t="s">
        <v>1515</v>
      </c>
      <c r="P1383">
        <v>239.84</v>
      </c>
      <c r="Q1383">
        <v>8</v>
      </c>
      <c r="R1383">
        <v>0</v>
      </c>
      <c r="S1383">
        <v>64.756799999999998</v>
      </c>
      <c r="T1383" t="s">
        <v>59</v>
      </c>
      <c r="U1383" t="s">
        <v>97</v>
      </c>
    </row>
    <row r="1384" spans="1:21" x14ac:dyDescent="0.25">
      <c r="A1384" t="s">
        <v>3521</v>
      </c>
      <c r="B1384" s="1">
        <v>42516</v>
      </c>
      <c r="C1384" s="1">
        <v>42521</v>
      </c>
      <c r="D1384" t="s">
        <v>40</v>
      </c>
      <c r="E1384" t="s">
        <v>2918</v>
      </c>
      <c r="F1384" t="s">
        <v>2919</v>
      </c>
      <c r="G1384" t="s">
        <v>25</v>
      </c>
      <c r="H1384" t="s">
        <v>26</v>
      </c>
      <c r="I1384" t="s">
        <v>850</v>
      </c>
      <c r="J1384" t="s">
        <v>54</v>
      </c>
      <c r="K1384" t="s">
        <v>55</v>
      </c>
      <c r="L1384" t="s">
        <v>296</v>
      </c>
      <c r="M1384" t="s">
        <v>31</v>
      </c>
      <c r="N1384" t="s">
        <v>37</v>
      </c>
      <c r="O1384" t="s">
        <v>297</v>
      </c>
      <c r="P1384">
        <v>484.70400000000001</v>
      </c>
      <c r="Q1384">
        <v>6</v>
      </c>
      <c r="R1384">
        <v>0.2</v>
      </c>
      <c r="S1384">
        <v>-84.8232</v>
      </c>
      <c r="T1384" t="s">
        <v>59</v>
      </c>
      <c r="U1384" t="s">
        <v>162</v>
      </c>
    </row>
    <row r="1385" spans="1:21" x14ac:dyDescent="0.25">
      <c r="A1385" t="s">
        <v>3522</v>
      </c>
      <c r="B1385" s="1">
        <v>42115</v>
      </c>
      <c r="C1385" s="1">
        <v>42122</v>
      </c>
      <c r="D1385" t="s">
        <v>40</v>
      </c>
      <c r="E1385" t="s">
        <v>3276</v>
      </c>
      <c r="F1385" t="s">
        <v>3277</v>
      </c>
      <c r="G1385" t="s">
        <v>25</v>
      </c>
      <c r="H1385" t="s">
        <v>26</v>
      </c>
      <c r="I1385" t="s">
        <v>866</v>
      </c>
      <c r="J1385" t="s">
        <v>28</v>
      </c>
      <c r="K1385" t="s">
        <v>29</v>
      </c>
      <c r="L1385" t="s">
        <v>357</v>
      </c>
      <c r="M1385" t="s">
        <v>31</v>
      </c>
      <c r="N1385" t="s">
        <v>37</v>
      </c>
      <c r="O1385" t="s">
        <v>358</v>
      </c>
      <c r="P1385">
        <v>191.96</v>
      </c>
      <c r="Q1385">
        <v>2</v>
      </c>
      <c r="R1385">
        <v>0</v>
      </c>
      <c r="S1385">
        <v>51.8292</v>
      </c>
      <c r="T1385" t="s">
        <v>48</v>
      </c>
      <c r="U1385" t="s">
        <v>114</v>
      </c>
    </row>
    <row r="1386" spans="1:21" x14ac:dyDescent="0.25">
      <c r="A1386" t="s">
        <v>3522</v>
      </c>
      <c r="B1386" s="1">
        <v>42115</v>
      </c>
      <c r="C1386" s="1">
        <v>42122</v>
      </c>
      <c r="D1386" t="s">
        <v>40</v>
      </c>
      <c r="E1386" t="s">
        <v>3276</v>
      </c>
      <c r="F1386" t="s">
        <v>3277</v>
      </c>
      <c r="G1386" t="s">
        <v>25</v>
      </c>
      <c r="H1386" t="s">
        <v>26</v>
      </c>
      <c r="I1386" t="s">
        <v>866</v>
      </c>
      <c r="J1386" t="s">
        <v>28</v>
      </c>
      <c r="K1386" t="s">
        <v>29</v>
      </c>
      <c r="L1386" t="s">
        <v>726</v>
      </c>
      <c r="M1386" t="s">
        <v>31</v>
      </c>
      <c r="N1386" t="s">
        <v>57</v>
      </c>
      <c r="O1386" t="s">
        <v>727</v>
      </c>
      <c r="P1386">
        <v>209.88</v>
      </c>
      <c r="Q1386">
        <v>3</v>
      </c>
      <c r="R1386">
        <v>0</v>
      </c>
      <c r="S1386">
        <v>35.679600000000001</v>
      </c>
      <c r="T1386" t="s">
        <v>48</v>
      </c>
      <c r="U1386" t="s">
        <v>114</v>
      </c>
    </row>
    <row r="1387" spans="1:21" x14ac:dyDescent="0.25">
      <c r="A1387" t="s">
        <v>3523</v>
      </c>
      <c r="B1387" s="1">
        <v>42538</v>
      </c>
      <c r="C1387" s="1">
        <v>42540</v>
      </c>
      <c r="D1387" t="s">
        <v>88</v>
      </c>
      <c r="E1387" t="s">
        <v>3524</v>
      </c>
      <c r="F1387" t="s">
        <v>3525</v>
      </c>
      <c r="G1387" t="s">
        <v>25</v>
      </c>
      <c r="H1387" t="s">
        <v>26</v>
      </c>
      <c r="I1387" t="s">
        <v>53</v>
      </c>
      <c r="J1387" t="s">
        <v>54</v>
      </c>
      <c r="K1387" t="s">
        <v>55</v>
      </c>
      <c r="L1387" t="s">
        <v>2623</v>
      </c>
      <c r="M1387" t="s">
        <v>31</v>
      </c>
      <c r="N1387" t="s">
        <v>32</v>
      </c>
      <c r="O1387" t="s">
        <v>2624</v>
      </c>
      <c r="P1387">
        <v>239.666</v>
      </c>
      <c r="Q1387">
        <v>2</v>
      </c>
      <c r="R1387">
        <v>0.15</v>
      </c>
      <c r="S1387">
        <v>14.098000000000001</v>
      </c>
      <c r="T1387" t="s">
        <v>71</v>
      </c>
      <c r="U1387" t="s">
        <v>60</v>
      </c>
    </row>
    <row r="1388" spans="1:21" x14ac:dyDescent="0.25">
      <c r="A1388" t="s">
        <v>3526</v>
      </c>
      <c r="B1388" s="1">
        <v>42748</v>
      </c>
      <c r="C1388" s="1">
        <v>42753</v>
      </c>
      <c r="D1388" t="s">
        <v>22</v>
      </c>
      <c r="E1388" t="s">
        <v>2059</v>
      </c>
      <c r="F1388" t="s">
        <v>2060</v>
      </c>
      <c r="G1388" t="s">
        <v>91</v>
      </c>
      <c r="H1388" t="s">
        <v>26</v>
      </c>
      <c r="I1388" t="s">
        <v>879</v>
      </c>
      <c r="J1388" t="s">
        <v>566</v>
      </c>
      <c r="K1388" t="s">
        <v>94</v>
      </c>
      <c r="L1388" t="s">
        <v>2480</v>
      </c>
      <c r="M1388" t="s">
        <v>31</v>
      </c>
      <c r="N1388" t="s">
        <v>32</v>
      </c>
      <c r="O1388" t="s">
        <v>2481</v>
      </c>
      <c r="P1388">
        <v>212.94</v>
      </c>
      <c r="Q1388">
        <v>3</v>
      </c>
      <c r="R1388">
        <v>0</v>
      </c>
      <c r="S1388">
        <v>53.234999999999999</v>
      </c>
      <c r="T1388" t="s">
        <v>59</v>
      </c>
      <c r="U1388" t="s">
        <v>170</v>
      </c>
    </row>
    <row r="1389" spans="1:21" x14ac:dyDescent="0.25">
      <c r="A1389" t="s">
        <v>3527</v>
      </c>
      <c r="B1389" s="1">
        <v>41888</v>
      </c>
      <c r="C1389" s="1">
        <v>41891</v>
      </c>
      <c r="D1389" t="s">
        <v>88</v>
      </c>
      <c r="E1389" t="s">
        <v>3528</v>
      </c>
      <c r="F1389" t="s">
        <v>3529</v>
      </c>
      <c r="G1389" t="s">
        <v>91</v>
      </c>
      <c r="H1389" t="s">
        <v>26</v>
      </c>
      <c r="I1389" t="s">
        <v>329</v>
      </c>
      <c r="J1389" t="s">
        <v>54</v>
      </c>
      <c r="K1389" t="s">
        <v>55</v>
      </c>
      <c r="L1389" t="s">
        <v>56</v>
      </c>
      <c r="M1389" t="s">
        <v>31</v>
      </c>
      <c r="N1389" t="s">
        <v>57</v>
      </c>
      <c r="O1389" t="s">
        <v>58</v>
      </c>
      <c r="P1389">
        <v>41.88</v>
      </c>
      <c r="Q1389">
        <v>6</v>
      </c>
      <c r="R1389">
        <v>0</v>
      </c>
      <c r="S1389">
        <v>12.145200000000001</v>
      </c>
      <c r="T1389" t="s">
        <v>34</v>
      </c>
      <c r="U1389" t="s">
        <v>78</v>
      </c>
    </row>
    <row r="1390" spans="1:21" x14ac:dyDescent="0.25">
      <c r="A1390" t="s">
        <v>3530</v>
      </c>
      <c r="B1390" s="1">
        <v>42023</v>
      </c>
      <c r="C1390" s="1">
        <v>42027</v>
      </c>
      <c r="D1390" t="s">
        <v>40</v>
      </c>
      <c r="E1390" t="s">
        <v>3531</v>
      </c>
      <c r="F1390" t="s">
        <v>3532</v>
      </c>
      <c r="G1390" t="s">
        <v>25</v>
      </c>
      <c r="H1390" t="s">
        <v>26</v>
      </c>
      <c r="I1390" t="s">
        <v>3533</v>
      </c>
      <c r="J1390" t="s">
        <v>93</v>
      </c>
      <c r="K1390" t="s">
        <v>94</v>
      </c>
      <c r="L1390" t="s">
        <v>1628</v>
      </c>
      <c r="M1390" t="s">
        <v>31</v>
      </c>
      <c r="N1390" t="s">
        <v>46</v>
      </c>
      <c r="O1390" t="s">
        <v>1629</v>
      </c>
      <c r="P1390">
        <v>102.438</v>
      </c>
      <c r="Q1390">
        <v>1</v>
      </c>
      <c r="R1390">
        <v>0.3</v>
      </c>
      <c r="S1390">
        <v>-13.1706</v>
      </c>
      <c r="T1390" t="s">
        <v>84</v>
      </c>
      <c r="U1390" t="s">
        <v>170</v>
      </c>
    </row>
    <row r="1391" spans="1:21" x14ac:dyDescent="0.25">
      <c r="A1391" t="s">
        <v>3530</v>
      </c>
      <c r="B1391" s="1">
        <v>42023</v>
      </c>
      <c r="C1391" s="1">
        <v>42027</v>
      </c>
      <c r="D1391" t="s">
        <v>40</v>
      </c>
      <c r="E1391" t="s">
        <v>3531</v>
      </c>
      <c r="F1391" t="s">
        <v>3532</v>
      </c>
      <c r="G1391" t="s">
        <v>25</v>
      </c>
      <c r="H1391" t="s">
        <v>26</v>
      </c>
      <c r="I1391" t="s">
        <v>3533</v>
      </c>
      <c r="J1391" t="s">
        <v>93</v>
      </c>
      <c r="K1391" t="s">
        <v>94</v>
      </c>
      <c r="L1391" t="s">
        <v>2195</v>
      </c>
      <c r="M1391" t="s">
        <v>31</v>
      </c>
      <c r="N1391" t="s">
        <v>37</v>
      </c>
      <c r="O1391" t="s">
        <v>2196</v>
      </c>
      <c r="P1391">
        <v>199.304</v>
      </c>
      <c r="Q1391">
        <v>4</v>
      </c>
      <c r="R1391">
        <v>0.3</v>
      </c>
      <c r="S1391">
        <v>-8.5416000000000007</v>
      </c>
      <c r="T1391" t="s">
        <v>84</v>
      </c>
      <c r="U1391" t="s">
        <v>170</v>
      </c>
    </row>
    <row r="1392" spans="1:21" x14ac:dyDescent="0.25">
      <c r="A1392" t="s">
        <v>3534</v>
      </c>
      <c r="B1392" s="1">
        <v>42729</v>
      </c>
      <c r="C1392" s="1">
        <v>42734</v>
      </c>
      <c r="D1392" t="s">
        <v>40</v>
      </c>
      <c r="E1392" t="s">
        <v>1610</v>
      </c>
      <c r="F1392" t="s">
        <v>1611</v>
      </c>
      <c r="G1392" t="s">
        <v>25</v>
      </c>
      <c r="H1392" t="s">
        <v>26</v>
      </c>
      <c r="I1392" t="s">
        <v>192</v>
      </c>
      <c r="J1392" t="s">
        <v>193</v>
      </c>
      <c r="K1392" t="s">
        <v>55</v>
      </c>
      <c r="L1392" t="s">
        <v>1307</v>
      </c>
      <c r="M1392" t="s">
        <v>31</v>
      </c>
      <c r="N1392" t="s">
        <v>37</v>
      </c>
      <c r="O1392" t="s">
        <v>1308</v>
      </c>
      <c r="P1392">
        <v>698.35199999999998</v>
      </c>
      <c r="Q1392">
        <v>3</v>
      </c>
      <c r="R1392">
        <v>0.2</v>
      </c>
      <c r="S1392">
        <v>52.376399999999997</v>
      </c>
      <c r="T1392" t="s">
        <v>59</v>
      </c>
      <c r="U1392" t="s">
        <v>97</v>
      </c>
    </row>
    <row r="1393" spans="1:21" x14ac:dyDescent="0.25">
      <c r="A1393" t="s">
        <v>3534</v>
      </c>
      <c r="B1393" s="1">
        <v>42729</v>
      </c>
      <c r="C1393" s="1">
        <v>42734</v>
      </c>
      <c r="D1393" t="s">
        <v>40</v>
      </c>
      <c r="E1393" t="s">
        <v>1610</v>
      </c>
      <c r="F1393" t="s">
        <v>1611</v>
      </c>
      <c r="G1393" t="s">
        <v>25</v>
      </c>
      <c r="H1393" t="s">
        <v>26</v>
      </c>
      <c r="I1393" t="s">
        <v>192</v>
      </c>
      <c r="J1393" t="s">
        <v>193</v>
      </c>
      <c r="K1393" t="s">
        <v>55</v>
      </c>
      <c r="L1393" t="s">
        <v>1462</v>
      </c>
      <c r="M1393" t="s">
        <v>31</v>
      </c>
      <c r="N1393" t="s">
        <v>46</v>
      </c>
      <c r="O1393" t="s">
        <v>1463</v>
      </c>
      <c r="P1393">
        <v>1747.25</v>
      </c>
      <c r="Q1393">
        <v>5</v>
      </c>
      <c r="R1393">
        <v>0</v>
      </c>
      <c r="S1393">
        <v>629.01</v>
      </c>
      <c r="T1393" t="s">
        <v>59</v>
      </c>
      <c r="U1393" t="s">
        <v>97</v>
      </c>
    </row>
    <row r="1394" spans="1:21" x14ac:dyDescent="0.25">
      <c r="A1394" t="s">
        <v>3535</v>
      </c>
      <c r="B1394" s="1">
        <v>41943</v>
      </c>
      <c r="C1394" s="1">
        <v>41945</v>
      </c>
      <c r="D1394" t="s">
        <v>22</v>
      </c>
      <c r="E1394" t="s">
        <v>877</v>
      </c>
      <c r="F1394" t="s">
        <v>878</v>
      </c>
      <c r="G1394" t="s">
        <v>91</v>
      </c>
      <c r="H1394" t="s">
        <v>26</v>
      </c>
      <c r="I1394" t="s">
        <v>870</v>
      </c>
      <c r="J1394" t="s">
        <v>232</v>
      </c>
      <c r="K1394" t="s">
        <v>68</v>
      </c>
      <c r="L1394" t="s">
        <v>1672</v>
      </c>
      <c r="M1394" t="s">
        <v>31</v>
      </c>
      <c r="N1394" t="s">
        <v>46</v>
      </c>
      <c r="O1394" t="s">
        <v>1673</v>
      </c>
      <c r="P1394">
        <v>1421.664</v>
      </c>
      <c r="Q1394">
        <v>8</v>
      </c>
      <c r="R1394">
        <v>0.4</v>
      </c>
      <c r="S1394">
        <v>-734.52639999999997</v>
      </c>
      <c r="T1394" t="s">
        <v>71</v>
      </c>
      <c r="U1394" t="s">
        <v>49</v>
      </c>
    </row>
    <row r="1395" spans="1:21" x14ac:dyDescent="0.25">
      <c r="A1395" t="s">
        <v>3536</v>
      </c>
      <c r="B1395" s="1">
        <v>42719</v>
      </c>
      <c r="C1395" s="1">
        <v>42725</v>
      </c>
      <c r="D1395" t="s">
        <v>40</v>
      </c>
      <c r="E1395" t="s">
        <v>1352</v>
      </c>
      <c r="F1395" t="s">
        <v>1353</v>
      </c>
      <c r="G1395" t="s">
        <v>101</v>
      </c>
      <c r="H1395" t="s">
        <v>26</v>
      </c>
      <c r="I1395" t="s">
        <v>879</v>
      </c>
      <c r="J1395" t="s">
        <v>1518</v>
      </c>
      <c r="K1395" t="s">
        <v>55</v>
      </c>
      <c r="L1395" t="s">
        <v>307</v>
      </c>
      <c r="M1395" t="s">
        <v>31</v>
      </c>
      <c r="N1395" t="s">
        <v>46</v>
      </c>
      <c r="O1395" t="s">
        <v>308</v>
      </c>
      <c r="P1395">
        <v>564.19500000000005</v>
      </c>
      <c r="Q1395">
        <v>3</v>
      </c>
      <c r="R1395">
        <v>0.5</v>
      </c>
      <c r="S1395">
        <v>-304.6653</v>
      </c>
      <c r="T1395" t="s">
        <v>130</v>
      </c>
      <c r="U1395" t="s">
        <v>97</v>
      </c>
    </row>
    <row r="1396" spans="1:21" x14ac:dyDescent="0.25">
      <c r="A1396" t="s">
        <v>3537</v>
      </c>
      <c r="B1396" s="1">
        <v>42986</v>
      </c>
      <c r="C1396" s="1">
        <v>42989</v>
      </c>
      <c r="D1396" t="s">
        <v>88</v>
      </c>
      <c r="E1396" t="s">
        <v>1857</v>
      </c>
      <c r="F1396" t="s">
        <v>1858</v>
      </c>
      <c r="G1396" t="s">
        <v>91</v>
      </c>
      <c r="H1396" t="s">
        <v>26</v>
      </c>
      <c r="I1396" t="s">
        <v>690</v>
      </c>
      <c r="J1396" t="s">
        <v>93</v>
      </c>
      <c r="K1396" t="s">
        <v>94</v>
      </c>
      <c r="L1396" t="s">
        <v>944</v>
      </c>
      <c r="M1396" t="s">
        <v>31</v>
      </c>
      <c r="N1396" t="s">
        <v>57</v>
      </c>
      <c r="O1396" t="s">
        <v>945</v>
      </c>
      <c r="P1396">
        <v>21.184000000000001</v>
      </c>
      <c r="Q1396">
        <v>2</v>
      </c>
      <c r="R1396">
        <v>0.6</v>
      </c>
      <c r="S1396">
        <v>-11.651199999999999</v>
      </c>
      <c r="T1396" t="s">
        <v>34</v>
      </c>
      <c r="U1396" t="s">
        <v>78</v>
      </c>
    </row>
    <row r="1397" spans="1:21" x14ac:dyDescent="0.25">
      <c r="A1397" t="s">
        <v>3537</v>
      </c>
      <c r="B1397" s="1">
        <v>42986</v>
      </c>
      <c r="C1397" s="1">
        <v>42989</v>
      </c>
      <c r="D1397" t="s">
        <v>88</v>
      </c>
      <c r="E1397" t="s">
        <v>1857</v>
      </c>
      <c r="F1397" t="s">
        <v>1858</v>
      </c>
      <c r="G1397" t="s">
        <v>91</v>
      </c>
      <c r="H1397" t="s">
        <v>26</v>
      </c>
      <c r="I1397" t="s">
        <v>690</v>
      </c>
      <c r="J1397" t="s">
        <v>93</v>
      </c>
      <c r="K1397" t="s">
        <v>94</v>
      </c>
      <c r="L1397" t="s">
        <v>2429</v>
      </c>
      <c r="M1397" t="s">
        <v>31</v>
      </c>
      <c r="N1397" t="s">
        <v>37</v>
      </c>
      <c r="O1397" t="s">
        <v>2430</v>
      </c>
      <c r="P1397">
        <v>213.43</v>
      </c>
      <c r="Q1397">
        <v>5</v>
      </c>
      <c r="R1397">
        <v>0.3</v>
      </c>
      <c r="S1397">
        <v>-39.637</v>
      </c>
      <c r="T1397" t="s">
        <v>34</v>
      </c>
      <c r="U1397" t="s">
        <v>78</v>
      </c>
    </row>
    <row r="1398" spans="1:21" x14ac:dyDescent="0.25">
      <c r="A1398" t="s">
        <v>3538</v>
      </c>
      <c r="B1398" s="1">
        <v>42786</v>
      </c>
      <c r="C1398" s="1">
        <v>42793</v>
      </c>
      <c r="D1398" t="s">
        <v>40</v>
      </c>
      <c r="E1398" t="s">
        <v>2296</v>
      </c>
      <c r="F1398" t="s">
        <v>2297</v>
      </c>
      <c r="G1398" t="s">
        <v>101</v>
      </c>
      <c r="H1398" t="s">
        <v>26</v>
      </c>
      <c r="I1398" t="s">
        <v>2034</v>
      </c>
      <c r="J1398" t="s">
        <v>521</v>
      </c>
      <c r="K1398" t="s">
        <v>55</v>
      </c>
      <c r="L1398" t="s">
        <v>746</v>
      </c>
      <c r="M1398" t="s">
        <v>31</v>
      </c>
      <c r="N1398" t="s">
        <v>57</v>
      </c>
      <c r="O1398" t="s">
        <v>747</v>
      </c>
      <c r="P1398">
        <v>68.703999999999994</v>
      </c>
      <c r="Q1398">
        <v>2</v>
      </c>
      <c r="R1398">
        <v>0.2</v>
      </c>
      <c r="S1398">
        <v>16.3172</v>
      </c>
      <c r="T1398" t="s">
        <v>48</v>
      </c>
      <c r="U1398" t="s">
        <v>298</v>
      </c>
    </row>
    <row r="1399" spans="1:21" x14ac:dyDescent="0.25">
      <c r="A1399" t="s">
        <v>3538</v>
      </c>
      <c r="B1399" s="1">
        <v>42786</v>
      </c>
      <c r="C1399" s="1">
        <v>42793</v>
      </c>
      <c r="D1399" t="s">
        <v>40</v>
      </c>
      <c r="E1399" t="s">
        <v>2296</v>
      </c>
      <c r="F1399" t="s">
        <v>2297</v>
      </c>
      <c r="G1399" t="s">
        <v>101</v>
      </c>
      <c r="H1399" t="s">
        <v>26</v>
      </c>
      <c r="I1399" t="s">
        <v>2034</v>
      </c>
      <c r="J1399" t="s">
        <v>521</v>
      </c>
      <c r="K1399" t="s">
        <v>55</v>
      </c>
      <c r="L1399" t="s">
        <v>1260</v>
      </c>
      <c r="M1399" t="s">
        <v>31</v>
      </c>
      <c r="N1399" t="s">
        <v>46</v>
      </c>
      <c r="O1399" t="s">
        <v>1064</v>
      </c>
      <c r="P1399">
        <v>386.91</v>
      </c>
      <c r="Q1399">
        <v>9</v>
      </c>
      <c r="R1399">
        <v>0.5</v>
      </c>
      <c r="S1399">
        <v>-185.71680000000001</v>
      </c>
      <c r="T1399" t="s">
        <v>48</v>
      </c>
      <c r="U1399" t="s">
        <v>298</v>
      </c>
    </row>
    <row r="1400" spans="1:21" x14ac:dyDescent="0.25">
      <c r="A1400" t="s">
        <v>3539</v>
      </c>
      <c r="B1400" s="1">
        <v>43034</v>
      </c>
      <c r="C1400" s="1">
        <v>43040</v>
      </c>
      <c r="D1400" t="s">
        <v>40</v>
      </c>
      <c r="E1400" t="s">
        <v>611</v>
      </c>
      <c r="F1400" t="s">
        <v>612</v>
      </c>
      <c r="G1400" t="s">
        <v>25</v>
      </c>
      <c r="H1400" t="s">
        <v>26</v>
      </c>
      <c r="I1400" t="s">
        <v>3540</v>
      </c>
      <c r="J1400" t="s">
        <v>717</v>
      </c>
      <c r="K1400" t="s">
        <v>29</v>
      </c>
      <c r="L1400" t="s">
        <v>908</v>
      </c>
      <c r="M1400" t="s">
        <v>31</v>
      </c>
      <c r="N1400" t="s">
        <v>46</v>
      </c>
      <c r="O1400" t="s">
        <v>909</v>
      </c>
      <c r="P1400">
        <v>356.85</v>
      </c>
      <c r="Q1400">
        <v>5</v>
      </c>
      <c r="R1400">
        <v>0</v>
      </c>
      <c r="S1400">
        <v>60.664499999999997</v>
      </c>
      <c r="T1400" t="s">
        <v>130</v>
      </c>
      <c r="U1400" t="s">
        <v>49</v>
      </c>
    </row>
    <row r="1401" spans="1:21" x14ac:dyDescent="0.25">
      <c r="A1401" t="s">
        <v>3541</v>
      </c>
      <c r="B1401" s="1">
        <v>42867</v>
      </c>
      <c r="C1401" s="1">
        <v>42869</v>
      </c>
      <c r="D1401" t="s">
        <v>22</v>
      </c>
      <c r="E1401" t="s">
        <v>619</v>
      </c>
      <c r="F1401" t="s">
        <v>620</v>
      </c>
      <c r="G1401" t="s">
        <v>25</v>
      </c>
      <c r="H1401" t="s">
        <v>26</v>
      </c>
      <c r="I1401" t="s">
        <v>1296</v>
      </c>
      <c r="J1401" t="s">
        <v>363</v>
      </c>
      <c r="K1401" t="s">
        <v>68</v>
      </c>
      <c r="L1401" t="s">
        <v>2902</v>
      </c>
      <c r="M1401" t="s">
        <v>31</v>
      </c>
      <c r="N1401" t="s">
        <v>57</v>
      </c>
      <c r="O1401" t="s">
        <v>2903</v>
      </c>
      <c r="P1401">
        <v>42.85</v>
      </c>
      <c r="Q1401">
        <v>5</v>
      </c>
      <c r="R1401">
        <v>0</v>
      </c>
      <c r="S1401">
        <v>15.426</v>
      </c>
      <c r="T1401" t="s">
        <v>71</v>
      </c>
      <c r="U1401" t="s">
        <v>162</v>
      </c>
    </row>
    <row r="1402" spans="1:21" x14ac:dyDescent="0.25">
      <c r="A1402" t="s">
        <v>3542</v>
      </c>
      <c r="B1402" s="1">
        <v>42252</v>
      </c>
      <c r="C1402" s="1">
        <v>42259</v>
      </c>
      <c r="D1402" t="s">
        <v>40</v>
      </c>
      <c r="E1402" t="s">
        <v>3543</v>
      </c>
      <c r="F1402" t="s">
        <v>3544</v>
      </c>
      <c r="G1402" t="s">
        <v>101</v>
      </c>
      <c r="H1402" t="s">
        <v>26</v>
      </c>
      <c r="I1402" t="s">
        <v>3545</v>
      </c>
      <c r="J1402" t="s">
        <v>717</v>
      </c>
      <c r="K1402" t="s">
        <v>29</v>
      </c>
      <c r="L1402" t="s">
        <v>3546</v>
      </c>
      <c r="M1402" t="s">
        <v>31</v>
      </c>
      <c r="N1402" t="s">
        <v>57</v>
      </c>
      <c r="O1402" t="s">
        <v>3547</v>
      </c>
      <c r="P1402">
        <v>67.959999999999994</v>
      </c>
      <c r="Q1402">
        <v>4</v>
      </c>
      <c r="R1402">
        <v>0</v>
      </c>
      <c r="S1402">
        <v>12.232799999999999</v>
      </c>
      <c r="T1402" t="s">
        <v>48</v>
      </c>
      <c r="U1402" t="s">
        <v>78</v>
      </c>
    </row>
    <row r="1403" spans="1:21" x14ac:dyDescent="0.25">
      <c r="A1403" t="s">
        <v>3548</v>
      </c>
      <c r="B1403" s="1">
        <v>41922</v>
      </c>
      <c r="C1403" s="1">
        <v>41926</v>
      </c>
      <c r="D1403" t="s">
        <v>40</v>
      </c>
      <c r="E1403" t="s">
        <v>1258</v>
      </c>
      <c r="F1403" t="s">
        <v>1259</v>
      </c>
      <c r="G1403" t="s">
        <v>101</v>
      </c>
      <c r="H1403" t="s">
        <v>26</v>
      </c>
      <c r="I1403" t="s">
        <v>520</v>
      </c>
      <c r="J1403" t="s">
        <v>521</v>
      </c>
      <c r="K1403" t="s">
        <v>55</v>
      </c>
      <c r="L1403" t="s">
        <v>1148</v>
      </c>
      <c r="M1403" t="s">
        <v>31</v>
      </c>
      <c r="N1403" t="s">
        <v>57</v>
      </c>
      <c r="O1403" t="s">
        <v>1149</v>
      </c>
      <c r="P1403">
        <v>46.872</v>
      </c>
      <c r="Q1403">
        <v>7</v>
      </c>
      <c r="R1403">
        <v>0.2</v>
      </c>
      <c r="S1403">
        <v>3.5154000000000001</v>
      </c>
      <c r="T1403" t="s">
        <v>84</v>
      </c>
      <c r="U1403" t="s">
        <v>49</v>
      </c>
    </row>
    <row r="1404" spans="1:21" x14ac:dyDescent="0.25">
      <c r="A1404" t="s">
        <v>3549</v>
      </c>
      <c r="B1404" s="1">
        <v>41948</v>
      </c>
      <c r="C1404" s="1">
        <v>41953</v>
      </c>
      <c r="D1404" t="s">
        <v>40</v>
      </c>
      <c r="E1404" t="s">
        <v>2444</v>
      </c>
      <c r="F1404" t="s">
        <v>2445</v>
      </c>
      <c r="G1404" t="s">
        <v>101</v>
      </c>
      <c r="H1404" t="s">
        <v>26</v>
      </c>
      <c r="I1404" t="s">
        <v>53</v>
      </c>
      <c r="J1404" t="s">
        <v>54</v>
      </c>
      <c r="K1404" t="s">
        <v>55</v>
      </c>
      <c r="L1404" t="s">
        <v>2426</v>
      </c>
      <c r="M1404" t="s">
        <v>31</v>
      </c>
      <c r="N1404" t="s">
        <v>57</v>
      </c>
      <c r="O1404" t="s">
        <v>2427</v>
      </c>
      <c r="P1404">
        <v>20.04</v>
      </c>
      <c r="Q1404">
        <v>6</v>
      </c>
      <c r="R1404">
        <v>0</v>
      </c>
      <c r="S1404">
        <v>8.8176000000000005</v>
      </c>
      <c r="T1404" t="s">
        <v>59</v>
      </c>
      <c r="U1404" t="s">
        <v>35</v>
      </c>
    </row>
    <row r="1405" spans="1:21" x14ac:dyDescent="0.25">
      <c r="A1405" t="s">
        <v>3550</v>
      </c>
      <c r="B1405" s="1">
        <v>42355</v>
      </c>
      <c r="C1405" s="1">
        <v>42360</v>
      </c>
      <c r="D1405" t="s">
        <v>40</v>
      </c>
      <c r="E1405" t="s">
        <v>1373</v>
      </c>
      <c r="F1405" t="s">
        <v>1374</v>
      </c>
      <c r="G1405" t="s">
        <v>25</v>
      </c>
      <c r="H1405" t="s">
        <v>26</v>
      </c>
      <c r="I1405" t="s">
        <v>212</v>
      </c>
      <c r="J1405" t="s">
        <v>135</v>
      </c>
      <c r="K1405" t="s">
        <v>94</v>
      </c>
      <c r="L1405" t="s">
        <v>880</v>
      </c>
      <c r="M1405" t="s">
        <v>31</v>
      </c>
      <c r="N1405" t="s">
        <v>57</v>
      </c>
      <c r="O1405" t="s">
        <v>881</v>
      </c>
      <c r="P1405">
        <v>41.552</v>
      </c>
      <c r="Q1405">
        <v>2</v>
      </c>
      <c r="R1405">
        <v>0.6</v>
      </c>
      <c r="S1405">
        <v>-19.737200000000001</v>
      </c>
      <c r="T1405" t="s">
        <v>59</v>
      </c>
      <c r="U1405" t="s">
        <v>97</v>
      </c>
    </row>
    <row r="1406" spans="1:21" x14ac:dyDescent="0.25">
      <c r="A1406" t="s">
        <v>3551</v>
      </c>
      <c r="B1406" s="1">
        <v>42937</v>
      </c>
      <c r="C1406" s="1">
        <v>42941</v>
      </c>
      <c r="D1406" t="s">
        <v>40</v>
      </c>
      <c r="E1406" t="s">
        <v>1904</v>
      </c>
      <c r="F1406" t="s">
        <v>1905</v>
      </c>
      <c r="G1406" t="s">
        <v>25</v>
      </c>
      <c r="H1406" t="s">
        <v>26</v>
      </c>
      <c r="I1406" t="s">
        <v>640</v>
      </c>
      <c r="J1406" t="s">
        <v>54</v>
      </c>
      <c r="K1406" t="s">
        <v>55</v>
      </c>
      <c r="L1406" t="s">
        <v>1533</v>
      </c>
      <c r="M1406" t="s">
        <v>31</v>
      </c>
      <c r="N1406" t="s">
        <v>37</v>
      </c>
      <c r="O1406" t="s">
        <v>1534</v>
      </c>
      <c r="P1406">
        <v>225.29599999999999</v>
      </c>
      <c r="Q1406">
        <v>2</v>
      </c>
      <c r="R1406">
        <v>0.2</v>
      </c>
      <c r="S1406">
        <v>22.529599999999999</v>
      </c>
      <c r="T1406" t="s">
        <v>84</v>
      </c>
      <c r="U1406" t="s">
        <v>72</v>
      </c>
    </row>
    <row r="1407" spans="1:21" x14ac:dyDescent="0.25">
      <c r="A1407" t="s">
        <v>3552</v>
      </c>
      <c r="B1407" s="1">
        <v>42144</v>
      </c>
      <c r="C1407" s="1">
        <v>42148</v>
      </c>
      <c r="D1407" t="s">
        <v>40</v>
      </c>
      <c r="E1407" t="s">
        <v>1369</v>
      </c>
      <c r="F1407" t="s">
        <v>1370</v>
      </c>
      <c r="G1407" t="s">
        <v>25</v>
      </c>
      <c r="H1407" t="s">
        <v>26</v>
      </c>
      <c r="I1407" t="s">
        <v>3553</v>
      </c>
      <c r="J1407" t="s">
        <v>1037</v>
      </c>
      <c r="K1407" t="s">
        <v>29</v>
      </c>
      <c r="L1407" t="s">
        <v>1538</v>
      </c>
      <c r="M1407" t="s">
        <v>31</v>
      </c>
      <c r="N1407" t="s">
        <v>57</v>
      </c>
      <c r="O1407" t="s">
        <v>1539</v>
      </c>
      <c r="P1407">
        <v>163.136</v>
      </c>
      <c r="Q1407">
        <v>4</v>
      </c>
      <c r="R1407">
        <v>0.2</v>
      </c>
      <c r="S1407">
        <v>20.391999999999999</v>
      </c>
      <c r="T1407" t="s">
        <v>84</v>
      </c>
      <c r="U1407" t="s">
        <v>162</v>
      </c>
    </row>
    <row r="1408" spans="1:21" x14ac:dyDescent="0.25">
      <c r="A1408" t="s">
        <v>3554</v>
      </c>
      <c r="B1408" s="1">
        <v>42322</v>
      </c>
      <c r="C1408" s="1">
        <v>42327</v>
      </c>
      <c r="D1408" t="s">
        <v>40</v>
      </c>
      <c r="E1408" t="s">
        <v>2791</v>
      </c>
      <c r="F1408" t="s">
        <v>2792</v>
      </c>
      <c r="G1408" t="s">
        <v>25</v>
      </c>
      <c r="H1408" t="s">
        <v>26</v>
      </c>
      <c r="I1408" t="s">
        <v>3555</v>
      </c>
      <c r="J1408" t="s">
        <v>1897</v>
      </c>
      <c r="K1408" t="s">
        <v>55</v>
      </c>
      <c r="L1408" t="s">
        <v>247</v>
      </c>
      <c r="M1408" t="s">
        <v>31</v>
      </c>
      <c r="N1408" t="s">
        <v>37</v>
      </c>
      <c r="O1408" t="s">
        <v>248</v>
      </c>
      <c r="P1408">
        <v>883.84</v>
      </c>
      <c r="Q1408">
        <v>4</v>
      </c>
      <c r="R1408">
        <v>0.2</v>
      </c>
      <c r="S1408">
        <v>99.432000000000002</v>
      </c>
      <c r="T1408" t="s">
        <v>59</v>
      </c>
      <c r="U1408" t="s">
        <v>35</v>
      </c>
    </row>
    <row r="1409" spans="1:21" x14ac:dyDescent="0.25">
      <c r="A1409" t="s">
        <v>3554</v>
      </c>
      <c r="B1409" s="1">
        <v>42322</v>
      </c>
      <c r="C1409" s="1">
        <v>42327</v>
      </c>
      <c r="D1409" t="s">
        <v>40</v>
      </c>
      <c r="E1409" t="s">
        <v>2791</v>
      </c>
      <c r="F1409" t="s">
        <v>2792</v>
      </c>
      <c r="G1409" t="s">
        <v>25</v>
      </c>
      <c r="H1409" t="s">
        <v>26</v>
      </c>
      <c r="I1409" t="s">
        <v>3555</v>
      </c>
      <c r="J1409" t="s">
        <v>1897</v>
      </c>
      <c r="K1409" t="s">
        <v>55</v>
      </c>
      <c r="L1409" t="s">
        <v>357</v>
      </c>
      <c r="M1409" t="s">
        <v>31</v>
      </c>
      <c r="N1409" t="s">
        <v>37</v>
      </c>
      <c r="O1409" t="s">
        <v>358</v>
      </c>
      <c r="P1409">
        <v>230.352</v>
      </c>
      <c r="Q1409">
        <v>3</v>
      </c>
      <c r="R1409">
        <v>0.2</v>
      </c>
      <c r="S1409">
        <v>20.155799999999999</v>
      </c>
      <c r="T1409" t="s">
        <v>59</v>
      </c>
      <c r="U1409" t="s">
        <v>35</v>
      </c>
    </row>
    <row r="1410" spans="1:21" x14ac:dyDescent="0.25">
      <c r="A1410" t="s">
        <v>3556</v>
      </c>
      <c r="B1410" s="1">
        <v>43083</v>
      </c>
      <c r="C1410" s="1">
        <v>43083</v>
      </c>
      <c r="D1410" t="s">
        <v>426</v>
      </c>
      <c r="E1410" t="s">
        <v>241</v>
      </c>
      <c r="F1410" t="s">
        <v>242</v>
      </c>
      <c r="G1410" t="s">
        <v>25</v>
      </c>
      <c r="H1410" t="s">
        <v>26</v>
      </c>
      <c r="I1410" t="s">
        <v>2210</v>
      </c>
      <c r="J1410" t="s">
        <v>135</v>
      </c>
      <c r="K1410" t="s">
        <v>94</v>
      </c>
      <c r="L1410" t="s">
        <v>1854</v>
      </c>
      <c r="M1410" t="s">
        <v>31</v>
      </c>
      <c r="N1410" t="s">
        <v>57</v>
      </c>
      <c r="O1410" t="s">
        <v>1855</v>
      </c>
      <c r="P1410">
        <v>266.35199999999998</v>
      </c>
      <c r="Q1410">
        <v>6</v>
      </c>
      <c r="R1410">
        <v>0.6</v>
      </c>
      <c r="S1410">
        <v>-292.98719999999997</v>
      </c>
      <c r="T1410" t="s">
        <v>431</v>
      </c>
      <c r="U1410" t="s">
        <v>97</v>
      </c>
    </row>
    <row r="1411" spans="1:21" x14ac:dyDescent="0.25">
      <c r="A1411" t="s">
        <v>3556</v>
      </c>
      <c r="B1411" s="1">
        <v>43083</v>
      </c>
      <c r="C1411" s="1">
        <v>43083</v>
      </c>
      <c r="D1411" t="s">
        <v>426</v>
      </c>
      <c r="E1411" t="s">
        <v>241</v>
      </c>
      <c r="F1411" t="s">
        <v>242</v>
      </c>
      <c r="G1411" t="s">
        <v>25</v>
      </c>
      <c r="H1411" t="s">
        <v>26</v>
      </c>
      <c r="I1411" t="s">
        <v>2210</v>
      </c>
      <c r="J1411" t="s">
        <v>135</v>
      </c>
      <c r="K1411" t="s">
        <v>94</v>
      </c>
      <c r="L1411" t="s">
        <v>355</v>
      </c>
      <c r="M1411" t="s">
        <v>31</v>
      </c>
      <c r="N1411" t="s">
        <v>57</v>
      </c>
      <c r="O1411" t="s">
        <v>356</v>
      </c>
      <c r="P1411">
        <v>56.328000000000003</v>
      </c>
      <c r="Q1411">
        <v>3</v>
      </c>
      <c r="R1411">
        <v>0.6</v>
      </c>
      <c r="S1411">
        <v>-26.755800000000001</v>
      </c>
      <c r="T1411" t="s">
        <v>431</v>
      </c>
      <c r="U1411" t="s">
        <v>97</v>
      </c>
    </row>
    <row r="1412" spans="1:21" x14ac:dyDescent="0.25">
      <c r="A1412" t="s">
        <v>3557</v>
      </c>
      <c r="B1412" s="1">
        <v>42468</v>
      </c>
      <c r="C1412" s="1">
        <v>42475</v>
      </c>
      <c r="D1412" t="s">
        <v>40</v>
      </c>
      <c r="E1412" t="s">
        <v>749</v>
      </c>
      <c r="F1412" t="s">
        <v>750</v>
      </c>
      <c r="G1412" t="s">
        <v>101</v>
      </c>
      <c r="H1412" t="s">
        <v>26</v>
      </c>
      <c r="I1412" t="s">
        <v>3558</v>
      </c>
      <c r="J1412" t="s">
        <v>1059</v>
      </c>
      <c r="K1412" t="s">
        <v>29</v>
      </c>
      <c r="L1412" t="s">
        <v>1124</v>
      </c>
      <c r="M1412" t="s">
        <v>31</v>
      </c>
      <c r="N1412" t="s">
        <v>57</v>
      </c>
      <c r="O1412" t="s">
        <v>1125</v>
      </c>
      <c r="P1412">
        <v>159.91999999999999</v>
      </c>
      <c r="Q1412">
        <v>4</v>
      </c>
      <c r="R1412">
        <v>0</v>
      </c>
      <c r="S1412">
        <v>31.984000000000002</v>
      </c>
      <c r="T1412" t="s">
        <v>48</v>
      </c>
      <c r="U1412" t="s">
        <v>114</v>
      </c>
    </row>
    <row r="1413" spans="1:21" x14ac:dyDescent="0.25">
      <c r="A1413" t="s">
        <v>3559</v>
      </c>
      <c r="B1413" s="1">
        <v>42678</v>
      </c>
      <c r="C1413" s="1">
        <v>42683</v>
      </c>
      <c r="D1413" t="s">
        <v>40</v>
      </c>
      <c r="E1413" t="s">
        <v>2530</v>
      </c>
      <c r="F1413" t="s">
        <v>2531</v>
      </c>
      <c r="G1413" t="s">
        <v>91</v>
      </c>
      <c r="H1413" t="s">
        <v>26</v>
      </c>
      <c r="I1413" t="s">
        <v>1007</v>
      </c>
      <c r="J1413" t="s">
        <v>44</v>
      </c>
      <c r="K1413" t="s">
        <v>29</v>
      </c>
      <c r="L1413" t="s">
        <v>1578</v>
      </c>
      <c r="M1413" t="s">
        <v>31</v>
      </c>
      <c r="N1413" t="s">
        <v>57</v>
      </c>
      <c r="O1413" t="s">
        <v>1579</v>
      </c>
      <c r="P1413">
        <v>50.496000000000002</v>
      </c>
      <c r="Q1413">
        <v>6</v>
      </c>
      <c r="R1413">
        <v>0.2</v>
      </c>
      <c r="S1413">
        <v>8.2056000000000004</v>
      </c>
      <c r="T1413" t="s">
        <v>59</v>
      </c>
      <c r="U1413" t="s">
        <v>35</v>
      </c>
    </row>
    <row r="1414" spans="1:21" x14ac:dyDescent="0.25">
      <c r="A1414" t="s">
        <v>3560</v>
      </c>
      <c r="B1414" s="1">
        <v>42173</v>
      </c>
      <c r="C1414" s="1">
        <v>42175</v>
      </c>
      <c r="D1414" t="s">
        <v>88</v>
      </c>
      <c r="E1414" t="s">
        <v>799</v>
      </c>
      <c r="F1414" t="s">
        <v>800</v>
      </c>
      <c r="G1414" t="s">
        <v>91</v>
      </c>
      <c r="H1414" t="s">
        <v>26</v>
      </c>
      <c r="I1414" t="s">
        <v>1243</v>
      </c>
      <c r="J1414" t="s">
        <v>142</v>
      </c>
      <c r="K1414" t="s">
        <v>29</v>
      </c>
      <c r="L1414" t="s">
        <v>330</v>
      </c>
      <c r="M1414" t="s">
        <v>31</v>
      </c>
      <c r="N1414" t="s">
        <v>37</v>
      </c>
      <c r="O1414" t="s">
        <v>331</v>
      </c>
      <c r="P1414">
        <v>643.13599999999997</v>
      </c>
      <c r="Q1414">
        <v>4</v>
      </c>
      <c r="R1414">
        <v>0.2</v>
      </c>
      <c r="S1414">
        <v>56.2744</v>
      </c>
      <c r="T1414" t="s">
        <v>71</v>
      </c>
      <c r="U1414" t="s">
        <v>60</v>
      </c>
    </row>
    <row r="1415" spans="1:21" x14ac:dyDescent="0.25">
      <c r="A1415" t="s">
        <v>3561</v>
      </c>
      <c r="B1415" s="1">
        <v>41785</v>
      </c>
      <c r="C1415" s="1">
        <v>41790</v>
      </c>
      <c r="D1415" t="s">
        <v>40</v>
      </c>
      <c r="E1415" t="s">
        <v>1442</v>
      </c>
      <c r="F1415" t="s">
        <v>1443</v>
      </c>
      <c r="G1415" t="s">
        <v>25</v>
      </c>
      <c r="H1415" t="s">
        <v>26</v>
      </c>
      <c r="I1415" t="s">
        <v>134</v>
      </c>
      <c r="J1415" t="s">
        <v>135</v>
      </c>
      <c r="K1415" t="s">
        <v>94</v>
      </c>
      <c r="L1415" t="s">
        <v>1601</v>
      </c>
      <c r="M1415" t="s">
        <v>31</v>
      </c>
      <c r="N1415" t="s">
        <v>37</v>
      </c>
      <c r="O1415" t="s">
        <v>1602</v>
      </c>
      <c r="P1415">
        <v>359.77199999999999</v>
      </c>
      <c r="Q1415">
        <v>2</v>
      </c>
      <c r="R1415">
        <v>0.3</v>
      </c>
      <c r="S1415">
        <v>-5.1395999999999997</v>
      </c>
      <c r="T1415" t="s">
        <v>59</v>
      </c>
      <c r="U1415" t="s">
        <v>162</v>
      </c>
    </row>
    <row r="1416" spans="1:21" x14ac:dyDescent="0.25">
      <c r="A1416" t="s">
        <v>3562</v>
      </c>
      <c r="B1416" s="1">
        <v>42922</v>
      </c>
      <c r="C1416" s="1">
        <v>42927</v>
      </c>
      <c r="D1416" t="s">
        <v>40</v>
      </c>
      <c r="E1416" t="s">
        <v>404</v>
      </c>
      <c r="F1416" t="s">
        <v>405</v>
      </c>
      <c r="G1416" t="s">
        <v>25</v>
      </c>
      <c r="H1416" t="s">
        <v>26</v>
      </c>
      <c r="I1416" t="s">
        <v>53</v>
      </c>
      <c r="J1416" t="s">
        <v>54</v>
      </c>
      <c r="K1416" t="s">
        <v>55</v>
      </c>
      <c r="L1416" t="s">
        <v>136</v>
      </c>
      <c r="M1416" t="s">
        <v>31</v>
      </c>
      <c r="N1416" t="s">
        <v>37</v>
      </c>
      <c r="O1416" t="s">
        <v>218</v>
      </c>
      <c r="P1416">
        <v>122.136</v>
      </c>
      <c r="Q1416">
        <v>3</v>
      </c>
      <c r="R1416">
        <v>0.2</v>
      </c>
      <c r="S1416">
        <v>-13.7403</v>
      </c>
      <c r="T1416" t="s">
        <v>59</v>
      </c>
      <c r="U1416" t="s">
        <v>72</v>
      </c>
    </row>
    <row r="1417" spans="1:21" x14ac:dyDescent="0.25">
      <c r="A1417" t="s">
        <v>3563</v>
      </c>
      <c r="B1417" s="1">
        <v>42549</v>
      </c>
      <c r="C1417" s="1">
        <v>42551</v>
      </c>
      <c r="D1417" t="s">
        <v>22</v>
      </c>
      <c r="E1417" t="s">
        <v>2173</v>
      </c>
      <c r="F1417" t="s">
        <v>2174</v>
      </c>
      <c r="G1417" t="s">
        <v>25</v>
      </c>
      <c r="H1417" t="s">
        <v>26</v>
      </c>
      <c r="I1417" t="s">
        <v>3564</v>
      </c>
      <c r="J1417" t="s">
        <v>363</v>
      </c>
      <c r="K1417" t="s">
        <v>68</v>
      </c>
      <c r="L1417" t="s">
        <v>2429</v>
      </c>
      <c r="M1417" t="s">
        <v>31</v>
      </c>
      <c r="N1417" t="s">
        <v>37</v>
      </c>
      <c r="O1417" t="s">
        <v>2430</v>
      </c>
      <c r="P1417">
        <v>121.96</v>
      </c>
      <c r="Q1417">
        <v>2</v>
      </c>
      <c r="R1417">
        <v>0</v>
      </c>
      <c r="S1417">
        <v>20.7332</v>
      </c>
      <c r="T1417" t="s">
        <v>71</v>
      </c>
      <c r="U1417" t="s">
        <v>60</v>
      </c>
    </row>
    <row r="1418" spans="1:21" x14ac:dyDescent="0.25">
      <c r="A1418" t="s">
        <v>3565</v>
      </c>
      <c r="B1418" s="1">
        <v>42993</v>
      </c>
      <c r="C1418" s="1">
        <v>42997</v>
      </c>
      <c r="D1418" t="s">
        <v>40</v>
      </c>
      <c r="E1418" t="s">
        <v>3566</v>
      </c>
      <c r="F1418" t="s">
        <v>3567</v>
      </c>
      <c r="G1418" t="s">
        <v>91</v>
      </c>
      <c r="H1418" t="s">
        <v>26</v>
      </c>
      <c r="I1418" t="s">
        <v>2061</v>
      </c>
      <c r="J1418" t="s">
        <v>363</v>
      </c>
      <c r="K1418" t="s">
        <v>68</v>
      </c>
      <c r="L1418" t="s">
        <v>2205</v>
      </c>
      <c r="M1418" t="s">
        <v>31</v>
      </c>
      <c r="N1418" t="s">
        <v>57</v>
      </c>
      <c r="O1418" t="s">
        <v>2206</v>
      </c>
      <c r="P1418">
        <v>47.4</v>
      </c>
      <c r="Q1418">
        <v>5</v>
      </c>
      <c r="R1418">
        <v>0</v>
      </c>
      <c r="S1418">
        <v>18.96</v>
      </c>
      <c r="T1418" t="s">
        <v>84</v>
      </c>
      <c r="U1418" t="s">
        <v>78</v>
      </c>
    </row>
    <row r="1419" spans="1:21" x14ac:dyDescent="0.25">
      <c r="A1419" t="s">
        <v>3565</v>
      </c>
      <c r="B1419" s="1">
        <v>42993</v>
      </c>
      <c r="C1419" s="1">
        <v>42997</v>
      </c>
      <c r="D1419" t="s">
        <v>40</v>
      </c>
      <c r="E1419" t="s">
        <v>3566</v>
      </c>
      <c r="F1419" t="s">
        <v>3567</v>
      </c>
      <c r="G1419" t="s">
        <v>91</v>
      </c>
      <c r="H1419" t="s">
        <v>26</v>
      </c>
      <c r="I1419" t="s">
        <v>2061</v>
      </c>
      <c r="J1419" t="s">
        <v>363</v>
      </c>
      <c r="K1419" t="s">
        <v>68</v>
      </c>
      <c r="L1419" t="s">
        <v>2574</v>
      </c>
      <c r="M1419" t="s">
        <v>31</v>
      </c>
      <c r="N1419" t="s">
        <v>37</v>
      </c>
      <c r="O1419" t="s">
        <v>2575</v>
      </c>
      <c r="P1419">
        <v>512.96</v>
      </c>
      <c r="Q1419">
        <v>4</v>
      </c>
      <c r="R1419">
        <v>0</v>
      </c>
      <c r="S1419">
        <v>143.62880000000001</v>
      </c>
      <c r="T1419" t="s">
        <v>84</v>
      </c>
      <c r="U1419" t="s">
        <v>78</v>
      </c>
    </row>
    <row r="1420" spans="1:21" x14ac:dyDescent="0.25">
      <c r="A1420" t="s">
        <v>3568</v>
      </c>
      <c r="B1420" s="1">
        <v>42575</v>
      </c>
      <c r="C1420" s="1">
        <v>42577</v>
      </c>
      <c r="D1420" t="s">
        <v>22</v>
      </c>
      <c r="E1420" t="s">
        <v>3195</v>
      </c>
      <c r="F1420" t="s">
        <v>3196</v>
      </c>
      <c r="G1420" t="s">
        <v>91</v>
      </c>
      <c r="H1420" t="s">
        <v>26</v>
      </c>
      <c r="I1420" t="s">
        <v>174</v>
      </c>
      <c r="J1420" t="s">
        <v>121</v>
      </c>
      <c r="K1420" t="s">
        <v>68</v>
      </c>
      <c r="L1420" t="s">
        <v>1142</v>
      </c>
      <c r="M1420" t="s">
        <v>31</v>
      </c>
      <c r="N1420" t="s">
        <v>37</v>
      </c>
      <c r="O1420" t="s">
        <v>1143</v>
      </c>
      <c r="P1420">
        <v>253.76400000000001</v>
      </c>
      <c r="Q1420">
        <v>2</v>
      </c>
      <c r="R1420">
        <v>0.1</v>
      </c>
      <c r="S1420">
        <v>31.015599999999999</v>
      </c>
      <c r="T1420" t="s">
        <v>71</v>
      </c>
      <c r="U1420" t="s">
        <v>72</v>
      </c>
    </row>
    <row r="1421" spans="1:21" x14ac:dyDescent="0.25">
      <c r="A1421" t="s">
        <v>3569</v>
      </c>
      <c r="B1421" s="1">
        <v>42845</v>
      </c>
      <c r="C1421" s="1">
        <v>42849</v>
      </c>
      <c r="D1421" t="s">
        <v>40</v>
      </c>
      <c r="E1421" t="s">
        <v>2360</v>
      </c>
      <c r="F1421" t="s">
        <v>2361</v>
      </c>
      <c r="G1421" t="s">
        <v>25</v>
      </c>
      <c r="H1421" t="s">
        <v>26</v>
      </c>
      <c r="I1421" t="s">
        <v>134</v>
      </c>
      <c r="J1421" t="s">
        <v>135</v>
      </c>
      <c r="K1421" t="s">
        <v>94</v>
      </c>
      <c r="L1421" t="s">
        <v>395</v>
      </c>
      <c r="M1421" t="s">
        <v>31</v>
      </c>
      <c r="N1421" t="s">
        <v>37</v>
      </c>
      <c r="O1421" t="s">
        <v>396</v>
      </c>
      <c r="P1421">
        <v>317.05799999999999</v>
      </c>
      <c r="Q1421">
        <v>3</v>
      </c>
      <c r="R1421">
        <v>0.3</v>
      </c>
      <c r="S1421">
        <v>-18.117599999999999</v>
      </c>
      <c r="T1421" t="s">
        <v>84</v>
      </c>
      <c r="U1421" t="s">
        <v>114</v>
      </c>
    </row>
    <row r="1422" spans="1:21" x14ac:dyDescent="0.25">
      <c r="A1422" t="s">
        <v>3569</v>
      </c>
      <c r="B1422" s="1">
        <v>42845</v>
      </c>
      <c r="C1422" s="1">
        <v>42849</v>
      </c>
      <c r="D1422" t="s">
        <v>40</v>
      </c>
      <c r="E1422" t="s">
        <v>2360</v>
      </c>
      <c r="F1422" t="s">
        <v>2361</v>
      </c>
      <c r="G1422" t="s">
        <v>25</v>
      </c>
      <c r="H1422" t="s">
        <v>26</v>
      </c>
      <c r="I1422" t="s">
        <v>134</v>
      </c>
      <c r="J1422" t="s">
        <v>135</v>
      </c>
      <c r="K1422" t="s">
        <v>94</v>
      </c>
      <c r="L1422" t="s">
        <v>1349</v>
      </c>
      <c r="M1422" t="s">
        <v>31</v>
      </c>
      <c r="N1422" t="s">
        <v>57</v>
      </c>
      <c r="O1422" t="s">
        <v>1350</v>
      </c>
      <c r="P1422">
        <v>14.56</v>
      </c>
      <c r="Q1422">
        <v>5</v>
      </c>
      <c r="R1422">
        <v>0.6</v>
      </c>
      <c r="S1422">
        <v>-6.1879999999999997</v>
      </c>
      <c r="T1422" t="s">
        <v>84</v>
      </c>
      <c r="U1422" t="s">
        <v>114</v>
      </c>
    </row>
    <row r="1423" spans="1:21" x14ac:dyDescent="0.25">
      <c r="A1423" t="s">
        <v>3570</v>
      </c>
      <c r="B1423" s="1">
        <v>42616</v>
      </c>
      <c r="C1423" s="1">
        <v>42621</v>
      </c>
      <c r="D1423" t="s">
        <v>22</v>
      </c>
      <c r="E1423" t="s">
        <v>2036</v>
      </c>
      <c r="F1423" t="s">
        <v>2037</v>
      </c>
      <c r="G1423" t="s">
        <v>25</v>
      </c>
      <c r="H1423" t="s">
        <v>26</v>
      </c>
      <c r="I1423" t="s">
        <v>2755</v>
      </c>
      <c r="J1423" t="s">
        <v>1090</v>
      </c>
      <c r="K1423" t="s">
        <v>68</v>
      </c>
      <c r="L1423" t="s">
        <v>1477</v>
      </c>
      <c r="M1423" t="s">
        <v>31</v>
      </c>
      <c r="N1423" t="s">
        <v>32</v>
      </c>
      <c r="O1423" t="s">
        <v>1478</v>
      </c>
      <c r="P1423">
        <v>344.94</v>
      </c>
      <c r="Q1423">
        <v>3</v>
      </c>
      <c r="R1423">
        <v>0</v>
      </c>
      <c r="S1423">
        <v>31.044599999999999</v>
      </c>
      <c r="T1423" t="s">
        <v>59</v>
      </c>
      <c r="U1423" t="s">
        <v>78</v>
      </c>
    </row>
    <row r="1424" spans="1:21" x14ac:dyDescent="0.25">
      <c r="A1424" t="s">
        <v>3570</v>
      </c>
      <c r="B1424" s="1">
        <v>42616</v>
      </c>
      <c r="C1424" s="1">
        <v>42621</v>
      </c>
      <c r="D1424" t="s">
        <v>22</v>
      </c>
      <c r="E1424" t="s">
        <v>2036</v>
      </c>
      <c r="F1424" t="s">
        <v>2037</v>
      </c>
      <c r="G1424" t="s">
        <v>25</v>
      </c>
      <c r="H1424" t="s">
        <v>26</v>
      </c>
      <c r="I1424" t="s">
        <v>2755</v>
      </c>
      <c r="J1424" t="s">
        <v>1090</v>
      </c>
      <c r="K1424" t="s">
        <v>68</v>
      </c>
      <c r="L1424" t="s">
        <v>1719</v>
      </c>
      <c r="M1424" t="s">
        <v>31</v>
      </c>
      <c r="N1424" t="s">
        <v>57</v>
      </c>
      <c r="O1424" t="s">
        <v>1720</v>
      </c>
      <c r="P1424">
        <v>14.76</v>
      </c>
      <c r="Q1424">
        <v>2</v>
      </c>
      <c r="R1424">
        <v>0</v>
      </c>
      <c r="S1424">
        <v>4.2804000000000002</v>
      </c>
      <c r="T1424" t="s">
        <v>59</v>
      </c>
      <c r="U1424" t="s">
        <v>78</v>
      </c>
    </row>
    <row r="1425" spans="1:21" x14ac:dyDescent="0.25">
      <c r="A1425" t="s">
        <v>3571</v>
      </c>
      <c r="B1425" s="1">
        <v>42941</v>
      </c>
      <c r="C1425" s="1">
        <v>42944</v>
      </c>
      <c r="D1425" t="s">
        <v>22</v>
      </c>
      <c r="E1425" t="s">
        <v>2507</v>
      </c>
      <c r="F1425" t="s">
        <v>2508</v>
      </c>
      <c r="G1425" t="s">
        <v>25</v>
      </c>
      <c r="H1425" t="s">
        <v>26</v>
      </c>
      <c r="I1425" t="s">
        <v>66</v>
      </c>
      <c r="J1425" t="s">
        <v>67</v>
      </c>
      <c r="K1425" t="s">
        <v>68</v>
      </c>
      <c r="L1425" t="s">
        <v>678</v>
      </c>
      <c r="M1425" t="s">
        <v>31</v>
      </c>
      <c r="N1425" t="s">
        <v>57</v>
      </c>
      <c r="O1425" t="s">
        <v>679</v>
      </c>
      <c r="P1425">
        <v>20.096</v>
      </c>
      <c r="Q1425">
        <v>4</v>
      </c>
      <c r="R1425">
        <v>0.2</v>
      </c>
      <c r="S1425">
        <v>3.0144000000000002</v>
      </c>
      <c r="T1425" t="s">
        <v>34</v>
      </c>
      <c r="U1425" t="s">
        <v>72</v>
      </c>
    </row>
    <row r="1426" spans="1:21" x14ac:dyDescent="0.25">
      <c r="A1426" t="s">
        <v>3571</v>
      </c>
      <c r="B1426" s="1">
        <v>42941</v>
      </c>
      <c r="C1426" s="1">
        <v>42944</v>
      </c>
      <c r="D1426" t="s">
        <v>22</v>
      </c>
      <c r="E1426" t="s">
        <v>2507</v>
      </c>
      <c r="F1426" t="s">
        <v>2508</v>
      </c>
      <c r="G1426" t="s">
        <v>25</v>
      </c>
      <c r="H1426" t="s">
        <v>26</v>
      </c>
      <c r="I1426" t="s">
        <v>66</v>
      </c>
      <c r="J1426" t="s">
        <v>67</v>
      </c>
      <c r="K1426" t="s">
        <v>68</v>
      </c>
      <c r="L1426" t="s">
        <v>3166</v>
      </c>
      <c r="M1426" t="s">
        <v>31</v>
      </c>
      <c r="N1426" t="s">
        <v>46</v>
      </c>
      <c r="O1426" t="s">
        <v>3167</v>
      </c>
      <c r="P1426">
        <v>138.58799999999999</v>
      </c>
      <c r="Q1426">
        <v>1</v>
      </c>
      <c r="R1426">
        <v>0.4</v>
      </c>
      <c r="S1426">
        <v>-34.646999999999998</v>
      </c>
      <c r="T1426" t="s">
        <v>34</v>
      </c>
      <c r="U1426" t="s">
        <v>72</v>
      </c>
    </row>
    <row r="1427" spans="1:21" x14ac:dyDescent="0.25">
      <c r="A1427" t="s">
        <v>3572</v>
      </c>
      <c r="B1427" s="1">
        <v>42260</v>
      </c>
      <c r="C1427" s="1">
        <v>42267</v>
      </c>
      <c r="D1427" t="s">
        <v>40</v>
      </c>
      <c r="E1427" t="s">
        <v>367</v>
      </c>
      <c r="F1427" t="s">
        <v>368</v>
      </c>
      <c r="G1427" t="s">
        <v>25</v>
      </c>
      <c r="H1427" t="s">
        <v>26</v>
      </c>
      <c r="I1427" t="s">
        <v>2139</v>
      </c>
      <c r="J1427" t="s">
        <v>668</v>
      </c>
      <c r="K1427" t="s">
        <v>29</v>
      </c>
      <c r="L1427" t="s">
        <v>991</v>
      </c>
      <c r="M1427" t="s">
        <v>31</v>
      </c>
      <c r="N1427" t="s">
        <v>57</v>
      </c>
      <c r="O1427" t="s">
        <v>992</v>
      </c>
      <c r="P1427">
        <v>129.93</v>
      </c>
      <c r="Q1427">
        <v>3</v>
      </c>
      <c r="R1427">
        <v>0</v>
      </c>
      <c r="S1427">
        <v>12.993</v>
      </c>
      <c r="T1427" t="s">
        <v>48</v>
      </c>
      <c r="U1427" t="s">
        <v>78</v>
      </c>
    </row>
    <row r="1428" spans="1:21" x14ac:dyDescent="0.25">
      <c r="A1428" t="s">
        <v>3573</v>
      </c>
      <c r="B1428" s="1">
        <v>42684</v>
      </c>
      <c r="C1428" s="1">
        <v>42689</v>
      </c>
      <c r="D1428" t="s">
        <v>40</v>
      </c>
      <c r="E1428" t="s">
        <v>1738</v>
      </c>
      <c r="F1428" t="s">
        <v>1739</v>
      </c>
      <c r="G1428" t="s">
        <v>101</v>
      </c>
      <c r="H1428" t="s">
        <v>26</v>
      </c>
      <c r="I1428" t="s">
        <v>1850</v>
      </c>
      <c r="J1428" t="s">
        <v>54</v>
      </c>
      <c r="K1428" t="s">
        <v>55</v>
      </c>
      <c r="L1428" t="s">
        <v>2660</v>
      </c>
      <c r="M1428" t="s">
        <v>31</v>
      </c>
      <c r="N1428" t="s">
        <v>57</v>
      </c>
      <c r="O1428" t="s">
        <v>2661</v>
      </c>
      <c r="P1428">
        <v>9.98</v>
      </c>
      <c r="Q1428">
        <v>1</v>
      </c>
      <c r="R1428">
        <v>0</v>
      </c>
      <c r="S1428">
        <v>2.7944</v>
      </c>
      <c r="T1428" t="s">
        <v>59</v>
      </c>
      <c r="U1428" t="s">
        <v>35</v>
      </c>
    </row>
    <row r="1429" spans="1:21" x14ac:dyDescent="0.25">
      <c r="A1429" t="s">
        <v>3574</v>
      </c>
      <c r="B1429" s="1">
        <v>42324</v>
      </c>
      <c r="C1429" s="1">
        <v>42328</v>
      </c>
      <c r="D1429" t="s">
        <v>40</v>
      </c>
      <c r="E1429" t="s">
        <v>570</v>
      </c>
      <c r="F1429" t="s">
        <v>571</v>
      </c>
      <c r="G1429" t="s">
        <v>91</v>
      </c>
      <c r="H1429" t="s">
        <v>26</v>
      </c>
      <c r="I1429" t="s">
        <v>134</v>
      </c>
      <c r="J1429" t="s">
        <v>135</v>
      </c>
      <c r="K1429" t="s">
        <v>94</v>
      </c>
      <c r="L1429" t="s">
        <v>2691</v>
      </c>
      <c r="M1429" t="s">
        <v>31</v>
      </c>
      <c r="N1429" t="s">
        <v>57</v>
      </c>
      <c r="O1429" t="s">
        <v>2692</v>
      </c>
      <c r="P1429">
        <v>34.503999999999998</v>
      </c>
      <c r="Q1429">
        <v>2</v>
      </c>
      <c r="R1429">
        <v>0.6</v>
      </c>
      <c r="S1429">
        <v>-15.5268</v>
      </c>
      <c r="T1429" t="s">
        <v>84</v>
      </c>
      <c r="U1429" t="s">
        <v>35</v>
      </c>
    </row>
    <row r="1430" spans="1:21" x14ac:dyDescent="0.25">
      <c r="A1430" t="s">
        <v>3575</v>
      </c>
      <c r="B1430" s="1">
        <v>42241</v>
      </c>
      <c r="C1430" s="1">
        <v>42241</v>
      </c>
      <c r="D1430" t="s">
        <v>426</v>
      </c>
      <c r="E1430" t="s">
        <v>1373</v>
      </c>
      <c r="F1430" t="s">
        <v>1374</v>
      </c>
      <c r="G1430" t="s">
        <v>25</v>
      </c>
      <c r="H1430" t="s">
        <v>26</v>
      </c>
      <c r="I1430" t="s">
        <v>102</v>
      </c>
      <c r="J1430" t="s">
        <v>93</v>
      </c>
      <c r="K1430" t="s">
        <v>94</v>
      </c>
      <c r="L1430" t="s">
        <v>1291</v>
      </c>
      <c r="M1430" t="s">
        <v>31</v>
      </c>
      <c r="N1430" t="s">
        <v>57</v>
      </c>
      <c r="O1430" t="s">
        <v>1759</v>
      </c>
      <c r="P1430">
        <v>20.103999999999999</v>
      </c>
      <c r="Q1430">
        <v>2</v>
      </c>
      <c r="R1430">
        <v>0.6</v>
      </c>
      <c r="S1430">
        <v>-16.585799999999999</v>
      </c>
      <c r="T1430" t="s">
        <v>431</v>
      </c>
      <c r="U1430" t="s">
        <v>254</v>
      </c>
    </row>
    <row r="1431" spans="1:21" x14ac:dyDescent="0.25">
      <c r="A1431" t="s">
        <v>3575</v>
      </c>
      <c r="B1431" s="1">
        <v>42241</v>
      </c>
      <c r="C1431" s="1">
        <v>42241</v>
      </c>
      <c r="D1431" t="s">
        <v>426</v>
      </c>
      <c r="E1431" t="s">
        <v>1373</v>
      </c>
      <c r="F1431" t="s">
        <v>1374</v>
      </c>
      <c r="G1431" t="s">
        <v>25</v>
      </c>
      <c r="H1431" t="s">
        <v>26</v>
      </c>
      <c r="I1431" t="s">
        <v>102</v>
      </c>
      <c r="J1431" t="s">
        <v>93</v>
      </c>
      <c r="K1431" t="s">
        <v>94</v>
      </c>
      <c r="L1431" t="s">
        <v>3576</v>
      </c>
      <c r="M1431" t="s">
        <v>31</v>
      </c>
      <c r="N1431" t="s">
        <v>57</v>
      </c>
      <c r="O1431" t="s">
        <v>3577</v>
      </c>
      <c r="P1431">
        <v>7.88</v>
      </c>
      <c r="Q1431">
        <v>5</v>
      </c>
      <c r="R1431">
        <v>0.6</v>
      </c>
      <c r="S1431">
        <v>-3.94</v>
      </c>
      <c r="T1431" t="s">
        <v>431</v>
      </c>
      <c r="U1431" t="s">
        <v>254</v>
      </c>
    </row>
    <row r="1432" spans="1:21" x14ac:dyDescent="0.25">
      <c r="A1432" t="s">
        <v>3578</v>
      </c>
      <c r="B1432" s="1">
        <v>42729</v>
      </c>
      <c r="C1432" s="1">
        <v>42736</v>
      </c>
      <c r="D1432" t="s">
        <v>40</v>
      </c>
      <c r="E1432" t="s">
        <v>1622</v>
      </c>
      <c r="F1432" t="s">
        <v>1623</v>
      </c>
      <c r="G1432" t="s">
        <v>91</v>
      </c>
      <c r="H1432" t="s">
        <v>26</v>
      </c>
      <c r="I1432" t="s">
        <v>520</v>
      </c>
      <c r="J1432" t="s">
        <v>521</v>
      </c>
      <c r="K1432" t="s">
        <v>55</v>
      </c>
      <c r="L1432" t="s">
        <v>318</v>
      </c>
      <c r="M1432" t="s">
        <v>31</v>
      </c>
      <c r="N1432" t="s">
        <v>46</v>
      </c>
      <c r="O1432" t="s">
        <v>319</v>
      </c>
      <c r="P1432">
        <v>35.445</v>
      </c>
      <c r="Q1432">
        <v>1</v>
      </c>
      <c r="R1432">
        <v>0.5</v>
      </c>
      <c r="S1432">
        <v>-24.102599999999999</v>
      </c>
      <c r="T1432" t="s">
        <v>48</v>
      </c>
      <c r="U1432" t="s">
        <v>97</v>
      </c>
    </row>
    <row r="1433" spans="1:21" x14ac:dyDescent="0.25">
      <c r="A1433" t="s">
        <v>3578</v>
      </c>
      <c r="B1433" s="1">
        <v>42729</v>
      </c>
      <c r="C1433" s="1">
        <v>42736</v>
      </c>
      <c r="D1433" t="s">
        <v>40</v>
      </c>
      <c r="E1433" t="s">
        <v>1622</v>
      </c>
      <c r="F1433" t="s">
        <v>1623</v>
      </c>
      <c r="G1433" t="s">
        <v>91</v>
      </c>
      <c r="H1433" t="s">
        <v>26</v>
      </c>
      <c r="I1433" t="s">
        <v>520</v>
      </c>
      <c r="J1433" t="s">
        <v>521</v>
      </c>
      <c r="K1433" t="s">
        <v>55</v>
      </c>
      <c r="L1433" t="s">
        <v>1514</v>
      </c>
      <c r="M1433" t="s">
        <v>31</v>
      </c>
      <c r="N1433" t="s">
        <v>37</v>
      </c>
      <c r="O1433" t="s">
        <v>1515</v>
      </c>
      <c r="P1433">
        <v>47.968000000000004</v>
      </c>
      <c r="Q1433">
        <v>2</v>
      </c>
      <c r="R1433">
        <v>0.2</v>
      </c>
      <c r="S1433">
        <v>4.1971999999999996</v>
      </c>
      <c r="T1433" t="s">
        <v>48</v>
      </c>
      <c r="U1433" t="s">
        <v>97</v>
      </c>
    </row>
    <row r="1434" spans="1:21" x14ac:dyDescent="0.25">
      <c r="A1434" t="s">
        <v>3579</v>
      </c>
      <c r="B1434" s="1">
        <v>42094</v>
      </c>
      <c r="C1434" s="1">
        <v>42099</v>
      </c>
      <c r="D1434" t="s">
        <v>40</v>
      </c>
      <c r="E1434" t="s">
        <v>504</v>
      </c>
      <c r="F1434" t="s">
        <v>505</v>
      </c>
      <c r="G1434" t="s">
        <v>91</v>
      </c>
      <c r="H1434" t="s">
        <v>26</v>
      </c>
      <c r="I1434" t="s">
        <v>102</v>
      </c>
      <c r="J1434" t="s">
        <v>93</v>
      </c>
      <c r="K1434" t="s">
        <v>94</v>
      </c>
      <c r="L1434" t="s">
        <v>2649</v>
      </c>
      <c r="M1434" t="s">
        <v>31</v>
      </c>
      <c r="N1434" t="s">
        <v>57</v>
      </c>
      <c r="O1434" t="s">
        <v>2650</v>
      </c>
      <c r="P1434">
        <v>22.38</v>
      </c>
      <c r="Q1434">
        <v>3</v>
      </c>
      <c r="R1434">
        <v>0.6</v>
      </c>
      <c r="S1434">
        <v>-7.8330000000000002</v>
      </c>
      <c r="T1434" t="s">
        <v>59</v>
      </c>
      <c r="U1434" t="s">
        <v>196</v>
      </c>
    </row>
    <row r="1435" spans="1:21" x14ac:dyDescent="0.25">
      <c r="A1435" t="s">
        <v>3580</v>
      </c>
      <c r="B1435" s="1">
        <v>42992</v>
      </c>
      <c r="C1435" s="1">
        <v>42993</v>
      </c>
      <c r="D1435" t="s">
        <v>88</v>
      </c>
      <c r="E1435" t="s">
        <v>3581</v>
      </c>
      <c r="F1435" t="s">
        <v>3582</v>
      </c>
      <c r="G1435" t="s">
        <v>25</v>
      </c>
      <c r="H1435" t="s">
        <v>26</v>
      </c>
      <c r="I1435" t="s">
        <v>66</v>
      </c>
      <c r="J1435" t="s">
        <v>67</v>
      </c>
      <c r="K1435" t="s">
        <v>68</v>
      </c>
      <c r="L1435" t="s">
        <v>496</v>
      </c>
      <c r="M1435" t="s">
        <v>31</v>
      </c>
      <c r="N1435" t="s">
        <v>37</v>
      </c>
      <c r="O1435" t="s">
        <v>497</v>
      </c>
      <c r="P1435">
        <v>113.372</v>
      </c>
      <c r="Q1435">
        <v>2</v>
      </c>
      <c r="R1435">
        <v>0.3</v>
      </c>
      <c r="S1435">
        <v>-29.152799999999999</v>
      </c>
      <c r="T1435" t="s">
        <v>124</v>
      </c>
      <c r="U1435" t="s">
        <v>78</v>
      </c>
    </row>
    <row r="1436" spans="1:21" x14ac:dyDescent="0.25">
      <c r="A1436" t="s">
        <v>3580</v>
      </c>
      <c r="B1436" s="1">
        <v>42992</v>
      </c>
      <c r="C1436" s="1">
        <v>42993</v>
      </c>
      <c r="D1436" t="s">
        <v>88</v>
      </c>
      <c r="E1436" t="s">
        <v>3581</v>
      </c>
      <c r="F1436" t="s">
        <v>3582</v>
      </c>
      <c r="G1436" t="s">
        <v>25</v>
      </c>
      <c r="H1436" t="s">
        <v>26</v>
      </c>
      <c r="I1436" t="s">
        <v>66</v>
      </c>
      <c r="J1436" t="s">
        <v>67</v>
      </c>
      <c r="K1436" t="s">
        <v>68</v>
      </c>
      <c r="L1436" t="s">
        <v>3583</v>
      </c>
      <c r="M1436" t="s">
        <v>31</v>
      </c>
      <c r="N1436" t="s">
        <v>57</v>
      </c>
      <c r="O1436" t="s">
        <v>3584</v>
      </c>
      <c r="P1436">
        <v>127.93600000000001</v>
      </c>
      <c r="Q1436">
        <v>8</v>
      </c>
      <c r="R1436">
        <v>0.2</v>
      </c>
      <c r="S1436">
        <v>4.7976000000000001</v>
      </c>
      <c r="T1436" t="s">
        <v>124</v>
      </c>
      <c r="U1436" t="s">
        <v>78</v>
      </c>
    </row>
    <row r="1437" spans="1:21" x14ac:dyDescent="0.25">
      <c r="A1437" t="s">
        <v>3585</v>
      </c>
      <c r="B1437" s="1">
        <v>41807</v>
      </c>
      <c r="C1437" s="1">
        <v>41811</v>
      </c>
      <c r="D1437" t="s">
        <v>40</v>
      </c>
      <c r="E1437" t="s">
        <v>1343</v>
      </c>
      <c r="F1437" t="s">
        <v>1344</v>
      </c>
      <c r="G1437" t="s">
        <v>25</v>
      </c>
      <c r="H1437" t="s">
        <v>26</v>
      </c>
      <c r="I1437" t="s">
        <v>192</v>
      </c>
      <c r="J1437" t="s">
        <v>193</v>
      </c>
      <c r="K1437" t="s">
        <v>55</v>
      </c>
      <c r="L1437" t="s">
        <v>1362</v>
      </c>
      <c r="M1437" t="s">
        <v>31</v>
      </c>
      <c r="N1437" t="s">
        <v>57</v>
      </c>
      <c r="O1437" t="s">
        <v>424</v>
      </c>
      <c r="P1437">
        <v>6.24</v>
      </c>
      <c r="Q1437">
        <v>3</v>
      </c>
      <c r="R1437">
        <v>0</v>
      </c>
      <c r="S1437">
        <v>2.6208</v>
      </c>
      <c r="T1437" t="s">
        <v>84</v>
      </c>
      <c r="U1437" t="s">
        <v>60</v>
      </c>
    </row>
    <row r="1438" spans="1:21" x14ac:dyDescent="0.25">
      <c r="A1438" t="s">
        <v>3586</v>
      </c>
      <c r="B1438" s="1">
        <v>43097</v>
      </c>
      <c r="C1438" s="1">
        <v>43101</v>
      </c>
      <c r="D1438" t="s">
        <v>40</v>
      </c>
      <c r="E1438" t="s">
        <v>3418</v>
      </c>
      <c r="F1438" t="s">
        <v>3419</v>
      </c>
      <c r="G1438" t="s">
        <v>91</v>
      </c>
      <c r="H1438" t="s">
        <v>26</v>
      </c>
      <c r="I1438" t="s">
        <v>1380</v>
      </c>
      <c r="J1438" t="s">
        <v>135</v>
      </c>
      <c r="K1438" t="s">
        <v>94</v>
      </c>
      <c r="L1438" t="s">
        <v>2327</v>
      </c>
      <c r="M1438" t="s">
        <v>31</v>
      </c>
      <c r="N1438" t="s">
        <v>57</v>
      </c>
      <c r="O1438" t="s">
        <v>2328</v>
      </c>
      <c r="P1438">
        <v>7.968</v>
      </c>
      <c r="Q1438">
        <v>3</v>
      </c>
      <c r="R1438">
        <v>0.6</v>
      </c>
      <c r="S1438">
        <v>-2.3904000000000001</v>
      </c>
      <c r="T1438" t="s">
        <v>84</v>
      </c>
      <c r="U1438" t="s">
        <v>97</v>
      </c>
    </row>
    <row r="1439" spans="1:21" x14ac:dyDescent="0.25">
      <c r="A1439" t="s">
        <v>3586</v>
      </c>
      <c r="B1439" s="1">
        <v>43097</v>
      </c>
      <c r="C1439" s="1">
        <v>43101</v>
      </c>
      <c r="D1439" t="s">
        <v>40</v>
      </c>
      <c r="E1439" t="s">
        <v>3418</v>
      </c>
      <c r="F1439" t="s">
        <v>3419</v>
      </c>
      <c r="G1439" t="s">
        <v>91</v>
      </c>
      <c r="H1439" t="s">
        <v>26</v>
      </c>
      <c r="I1439" t="s">
        <v>1380</v>
      </c>
      <c r="J1439" t="s">
        <v>135</v>
      </c>
      <c r="K1439" t="s">
        <v>94</v>
      </c>
      <c r="L1439" t="s">
        <v>256</v>
      </c>
      <c r="M1439" t="s">
        <v>31</v>
      </c>
      <c r="N1439" t="s">
        <v>37</v>
      </c>
      <c r="O1439" t="s">
        <v>257</v>
      </c>
      <c r="P1439">
        <v>113.372</v>
      </c>
      <c r="Q1439">
        <v>2</v>
      </c>
      <c r="R1439">
        <v>0.3</v>
      </c>
      <c r="S1439">
        <v>-3.2391999999999999</v>
      </c>
      <c r="T1439" t="s">
        <v>84</v>
      </c>
      <c r="U1439" t="s">
        <v>97</v>
      </c>
    </row>
    <row r="1440" spans="1:21" x14ac:dyDescent="0.25">
      <c r="A1440" t="s">
        <v>3586</v>
      </c>
      <c r="B1440" s="1">
        <v>43097</v>
      </c>
      <c r="C1440" s="1">
        <v>43101</v>
      </c>
      <c r="D1440" t="s">
        <v>40</v>
      </c>
      <c r="E1440" t="s">
        <v>3418</v>
      </c>
      <c r="F1440" t="s">
        <v>3419</v>
      </c>
      <c r="G1440" t="s">
        <v>91</v>
      </c>
      <c r="H1440" t="s">
        <v>26</v>
      </c>
      <c r="I1440" t="s">
        <v>1380</v>
      </c>
      <c r="J1440" t="s">
        <v>135</v>
      </c>
      <c r="K1440" t="s">
        <v>94</v>
      </c>
      <c r="L1440" t="s">
        <v>447</v>
      </c>
      <c r="M1440" t="s">
        <v>31</v>
      </c>
      <c r="N1440" t="s">
        <v>57</v>
      </c>
      <c r="O1440" t="s">
        <v>448</v>
      </c>
      <c r="P1440">
        <v>2.96</v>
      </c>
      <c r="Q1440">
        <v>2</v>
      </c>
      <c r="R1440">
        <v>0.6</v>
      </c>
      <c r="S1440">
        <v>-1.4059999999999999</v>
      </c>
      <c r="T1440" t="s">
        <v>84</v>
      </c>
      <c r="U1440" t="s">
        <v>97</v>
      </c>
    </row>
    <row r="1441" spans="1:21" x14ac:dyDescent="0.25">
      <c r="A1441" t="s">
        <v>3587</v>
      </c>
      <c r="B1441" s="1">
        <v>42210</v>
      </c>
      <c r="C1441" s="1">
        <v>42214</v>
      </c>
      <c r="D1441" t="s">
        <v>40</v>
      </c>
      <c r="E1441" t="s">
        <v>3407</v>
      </c>
      <c r="F1441" t="s">
        <v>3408</v>
      </c>
      <c r="G1441" t="s">
        <v>91</v>
      </c>
      <c r="H1441" t="s">
        <v>26</v>
      </c>
      <c r="I1441" t="s">
        <v>1617</v>
      </c>
      <c r="J1441" t="s">
        <v>1277</v>
      </c>
      <c r="K1441" t="s">
        <v>29</v>
      </c>
      <c r="L1441" t="s">
        <v>455</v>
      </c>
      <c r="M1441" t="s">
        <v>31</v>
      </c>
      <c r="N1441" t="s">
        <v>46</v>
      </c>
      <c r="O1441" t="s">
        <v>456</v>
      </c>
      <c r="P1441">
        <v>358.58</v>
      </c>
      <c r="Q1441">
        <v>2</v>
      </c>
      <c r="R1441">
        <v>0</v>
      </c>
      <c r="S1441">
        <v>39.443800000000003</v>
      </c>
      <c r="T1441" t="s">
        <v>84</v>
      </c>
      <c r="U1441" t="s">
        <v>72</v>
      </c>
    </row>
    <row r="1442" spans="1:21" x14ac:dyDescent="0.25">
      <c r="A1442" t="s">
        <v>3588</v>
      </c>
      <c r="B1442" s="1">
        <v>42621</v>
      </c>
      <c r="C1442" s="1">
        <v>42621</v>
      </c>
      <c r="D1442" t="s">
        <v>426</v>
      </c>
      <c r="E1442" t="s">
        <v>848</v>
      </c>
      <c r="F1442" t="s">
        <v>849</v>
      </c>
      <c r="G1442" t="s">
        <v>25</v>
      </c>
      <c r="H1442" t="s">
        <v>26</v>
      </c>
      <c r="I1442" t="s">
        <v>850</v>
      </c>
      <c r="J1442" t="s">
        <v>54</v>
      </c>
      <c r="K1442" t="s">
        <v>55</v>
      </c>
      <c r="L1442" t="s">
        <v>1235</v>
      </c>
      <c r="M1442" t="s">
        <v>31</v>
      </c>
      <c r="N1442" t="s">
        <v>46</v>
      </c>
      <c r="O1442" t="s">
        <v>1236</v>
      </c>
      <c r="P1442">
        <v>146.04</v>
      </c>
      <c r="Q1442">
        <v>1</v>
      </c>
      <c r="R1442">
        <v>0.2</v>
      </c>
      <c r="S1442">
        <v>-12.778499999999999</v>
      </c>
      <c r="T1442" t="s">
        <v>431</v>
      </c>
      <c r="U1442" t="s">
        <v>78</v>
      </c>
    </row>
    <row r="1443" spans="1:21" x14ac:dyDescent="0.25">
      <c r="A1443" t="s">
        <v>3589</v>
      </c>
      <c r="B1443" s="1">
        <v>43023</v>
      </c>
      <c r="C1443" s="1">
        <v>43028</v>
      </c>
      <c r="D1443" t="s">
        <v>40</v>
      </c>
      <c r="E1443" t="s">
        <v>2719</v>
      </c>
      <c r="F1443" t="s">
        <v>2720</v>
      </c>
      <c r="G1443" t="s">
        <v>91</v>
      </c>
      <c r="H1443" t="s">
        <v>26</v>
      </c>
      <c r="I1443" t="s">
        <v>3590</v>
      </c>
      <c r="J1443" t="s">
        <v>54</v>
      </c>
      <c r="K1443" t="s">
        <v>55</v>
      </c>
      <c r="L1443" t="s">
        <v>284</v>
      </c>
      <c r="M1443" t="s">
        <v>31</v>
      </c>
      <c r="N1443" t="s">
        <v>57</v>
      </c>
      <c r="O1443" t="s">
        <v>285</v>
      </c>
      <c r="P1443">
        <v>22.72</v>
      </c>
      <c r="Q1443">
        <v>1</v>
      </c>
      <c r="R1443">
        <v>0</v>
      </c>
      <c r="S1443">
        <v>9.3152000000000008</v>
      </c>
      <c r="T1443" t="s">
        <v>59</v>
      </c>
      <c r="U1443" t="s">
        <v>49</v>
      </c>
    </row>
    <row r="1444" spans="1:21" x14ac:dyDescent="0.25">
      <c r="A1444" t="s">
        <v>3591</v>
      </c>
      <c r="B1444" s="1">
        <v>42625</v>
      </c>
      <c r="C1444" s="1">
        <v>42630</v>
      </c>
      <c r="D1444" t="s">
        <v>40</v>
      </c>
      <c r="E1444" t="s">
        <v>788</v>
      </c>
      <c r="F1444" t="s">
        <v>789</v>
      </c>
      <c r="G1444" t="s">
        <v>91</v>
      </c>
      <c r="H1444" t="s">
        <v>26</v>
      </c>
      <c r="I1444" t="s">
        <v>879</v>
      </c>
      <c r="J1444" t="s">
        <v>717</v>
      </c>
      <c r="K1444" t="s">
        <v>29</v>
      </c>
      <c r="L1444" t="s">
        <v>3592</v>
      </c>
      <c r="M1444" t="s">
        <v>31</v>
      </c>
      <c r="N1444" t="s">
        <v>37</v>
      </c>
      <c r="O1444" t="s">
        <v>3593</v>
      </c>
      <c r="P1444">
        <v>1059.1199999999999</v>
      </c>
      <c r="Q1444">
        <v>4</v>
      </c>
      <c r="R1444">
        <v>0</v>
      </c>
      <c r="S1444">
        <v>307.14479999999998</v>
      </c>
      <c r="T1444" t="s">
        <v>59</v>
      </c>
      <c r="U1444" t="s">
        <v>78</v>
      </c>
    </row>
    <row r="1445" spans="1:21" x14ac:dyDescent="0.25">
      <c r="A1445" t="s">
        <v>3594</v>
      </c>
      <c r="B1445" s="1">
        <v>41826</v>
      </c>
      <c r="C1445" s="1">
        <v>41832</v>
      </c>
      <c r="D1445" t="s">
        <v>40</v>
      </c>
      <c r="E1445" t="s">
        <v>1821</v>
      </c>
      <c r="F1445" t="s">
        <v>1822</v>
      </c>
      <c r="G1445" t="s">
        <v>101</v>
      </c>
      <c r="H1445" t="s">
        <v>26</v>
      </c>
      <c r="I1445" t="s">
        <v>3595</v>
      </c>
      <c r="J1445" t="s">
        <v>54</v>
      </c>
      <c r="K1445" t="s">
        <v>55</v>
      </c>
      <c r="L1445" t="s">
        <v>1586</v>
      </c>
      <c r="M1445" t="s">
        <v>31</v>
      </c>
      <c r="N1445" t="s">
        <v>37</v>
      </c>
      <c r="O1445" t="s">
        <v>1587</v>
      </c>
      <c r="P1445">
        <v>478.48</v>
      </c>
      <c r="Q1445">
        <v>2</v>
      </c>
      <c r="R1445">
        <v>0.2</v>
      </c>
      <c r="S1445">
        <v>47.847999999999999</v>
      </c>
      <c r="T1445" t="s">
        <v>130</v>
      </c>
      <c r="U1445" t="s">
        <v>72</v>
      </c>
    </row>
    <row r="1446" spans="1:21" x14ac:dyDescent="0.25">
      <c r="A1446" t="s">
        <v>3596</v>
      </c>
      <c r="B1446" s="1">
        <v>41749</v>
      </c>
      <c r="C1446" s="1">
        <v>41754</v>
      </c>
      <c r="D1446" t="s">
        <v>40</v>
      </c>
      <c r="E1446" t="s">
        <v>1565</v>
      </c>
      <c r="F1446" t="s">
        <v>1566</v>
      </c>
      <c r="G1446" t="s">
        <v>25</v>
      </c>
      <c r="H1446" t="s">
        <v>26</v>
      </c>
      <c r="I1446" t="s">
        <v>53</v>
      </c>
      <c r="J1446" t="s">
        <v>54</v>
      </c>
      <c r="K1446" t="s">
        <v>55</v>
      </c>
      <c r="L1446" t="s">
        <v>2130</v>
      </c>
      <c r="M1446" t="s">
        <v>31</v>
      </c>
      <c r="N1446" t="s">
        <v>57</v>
      </c>
      <c r="O1446" t="s">
        <v>2131</v>
      </c>
      <c r="P1446">
        <v>59.92</v>
      </c>
      <c r="Q1446">
        <v>4</v>
      </c>
      <c r="R1446">
        <v>0</v>
      </c>
      <c r="S1446">
        <v>27.563199999999998</v>
      </c>
      <c r="T1446" t="s">
        <v>59</v>
      </c>
      <c r="U1446" t="s">
        <v>114</v>
      </c>
    </row>
    <row r="1447" spans="1:21" x14ac:dyDescent="0.25">
      <c r="A1447" t="s">
        <v>3597</v>
      </c>
      <c r="B1447" s="1">
        <v>42377</v>
      </c>
      <c r="C1447" s="1">
        <v>42381</v>
      </c>
      <c r="D1447" t="s">
        <v>40</v>
      </c>
      <c r="E1447" t="s">
        <v>2697</v>
      </c>
      <c r="F1447" t="s">
        <v>2698</v>
      </c>
      <c r="G1447" t="s">
        <v>91</v>
      </c>
      <c r="H1447" t="s">
        <v>26</v>
      </c>
      <c r="I1447" t="s">
        <v>238</v>
      </c>
      <c r="J1447" t="s">
        <v>239</v>
      </c>
      <c r="K1447" t="s">
        <v>94</v>
      </c>
      <c r="L1447" t="s">
        <v>103</v>
      </c>
      <c r="M1447" t="s">
        <v>31</v>
      </c>
      <c r="N1447" t="s">
        <v>32</v>
      </c>
      <c r="O1447" t="s">
        <v>104</v>
      </c>
      <c r="P1447">
        <v>1565.88</v>
      </c>
      <c r="Q1447">
        <v>6</v>
      </c>
      <c r="R1447">
        <v>0</v>
      </c>
      <c r="S1447">
        <v>407.12880000000001</v>
      </c>
      <c r="T1447" t="s">
        <v>84</v>
      </c>
      <c r="U1447" t="s">
        <v>170</v>
      </c>
    </row>
    <row r="1448" spans="1:21" x14ac:dyDescent="0.25">
      <c r="A1448" t="s">
        <v>3598</v>
      </c>
      <c r="B1448" s="1">
        <v>42842</v>
      </c>
      <c r="C1448" s="1">
        <v>42847</v>
      </c>
      <c r="D1448" t="s">
        <v>40</v>
      </c>
      <c r="E1448" t="s">
        <v>3581</v>
      </c>
      <c r="F1448" t="s">
        <v>3582</v>
      </c>
      <c r="G1448" t="s">
        <v>25</v>
      </c>
      <c r="H1448" t="s">
        <v>26</v>
      </c>
      <c r="I1448" t="s">
        <v>53</v>
      </c>
      <c r="J1448" t="s">
        <v>54</v>
      </c>
      <c r="K1448" t="s">
        <v>55</v>
      </c>
      <c r="L1448" t="s">
        <v>1618</v>
      </c>
      <c r="M1448" t="s">
        <v>31</v>
      </c>
      <c r="N1448" t="s">
        <v>37</v>
      </c>
      <c r="O1448" t="s">
        <v>1619</v>
      </c>
      <c r="P1448">
        <v>218.352</v>
      </c>
      <c r="Q1448">
        <v>3</v>
      </c>
      <c r="R1448">
        <v>0.2</v>
      </c>
      <c r="S1448">
        <v>-19.105799999999999</v>
      </c>
      <c r="T1448" t="s">
        <v>59</v>
      </c>
      <c r="U1448" t="s">
        <v>114</v>
      </c>
    </row>
    <row r="1449" spans="1:21" x14ac:dyDescent="0.25">
      <c r="A1449" t="s">
        <v>3599</v>
      </c>
      <c r="B1449" s="1">
        <v>42603</v>
      </c>
      <c r="C1449" s="1">
        <v>42610</v>
      </c>
      <c r="D1449" t="s">
        <v>40</v>
      </c>
      <c r="E1449" t="s">
        <v>3600</v>
      </c>
      <c r="F1449" t="s">
        <v>3601</v>
      </c>
      <c r="G1449" t="s">
        <v>91</v>
      </c>
      <c r="H1449" t="s">
        <v>26</v>
      </c>
      <c r="I1449" t="s">
        <v>53</v>
      </c>
      <c r="J1449" t="s">
        <v>54</v>
      </c>
      <c r="K1449" t="s">
        <v>55</v>
      </c>
      <c r="L1449" t="s">
        <v>1992</v>
      </c>
      <c r="M1449" t="s">
        <v>31</v>
      </c>
      <c r="N1449" t="s">
        <v>46</v>
      </c>
      <c r="O1449" t="s">
        <v>1993</v>
      </c>
      <c r="P1449">
        <v>2887.056</v>
      </c>
      <c r="Q1449">
        <v>9</v>
      </c>
      <c r="R1449">
        <v>0.2</v>
      </c>
      <c r="S1449">
        <v>180.441</v>
      </c>
      <c r="T1449" t="s">
        <v>48</v>
      </c>
      <c r="U1449" t="s">
        <v>254</v>
      </c>
    </row>
    <row r="1450" spans="1:21" x14ac:dyDescent="0.25">
      <c r="A1450" t="s">
        <v>3602</v>
      </c>
      <c r="B1450" s="1">
        <v>42618</v>
      </c>
      <c r="C1450" s="1">
        <v>42623</v>
      </c>
      <c r="D1450" t="s">
        <v>40</v>
      </c>
      <c r="E1450" t="s">
        <v>1416</v>
      </c>
      <c r="F1450" t="s">
        <v>1417</v>
      </c>
      <c r="G1450" t="s">
        <v>25</v>
      </c>
      <c r="H1450" t="s">
        <v>26</v>
      </c>
      <c r="I1450" t="s">
        <v>2121</v>
      </c>
      <c r="J1450" t="s">
        <v>717</v>
      </c>
      <c r="K1450" t="s">
        <v>29</v>
      </c>
      <c r="L1450" t="s">
        <v>1724</v>
      </c>
      <c r="M1450" t="s">
        <v>31</v>
      </c>
      <c r="N1450" t="s">
        <v>46</v>
      </c>
      <c r="O1450" t="s">
        <v>1725</v>
      </c>
      <c r="P1450">
        <v>1652.94</v>
      </c>
      <c r="Q1450">
        <v>3</v>
      </c>
      <c r="R1450">
        <v>0</v>
      </c>
      <c r="S1450">
        <v>314.05860000000001</v>
      </c>
      <c r="T1450" t="s">
        <v>59</v>
      </c>
      <c r="U1450" t="s">
        <v>78</v>
      </c>
    </row>
    <row r="1451" spans="1:21" x14ac:dyDescent="0.25">
      <c r="A1451" t="s">
        <v>3603</v>
      </c>
      <c r="B1451" s="1">
        <v>42292</v>
      </c>
      <c r="C1451" s="1">
        <v>42292</v>
      </c>
      <c r="D1451" t="s">
        <v>426</v>
      </c>
      <c r="E1451" t="s">
        <v>23</v>
      </c>
      <c r="F1451" t="s">
        <v>24</v>
      </c>
      <c r="G1451" t="s">
        <v>25</v>
      </c>
      <c r="H1451" t="s">
        <v>26</v>
      </c>
      <c r="I1451" t="s">
        <v>1740</v>
      </c>
      <c r="J1451" t="s">
        <v>93</v>
      </c>
      <c r="K1451" t="s">
        <v>94</v>
      </c>
      <c r="L1451" t="s">
        <v>1086</v>
      </c>
      <c r="M1451" t="s">
        <v>31</v>
      </c>
      <c r="N1451" t="s">
        <v>57</v>
      </c>
      <c r="O1451" t="s">
        <v>1087</v>
      </c>
      <c r="P1451">
        <v>131.376</v>
      </c>
      <c r="Q1451">
        <v>6</v>
      </c>
      <c r="R1451">
        <v>0.6</v>
      </c>
      <c r="S1451">
        <v>-95.247600000000006</v>
      </c>
      <c r="T1451" t="s">
        <v>431</v>
      </c>
      <c r="U1451" t="s">
        <v>49</v>
      </c>
    </row>
    <row r="1452" spans="1:21" x14ac:dyDescent="0.25">
      <c r="A1452" t="s">
        <v>3604</v>
      </c>
      <c r="B1452" s="1">
        <v>42339</v>
      </c>
      <c r="C1452" s="1">
        <v>42343</v>
      </c>
      <c r="D1452" t="s">
        <v>22</v>
      </c>
      <c r="E1452" t="s">
        <v>3543</v>
      </c>
      <c r="F1452" t="s">
        <v>3544</v>
      </c>
      <c r="G1452" t="s">
        <v>101</v>
      </c>
      <c r="H1452" t="s">
        <v>26</v>
      </c>
      <c r="I1452" t="s">
        <v>192</v>
      </c>
      <c r="J1452" t="s">
        <v>193</v>
      </c>
      <c r="K1452" t="s">
        <v>55</v>
      </c>
      <c r="L1452" t="s">
        <v>560</v>
      </c>
      <c r="M1452" t="s">
        <v>31</v>
      </c>
      <c r="N1452" t="s">
        <v>37</v>
      </c>
      <c r="O1452" t="s">
        <v>561</v>
      </c>
      <c r="P1452">
        <v>2003.92</v>
      </c>
      <c r="Q1452">
        <v>5</v>
      </c>
      <c r="R1452">
        <v>0.2</v>
      </c>
      <c r="S1452">
        <v>125.245</v>
      </c>
      <c r="T1452" t="s">
        <v>84</v>
      </c>
      <c r="U1452" t="s">
        <v>97</v>
      </c>
    </row>
    <row r="1453" spans="1:21" x14ac:dyDescent="0.25">
      <c r="A1453" t="s">
        <v>3604</v>
      </c>
      <c r="B1453" s="1">
        <v>42339</v>
      </c>
      <c r="C1453" s="1">
        <v>42343</v>
      </c>
      <c r="D1453" t="s">
        <v>22</v>
      </c>
      <c r="E1453" t="s">
        <v>3543</v>
      </c>
      <c r="F1453" t="s">
        <v>3544</v>
      </c>
      <c r="G1453" t="s">
        <v>101</v>
      </c>
      <c r="H1453" t="s">
        <v>26</v>
      </c>
      <c r="I1453" t="s">
        <v>192</v>
      </c>
      <c r="J1453" t="s">
        <v>193</v>
      </c>
      <c r="K1453" t="s">
        <v>55</v>
      </c>
      <c r="L1453" t="s">
        <v>305</v>
      </c>
      <c r="M1453" t="s">
        <v>31</v>
      </c>
      <c r="N1453" t="s">
        <v>46</v>
      </c>
      <c r="O1453" t="s">
        <v>306</v>
      </c>
      <c r="P1453">
        <v>1913.4</v>
      </c>
      <c r="Q1453">
        <v>9</v>
      </c>
      <c r="R1453">
        <v>0</v>
      </c>
      <c r="S1453">
        <v>401.81400000000002</v>
      </c>
      <c r="T1453" t="s">
        <v>84</v>
      </c>
      <c r="U1453" t="s">
        <v>97</v>
      </c>
    </row>
    <row r="1454" spans="1:21" x14ac:dyDescent="0.25">
      <c r="A1454" t="s">
        <v>3605</v>
      </c>
      <c r="B1454" s="1">
        <v>42155</v>
      </c>
      <c r="C1454" s="1">
        <v>42159</v>
      </c>
      <c r="D1454" t="s">
        <v>40</v>
      </c>
      <c r="E1454" t="s">
        <v>600</v>
      </c>
      <c r="F1454" t="s">
        <v>601</v>
      </c>
      <c r="G1454" t="s">
        <v>25</v>
      </c>
      <c r="H1454" t="s">
        <v>26</v>
      </c>
      <c r="I1454" t="s">
        <v>166</v>
      </c>
      <c r="J1454" t="s">
        <v>167</v>
      </c>
      <c r="K1454" t="s">
        <v>94</v>
      </c>
      <c r="L1454" t="s">
        <v>2274</v>
      </c>
      <c r="M1454" t="s">
        <v>31</v>
      </c>
      <c r="N1454" t="s">
        <v>37</v>
      </c>
      <c r="O1454" t="s">
        <v>2275</v>
      </c>
      <c r="P1454">
        <v>2567.84</v>
      </c>
      <c r="Q1454">
        <v>8</v>
      </c>
      <c r="R1454">
        <v>0</v>
      </c>
      <c r="S1454">
        <v>770.35199999999998</v>
      </c>
      <c r="T1454" t="s">
        <v>84</v>
      </c>
      <c r="U1454" t="s">
        <v>162</v>
      </c>
    </row>
    <row r="1455" spans="1:21" x14ac:dyDescent="0.25">
      <c r="A1455" t="s">
        <v>3606</v>
      </c>
      <c r="B1455" s="1">
        <v>42996</v>
      </c>
      <c r="C1455" s="1">
        <v>43000</v>
      </c>
      <c r="D1455" t="s">
        <v>40</v>
      </c>
      <c r="E1455" t="s">
        <v>2088</v>
      </c>
      <c r="F1455" t="s">
        <v>2089</v>
      </c>
      <c r="G1455" t="s">
        <v>91</v>
      </c>
      <c r="H1455" t="s">
        <v>26</v>
      </c>
      <c r="I1455" t="s">
        <v>348</v>
      </c>
      <c r="J1455" t="s">
        <v>668</v>
      </c>
      <c r="K1455" t="s">
        <v>29</v>
      </c>
      <c r="L1455" t="s">
        <v>2391</v>
      </c>
      <c r="M1455" t="s">
        <v>31</v>
      </c>
      <c r="N1455" t="s">
        <v>57</v>
      </c>
      <c r="O1455" t="s">
        <v>2392</v>
      </c>
      <c r="P1455">
        <v>20.32</v>
      </c>
      <c r="Q1455">
        <v>4</v>
      </c>
      <c r="R1455">
        <v>0</v>
      </c>
      <c r="S1455">
        <v>6.9088000000000003</v>
      </c>
      <c r="T1455" t="s">
        <v>84</v>
      </c>
      <c r="U1455" t="s">
        <v>78</v>
      </c>
    </row>
    <row r="1456" spans="1:21" x14ac:dyDescent="0.25">
      <c r="A1456" t="s">
        <v>3607</v>
      </c>
      <c r="B1456" s="1">
        <v>42148</v>
      </c>
      <c r="C1456" s="1">
        <v>42150</v>
      </c>
      <c r="D1456" t="s">
        <v>22</v>
      </c>
      <c r="E1456" t="s">
        <v>2845</v>
      </c>
      <c r="F1456" t="s">
        <v>2846</v>
      </c>
      <c r="G1456" t="s">
        <v>25</v>
      </c>
      <c r="H1456" t="s">
        <v>26</v>
      </c>
      <c r="I1456" t="s">
        <v>3608</v>
      </c>
      <c r="J1456" t="s">
        <v>135</v>
      </c>
      <c r="K1456" t="s">
        <v>94</v>
      </c>
      <c r="L1456" t="s">
        <v>1029</v>
      </c>
      <c r="M1456" t="s">
        <v>31</v>
      </c>
      <c r="N1456" t="s">
        <v>37</v>
      </c>
      <c r="O1456" t="s">
        <v>1030</v>
      </c>
      <c r="P1456">
        <v>602.65099999999995</v>
      </c>
      <c r="Q1456">
        <v>7</v>
      </c>
      <c r="R1456">
        <v>0.3</v>
      </c>
      <c r="S1456">
        <v>-163.57669999999999</v>
      </c>
      <c r="T1456" t="s">
        <v>71</v>
      </c>
      <c r="U1456" t="s">
        <v>162</v>
      </c>
    </row>
    <row r="1457" spans="1:21" x14ac:dyDescent="0.25">
      <c r="A1457" t="s">
        <v>3609</v>
      </c>
      <c r="B1457" s="1">
        <v>43079</v>
      </c>
      <c r="C1457" s="1">
        <v>43084</v>
      </c>
      <c r="D1457" t="s">
        <v>40</v>
      </c>
      <c r="E1457" t="s">
        <v>236</v>
      </c>
      <c r="F1457" t="s">
        <v>237</v>
      </c>
      <c r="G1457" t="s">
        <v>91</v>
      </c>
      <c r="H1457" t="s">
        <v>26</v>
      </c>
      <c r="I1457" t="s">
        <v>3610</v>
      </c>
      <c r="J1457" t="s">
        <v>159</v>
      </c>
      <c r="K1457" t="s">
        <v>29</v>
      </c>
      <c r="L1457" t="s">
        <v>1719</v>
      </c>
      <c r="M1457" t="s">
        <v>31</v>
      </c>
      <c r="N1457" t="s">
        <v>57</v>
      </c>
      <c r="O1457" t="s">
        <v>1720</v>
      </c>
      <c r="P1457">
        <v>14.76</v>
      </c>
      <c r="Q1457">
        <v>2</v>
      </c>
      <c r="R1457">
        <v>0</v>
      </c>
      <c r="S1457">
        <v>4.2804000000000002</v>
      </c>
      <c r="T1457" t="s">
        <v>59</v>
      </c>
      <c r="U1457" t="s">
        <v>97</v>
      </c>
    </row>
    <row r="1458" spans="1:21" x14ac:dyDescent="0.25">
      <c r="A1458" t="s">
        <v>3611</v>
      </c>
      <c r="B1458" s="1">
        <v>42945</v>
      </c>
      <c r="C1458" s="1">
        <v>42949</v>
      </c>
      <c r="D1458" t="s">
        <v>40</v>
      </c>
      <c r="E1458" t="s">
        <v>966</v>
      </c>
      <c r="F1458" t="s">
        <v>967</v>
      </c>
      <c r="G1458" t="s">
        <v>25</v>
      </c>
      <c r="H1458" t="s">
        <v>26</v>
      </c>
      <c r="I1458" t="s">
        <v>192</v>
      </c>
      <c r="J1458" t="s">
        <v>193</v>
      </c>
      <c r="K1458" t="s">
        <v>55</v>
      </c>
      <c r="L1458" t="s">
        <v>349</v>
      </c>
      <c r="M1458" t="s">
        <v>31</v>
      </c>
      <c r="N1458" t="s">
        <v>32</v>
      </c>
      <c r="O1458" t="s">
        <v>350</v>
      </c>
      <c r="P1458">
        <v>115.96</v>
      </c>
      <c r="Q1458">
        <v>2</v>
      </c>
      <c r="R1458">
        <v>0</v>
      </c>
      <c r="S1458">
        <v>25.511199999999999</v>
      </c>
      <c r="T1458" t="s">
        <v>84</v>
      </c>
      <c r="U1458" t="s">
        <v>72</v>
      </c>
    </row>
    <row r="1459" spans="1:21" x14ac:dyDescent="0.25">
      <c r="A1459" t="s">
        <v>3612</v>
      </c>
      <c r="B1459" s="1">
        <v>41989</v>
      </c>
      <c r="C1459" s="1">
        <v>41994</v>
      </c>
      <c r="D1459" t="s">
        <v>40</v>
      </c>
      <c r="E1459" t="s">
        <v>2767</v>
      </c>
      <c r="F1459" t="s">
        <v>2768</v>
      </c>
      <c r="G1459" t="s">
        <v>91</v>
      </c>
      <c r="H1459" t="s">
        <v>26</v>
      </c>
      <c r="I1459" t="s">
        <v>1850</v>
      </c>
      <c r="J1459" t="s">
        <v>54</v>
      </c>
      <c r="K1459" t="s">
        <v>55</v>
      </c>
      <c r="L1459" t="s">
        <v>1487</v>
      </c>
      <c r="M1459" t="s">
        <v>31</v>
      </c>
      <c r="N1459" t="s">
        <v>37</v>
      </c>
      <c r="O1459" t="s">
        <v>1488</v>
      </c>
      <c r="P1459">
        <v>1403.92</v>
      </c>
      <c r="Q1459">
        <v>5</v>
      </c>
      <c r="R1459">
        <v>0.2</v>
      </c>
      <c r="S1459">
        <v>70.195999999999998</v>
      </c>
      <c r="T1459" t="s">
        <v>59</v>
      </c>
      <c r="U1459" t="s">
        <v>97</v>
      </c>
    </row>
    <row r="1460" spans="1:21" x14ac:dyDescent="0.25">
      <c r="A1460" t="s">
        <v>3613</v>
      </c>
      <c r="B1460" s="1">
        <v>42338</v>
      </c>
      <c r="C1460" s="1">
        <v>42342</v>
      </c>
      <c r="D1460" t="s">
        <v>40</v>
      </c>
      <c r="E1460" t="s">
        <v>1507</v>
      </c>
      <c r="F1460" t="s">
        <v>1508</v>
      </c>
      <c r="G1460" t="s">
        <v>25</v>
      </c>
      <c r="H1460" t="s">
        <v>26</v>
      </c>
      <c r="I1460" t="s">
        <v>174</v>
      </c>
      <c r="J1460" t="s">
        <v>121</v>
      </c>
      <c r="K1460" t="s">
        <v>68</v>
      </c>
      <c r="L1460" t="s">
        <v>2480</v>
      </c>
      <c r="M1460" t="s">
        <v>31</v>
      </c>
      <c r="N1460" t="s">
        <v>32</v>
      </c>
      <c r="O1460" t="s">
        <v>2481</v>
      </c>
      <c r="P1460">
        <v>681.40800000000002</v>
      </c>
      <c r="Q1460">
        <v>12</v>
      </c>
      <c r="R1460">
        <v>0.2</v>
      </c>
      <c r="S1460">
        <v>42.588000000000001</v>
      </c>
      <c r="T1460" t="s">
        <v>84</v>
      </c>
      <c r="U1460" t="s">
        <v>35</v>
      </c>
    </row>
    <row r="1461" spans="1:21" x14ac:dyDescent="0.25">
      <c r="A1461" t="s">
        <v>3614</v>
      </c>
      <c r="B1461" s="1">
        <v>41834</v>
      </c>
      <c r="C1461" s="1">
        <v>41838</v>
      </c>
      <c r="D1461" t="s">
        <v>40</v>
      </c>
      <c r="E1461" t="s">
        <v>3615</v>
      </c>
      <c r="F1461" t="s">
        <v>3616</v>
      </c>
      <c r="G1461" t="s">
        <v>25</v>
      </c>
      <c r="H1461" t="s">
        <v>26</v>
      </c>
      <c r="I1461" t="s">
        <v>66</v>
      </c>
      <c r="J1461" t="s">
        <v>67</v>
      </c>
      <c r="K1461" t="s">
        <v>68</v>
      </c>
      <c r="L1461" t="s">
        <v>3583</v>
      </c>
      <c r="M1461" t="s">
        <v>31</v>
      </c>
      <c r="N1461" t="s">
        <v>57</v>
      </c>
      <c r="O1461" t="s">
        <v>3584</v>
      </c>
      <c r="P1461">
        <v>31.984000000000002</v>
      </c>
      <c r="Q1461">
        <v>2</v>
      </c>
      <c r="R1461">
        <v>0.2</v>
      </c>
      <c r="S1461">
        <v>1.1994</v>
      </c>
      <c r="T1461" t="s">
        <v>84</v>
      </c>
      <c r="U1461" t="s">
        <v>72</v>
      </c>
    </row>
    <row r="1462" spans="1:21" x14ac:dyDescent="0.25">
      <c r="A1462" t="s">
        <v>3617</v>
      </c>
      <c r="B1462" s="1">
        <v>42615</v>
      </c>
      <c r="C1462" s="1">
        <v>42617</v>
      </c>
      <c r="D1462" t="s">
        <v>88</v>
      </c>
      <c r="E1462" t="s">
        <v>3161</v>
      </c>
      <c r="F1462" t="s">
        <v>3162</v>
      </c>
      <c r="G1462" t="s">
        <v>101</v>
      </c>
      <c r="H1462" t="s">
        <v>26</v>
      </c>
      <c r="I1462" t="s">
        <v>134</v>
      </c>
      <c r="J1462" t="s">
        <v>135</v>
      </c>
      <c r="K1462" t="s">
        <v>94</v>
      </c>
      <c r="L1462" t="s">
        <v>3618</v>
      </c>
      <c r="M1462" t="s">
        <v>31</v>
      </c>
      <c r="N1462" t="s">
        <v>57</v>
      </c>
      <c r="O1462" t="s">
        <v>3619</v>
      </c>
      <c r="P1462">
        <v>84.272000000000006</v>
      </c>
      <c r="Q1462">
        <v>2</v>
      </c>
      <c r="R1462">
        <v>0.6</v>
      </c>
      <c r="S1462">
        <v>-75.844800000000006</v>
      </c>
      <c r="T1462" t="s">
        <v>71</v>
      </c>
      <c r="U1462" t="s">
        <v>78</v>
      </c>
    </row>
    <row r="1463" spans="1:21" x14ac:dyDescent="0.25">
      <c r="A1463" t="s">
        <v>3620</v>
      </c>
      <c r="B1463" s="1">
        <v>42643</v>
      </c>
      <c r="C1463" s="1">
        <v>42647</v>
      </c>
      <c r="D1463" t="s">
        <v>40</v>
      </c>
      <c r="E1463" t="s">
        <v>1127</v>
      </c>
      <c r="F1463" t="s">
        <v>1128</v>
      </c>
      <c r="G1463" t="s">
        <v>25</v>
      </c>
      <c r="H1463" t="s">
        <v>26</v>
      </c>
      <c r="I1463" t="s">
        <v>174</v>
      </c>
      <c r="J1463" t="s">
        <v>121</v>
      </c>
      <c r="K1463" t="s">
        <v>68</v>
      </c>
      <c r="L1463" t="s">
        <v>1637</v>
      </c>
      <c r="M1463" t="s">
        <v>31</v>
      </c>
      <c r="N1463" t="s">
        <v>32</v>
      </c>
      <c r="O1463" t="s">
        <v>1638</v>
      </c>
      <c r="P1463">
        <v>523.91999999999996</v>
      </c>
      <c r="Q1463">
        <v>5</v>
      </c>
      <c r="R1463">
        <v>0.2</v>
      </c>
      <c r="S1463">
        <v>-26.196000000000002</v>
      </c>
      <c r="T1463" t="s">
        <v>84</v>
      </c>
      <c r="U1463" t="s">
        <v>78</v>
      </c>
    </row>
    <row r="1464" spans="1:21" x14ac:dyDescent="0.25">
      <c r="A1464" t="s">
        <v>3621</v>
      </c>
      <c r="B1464" s="1">
        <v>42119</v>
      </c>
      <c r="C1464" s="1">
        <v>42123</v>
      </c>
      <c r="D1464" t="s">
        <v>40</v>
      </c>
      <c r="E1464" t="s">
        <v>844</v>
      </c>
      <c r="F1464" t="s">
        <v>845</v>
      </c>
      <c r="G1464" t="s">
        <v>25</v>
      </c>
      <c r="H1464" t="s">
        <v>26</v>
      </c>
      <c r="I1464" t="s">
        <v>180</v>
      </c>
      <c r="J1464" t="s">
        <v>135</v>
      </c>
      <c r="K1464" t="s">
        <v>94</v>
      </c>
      <c r="L1464" t="s">
        <v>2429</v>
      </c>
      <c r="M1464" t="s">
        <v>31</v>
      </c>
      <c r="N1464" t="s">
        <v>37</v>
      </c>
      <c r="O1464" t="s">
        <v>2430</v>
      </c>
      <c r="P1464">
        <v>128.05799999999999</v>
      </c>
      <c r="Q1464">
        <v>3</v>
      </c>
      <c r="R1464">
        <v>0.3</v>
      </c>
      <c r="S1464">
        <v>-23.7822</v>
      </c>
      <c r="T1464" t="s">
        <v>84</v>
      </c>
      <c r="U1464" t="s">
        <v>114</v>
      </c>
    </row>
    <row r="1465" spans="1:21" x14ac:dyDescent="0.25">
      <c r="A1465" t="s">
        <v>3622</v>
      </c>
      <c r="B1465" s="1">
        <v>43058</v>
      </c>
      <c r="C1465" s="1">
        <v>43058</v>
      </c>
      <c r="D1465" t="s">
        <v>426</v>
      </c>
      <c r="E1465" t="s">
        <v>1951</v>
      </c>
      <c r="F1465" t="s">
        <v>1952</v>
      </c>
      <c r="G1465" t="s">
        <v>101</v>
      </c>
      <c r="H1465" t="s">
        <v>26</v>
      </c>
      <c r="I1465" t="s">
        <v>174</v>
      </c>
      <c r="J1465" t="s">
        <v>121</v>
      </c>
      <c r="K1465" t="s">
        <v>68</v>
      </c>
      <c r="L1465" t="s">
        <v>1250</v>
      </c>
      <c r="M1465" t="s">
        <v>31</v>
      </c>
      <c r="N1465" t="s">
        <v>46</v>
      </c>
      <c r="O1465" t="s">
        <v>1251</v>
      </c>
      <c r="P1465">
        <v>79.974000000000004</v>
      </c>
      <c r="Q1465">
        <v>3</v>
      </c>
      <c r="R1465">
        <v>0.4</v>
      </c>
      <c r="S1465">
        <v>-29.323799999999999</v>
      </c>
      <c r="T1465" t="s">
        <v>431</v>
      </c>
      <c r="U1465" t="s">
        <v>35</v>
      </c>
    </row>
    <row r="1466" spans="1:21" x14ac:dyDescent="0.25">
      <c r="A1466" t="s">
        <v>3623</v>
      </c>
      <c r="B1466" s="1">
        <v>42565</v>
      </c>
      <c r="C1466" s="1">
        <v>42570</v>
      </c>
      <c r="D1466" t="s">
        <v>40</v>
      </c>
      <c r="E1466" t="s">
        <v>3624</v>
      </c>
      <c r="F1466" t="s">
        <v>3625</v>
      </c>
      <c r="G1466" t="s">
        <v>25</v>
      </c>
      <c r="H1466" t="s">
        <v>26</v>
      </c>
      <c r="I1466" t="s">
        <v>348</v>
      </c>
      <c r="J1466" t="s">
        <v>668</v>
      </c>
      <c r="K1466" t="s">
        <v>29</v>
      </c>
      <c r="L1466" t="s">
        <v>85</v>
      </c>
      <c r="M1466" t="s">
        <v>31</v>
      </c>
      <c r="N1466" t="s">
        <v>57</v>
      </c>
      <c r="O1466" t="s">
        <v>86</v>
      </c>
      <c r="P1466">
        <v>51.75</v>
      </c>
      <c r="Q1466">
        <v>1</v>
      </c>
      <c r="R1466">
        <v>0</v>
      </c>
      <c r="S1466">
        <v>15.525</v>
      </c>
      <c r="T1466" t="s">
        <v>59</v>
      </c>
      <c r="U1466" t="s">
        <v>72</v>
      </c>
    </row>
    <row r="1467" spans="1:21" x14ac:dyDescent="0.25">
      <c r="A1467" t="s">
        <v>3626</v>
      </c>
      <c r="B1467" s="1">
        <v>42379</v>
      </c>
      <c r="C1467" s="1">
        <v>42382</v>
      </c>
      <c r="D1467" t="s">
        <v>22</v>
      </c>
      <c r="E1467" t="s">
        <v>2248</v>
      </c>
      <c r="F1467" t="s">
        <v>2249</v>
      </c>
      <c r="G1467" t="s">
        <v>25</v>
      </c>
      <c r="H1467" t="s">
        <v>26</v>
      </c>
      <c r="I1467" t="s">
        <v>3627</v>
      </c>
      <c r="J1467" t="s">
        <v>193</v>
      </c>
      <c r="K1467" t="s">
        <v>55</v>
      </c>
      <c r="L1467" t="s">
        <v>651</v>
      </c>
      <c r="M1467" t="s">
        <v>31</v>
      </c>
      <c r="N1467" t="s">
        <v>57</v>
      </c>
      <c r="O1467" t="s">
        <v>652</v>
      </c>
      <c r="P1467">
        <v>24.85</v>
      </c>
      <c r="Q1467">
        <v>5</v>
      </c>
      <c r="R1467">
        <v>0</v>
      </c>
      <c r="S1467">
        <v>7.7035</v>
      </c>
      <c r="T1467" t="s">
        <v>34</v>
      </c>
      <c r="U1467" t="s">
        <v>170</v>
      </c>
    </row>
    <row r="1468" spans="1:21" x14ac:dyDescent="0.25">
      <c r="A1468" t="s">
        <v>3628</v>
      </c>
      <c r="B1468" s="1">
        <v>42183</v>
      </c>
      <c r="C1468" s="1">
        <v>42187</v>
      </c>
      <c r="D1468" t="s">
        <v>40</v>
      </c>
      <c r="E1468" t="s">
        <v>3629</v>
      </c>
      <c r="F1468" t="s">
        <v>3630</v>
      </c>
      <c r="G1468" t="s">
        <v>91</v>
      </c>
      <c r="H1468" t="s">
        <v>26</v>
      </c>
      <c r="I1468" t="s">
        <v>2034</v>
      </c>
      <c r="J1468" t="s">
        <v>521</v>
      </c>
      <c r="K1468" t="s">
        <v>55</v>
      </c>
      <c r="L1468" t="s">
        <v>791</v>
      </c>
      <c r="M1468" t="s">
        <v>31</v>
      </c>
      <c r="N1468" t="s">
        <v>57</v>
      </c>
      <c r="O1468" t="s">
        <v>792</v>
      </c>
      <c r="P1468">
        <v>621.76</v>
      </c>
      <c r="Q1468">
        <v>4</v>
      </c>
      <c r="R1468">
        <v>0.2</v>
      </c>
      <c r="S1468">
        <v>46.631999999999998</v>
      </c>
      <c r="T1468" t="s">
        <v>84</v>
      </c>
      <c r="U1468" t="s">
        <v>60</v>
      </c>
    </row>
    <row r="1469" spans="1:21" x14ac:dyDescent="0.25">
      <c r="A1469" t="s">
        <v>3631</v>
      </c>
      <c r="B1469" s="1">
        <v>42316</v>
      </c>
      <c r="C1469" s="1">
        <v>42321</v>
      </c>
      <c r="D1469" t="s">
        <v>22</v>
      </c>
      <c r="E1469" t="s">
        <v>2468</v>
      </c>
      <c r="F1469" t="s">
        <v>2469</v>
      </c>
      <c r="G1469" t="s">
        <v>25</v>
      </c>
      <c r="H1469" t="s">
        <v>26</v>
      </c>
      <c r="I1469" t="s">
        <v>2851</v>
      </c>
      <c r="J1469" t="s">
        <v>717</v>
      </c>
      <c r="K1469" t="s">
        <v>29</v>
      </c>
      <c r="L1469" t="s">
        <v>1797</v>
      </c>
      <c r="M1469" t="s">
        <v>31</v>
      </c>
      <c r="N1469" t="s">
        <v>57</v>
      </c>
      <c r="O1469" t="s">
        <v>1798</v>
      </c>
      <c r="P1469">
        <v>186.54</v>
      </c>
      <c r="Q1469">
        <v>3</v>
      </c>
      <c r="R1469">
        <v>0</v>
      </c>
      <c r="S1469">
        <v>41.038800000000002</v>
      </c>
      <c r="T1469" t="s">
        <v>59</v>
      </c>
      <c r="U1469" t="s">
        <v>35</v>
      </c>
    </row>
    <row r="1470" spans="1:21" x14ac:dyDescent="0.25">
      <c r="A1470" t="s">
        <v>3632</v>
      </c>
      <c r="B1470" s="1">
        <v>42093</v>
      </c>
      <c r="C1470" s="1">
        <v>42097</v>
      </c>
      <c r="D1470" t="s">
        <v>40</v>
      </c>
      <c r="E1470" t="s">
        <v>2114</v>
      </c>
      <c r="F1470" t="s">
        <v>2115</v>
      </c>
      <c r="G1470" t="s">
        <v>101</v>
      </c>
      <c r="H1470" t="s">
        <v>26</v>
      </c>
      <c r="I1470" t="s">
        <v>3633</v>
      </c>
      <c r="J1470" t="s">
        <v>135</v>
      </c>
      <c r="K1470" t="s">
        <v>94</v>
      </c>
      <c r="L1470" t="s">
        <v>2579</v>
      </c>
      <c r="M1470" t="s">
        <v>31</v>
      </c>
      <c r="N1470" t="s">
        <v>37</v>
      </c>
      <c r="O1470" t="s">
        <v>2580</v>
      </c>
      <c r="P1470">
        <v>366.74400000000003</v>
      </c>
      <c r="Q1470">
        <v>4</v>
      </c>
      <c r="R1470">
        <v>0.3</v>
      </c>
      <c r="S1470">
        <v>-110.0232</v>
      </c>
      <c r="T1470" t="s">
        <v>84</v>
      </c>
      <c r="U1470" t="s">
        <v>196</v>
      </c>
    </row>
    <row r="1471" spans="1:21" x14ac:dyDescent="0.25">
      <c r="A1471" t="s">
        <v>3634</v>
      </c>
      <c r="B1471" s="1">
        <v>41870</v>
      </c>
      <c r="C1471" s="1">
        <v>41872</v>
      </c>
      <c r="D1471" t="s">
        <v>22</v>
      </c>
      <c r="E1471" t="s">
        <v>2357</v>
      </c>
      <c r="F1471" t="s">
        <v>2358</v>
      </c>
      <c r="G1471" t="s">
        <v>91</v>
      </c>
      <c r="H1471" t="s">
        <v>26</v>
      </c>
      <c r="I1471" t="s">
        <v>53</v>
      </c>
      <c r="J1471" t="s">
        <v>54</v>
      </c>
      <c r="K1471" t="s">
        <v>55</v>
      </c>
      <c r="L1471" t="s">
        <v>597</v>
      </c>
      <c r="M1471" t="s">
        <v>31</v>
      </c>
      <c r="N1471" t="s">
        <v>57</v>
      </c>
      <c r="O1471" t="s">
        <v>598</v>
      </c>
      <c r="P1471">
        <v>289.24</v>
      </c>
      <c r="Q1471">
        <v>7</v>
      </c>
      <c r="R1471">
        <v>0</v>
      </c>
      <c r="S1471">
        <v>26.031600000000001</v>
      </c>
      <c r="T1471" t="s">
        <v>71</v>
      </c>
      <c r="U1471" t="s">
        <v>254</v>
      </c>
    </row>
    <row r="1472" spans="1:21" x14ac:dyDescent="0.25">
      <c r="A1472" t="s">
        <v>3635</v>
      </c>
      <c r="B1472" s="1">
        <v>42309</v>
      </c>
      <c r="C1472" s="1">
        <v>42313</v>
      </c>
      <c r="D1472" t="s">
        <v>40</v>
      </c>
      <c r="E1472" t="s">
        <v>2874</v>
      </c>
      <c r="F1472" t="s">
        <v>2875</v>
      </c>
      <c r="G1472" t="s">
        <v>25</v>
      </c>
      <c r="H1472" t="s">
        <v>26</v>
      </c>
      <c r="I1472" t="s">
        <v>174</v>
      </c>
      <c r="J1472" t="s">
        <v>121</v>
      </c>
      <c r="K1472" t="s">
        <v>68</v>
      </c>
      <c r="L1472" t="s">
        <v>3217</v>
      </c>
      <c r="M1472" t="s">
        <v>31</v>
      </c>
      <c r="N1472" t="s">
        <v>37</v>
      </c>
      <c r="O1472" t="s">
        <v>3218</v>
      </c>
      <c r="P1472">
        <v>205.16399999999999</v>
      </c>
      <c r="Q1472">
        <v>2</v>
      </c>
      <c r="R1472">
        <v>0.1</v>
      </c>
      <c r="S1472">
        <v>13.6776</v>
      </c>
      <c r="T1472" t="s">
        <v>84</v>
      </c>
      <c r="U1472" t="s">
        <v>35</v>
      </c>
    </row>
    <row r="1473" spans="1:21" x14ac:dyDescent="0.25">
      <c r="A1473" t="s">
        <v>3636</v>
      </c>
      <c r="B1473" s="1">
        <v>41988</v>
      </c>
      <c r="C1473" s="1">
        <v>41994</v>
      </c>
      <c r="D1473" t="s">
        <v>40</v>
      </c>
      <c r="E1473" t="s">
        <v>2618</v>
      </c>
      <c r="F1473" t="s">
        <v>2619</v>
      </c>
      <c r="G1473" t="s">
        <v>91</v>
      </c>
      <c r="H1473" t="s">
        <v>26</v>
      </c>
      <c r="I1473" t="s">
        <v>134</v>
      </c>
      <c r="J1473" t="s">
        <v>135</v>
      </c>
      <c r="K1473" t="s">
        <v>94</v>
      </c>
      <c r="L1473" t="s">
        <v>2141</v>
      </c>
      <c r="M1473" t="s">
        <v>31</v>
      </c>
      <c r="N1473" t="s">
        <v>57</v>
      </c>
      <c r="O1473" t="s">
        <v>2142</v>
      </c>
      <c r="P1473">
        <v>8.5440000000000005</v>
      </c>
      <c r="Q1473">
        <v>2</v>
      </c>
      <c r="R1473">
        <v>0.6</v>
      </c>
      <c r="S1473">
        <v>-7.476</v>
      </c>
      <c r="T1473" t="s">
        <v>130</v>
      </c>
      <c r="U1473" t="s">
        <v>97</v>
      </c>
    </row>
    <row r="1474" spans="1:21" x14ac:dyDescent="0.25">
      <c r="A1474" t="s">
        <v>3637</v>
      </c>
      <c r="B1474" s="1">
        <v>42237</v>
      </c>
      <c r="C1474" s="1">
        <v>42241</v>
      </c>
      <c r="D1474" t="s">
        <v>40</v>
      </c>
      <c r="E1474" t="s">
        <v>3489</v>
      </c>
      <c r="F1474" t="s">
        <v>3490</v>
      </c>
      <c r="G1474" t="s">
        <v>91</v>
      </c>
      <c r="H1474" t="s">
        <v>26</v>
      </c>
      <c r="I1474" t="s">
        <v>879</v>
      </c>
      <c r="J1474" t="s">
        <v>232</v>
      </c>
      <c r="K1474" t="s">
        <v>68</v>
      </c>
      <c r="L1474" t="s">
        <v>576</v>
      </c>
      <c r="M1474" t="s">
        <v>31</v>
      </c>
      <c r="N1474" t="s">
        <v>37</v>
      </c>
      <c r="O1474" t="s">
        <v>577</v>
      </c>
      <c r="P1474">
        <v>598.45799999999997</v>
      </c>
      <c r="Q1474">
        <v>3</v>
      </c>
      <c r="R1474">
        <v>0.3</v>
      </c>
      <c r="S1474">
        <v>-42.747</v>
      </c>
      <c r="T1474" t="s">
        <v>84</v>
      </c>
      <c r="U1474" t="s">
        <v>254</v>
      </c>
    </row>
    <row r="1475" spans="1:21" x14ac:dyDescent="0.25">
      <c r="A1475" t="s">
        <v>3637</v>
      </c>
      <c r="B1475" s="1">
        <v>42237</v>
      </c>
      <c r="C1475" s="1">
        <v>42241</v>
      </c>
      <c r="D1475" t="s">
        <v>40</v>
      </c>
      <c r="E1475" t="s">
        <v>3489</v>
      </c>
      <c r="F1475" t="s">
        <v>3490</v>
      </c>
      <c r="G1475" t="s">
        <v>91</v>
      </c>
      <c r="H1475" t="s">
        <v>26</v>
      </c>
      <c r="I1475" t="s">
        <v>879</v>
      </c>
      <c r="J1475" t="s">
        <v>232</v>
      </c>
      <c r="K1475" t="s">
        <v>68</v>
      </c>
      <c r="L1475" t="s">
        <v>2396</v>
      </c>
      <c r="M1475" t="s">
        <v>31</v>
      </c>
      <c r="N1475" t="s">
        <v>57</v>
      </c>
      <c r="O1475" t="s">
        <v>2397</v>
      </c>
      <c r="P1475">
        <v>25.984000000000002</v>
      </c>
      <c r="Q1475">
        <v>1</v>
      </c>
      <c r="R1475">
        <v>0.2</v>
      </c>
      <c r="S1475">
        <v>-3.8976000000000002</v>
      </c>
      <c r="T1475" t="s">
        <v>84</v>
      </c>
      <c r="U1475" t="s">
        <v>254</v>
      </c>
    </row>
    <row r="1476" spans="1:21" x14ac:dyDescent="0.25">
      <c r="A1476" t="s">
        <v>3638</v>
      </c>
      <c r="B1476" s="1">
        <v>43078</v>
      </c>
      <c r="C1476" s="1">
        <v>43080</v>
      </c>
      <c r="D1476" t="s">
        <v>22</v>
      </c>
      <c r="E1476" t="s">
        <v>2302</v>
      </c>
      <c r="F1476" t="s">
        <v>2303</v>
      </c>
      <c r="G1476" t="s">
        <v>101</v>
      </c>
      <c r="H1476" t="s">
        <v>26</v>
      </c>
      <c r="I1476" t="s">
        <v>3639</v>
      </c>
      <c r="J1476" t="s">
        <v>54</v>
      </c>
      <c r="K1476" t="s">
        <v>55</v>
      </c>
      <c r="L1476" t="s">
        <v>861</v>
      </c>
      <c r="M1476" t="s">
        <v>31</v>
      </c>
      <c r="N1476" t="s">
        <v>32</v>
      </c>
      <c r="O1476" t="s">
        <v>862</v>
      </c>
      <c r="P1476">
        <v>148.25700000000001</v>
      </c>
      <c r="Q1476">
        <v>3</v>
      </c>
      <c r="R1476">
        <v>0.15</v>
      </c>
      <c r="S1476">
        <v>15.697800000000001</v>
      </c>
      <c r="T1476" t="s">
        <v>71</v>
      </c>
      <c r="U1476" t="s">
        <v>97</v>
      </c>
    </row>
    <row r="1477" spans="1:21" x14ac:dyDescent="0.25">
      <c r="A1477" t="s">
        <v>3640</v>
      </c>
      <c r="B1477" s="1">
        <v>41874</v>
      </c>
      <c r="C1477" s="1">
        <v>41878</v>
      </c>
      <c r="D1477" t="s">
        <v>40</v>
      </c>
      <c r="E1477" t="s">
        <v>1066</v>
      </c>
      <c r="F1477" t="s">
        <v>1067</v>
      </c>
      <c r="G1477" t="s">
        <v>25</v>
      </c>
      <c r="H1477" t="s">
        <v>26</v>
      </c>
      <c r="I1477" t="s">
        <v>266</v>
      </c>
      <c r="J1477" t="s">
        <v>181</v>
      </c>
      <c r="K1477" t="s">
        <v>55</v>
      </c>
      <c r="L1477" t="s">
        <v>338</v>
      </c>
      <c r="M1477" t="s">
        <v>31</v>
      </c>
      <c r="N1477" t="s">
        <v>57</v>
      </c>
      <c r="O1477" t="s">
        <v>339</v>
      </c>
      <c r="P1477">
        <v>4.2240000000000002</v>
      </c>
      <c r="Q1477">
        <v>3</v>
      </c>
      <c r="R1477">
        <v>0.2</v>
      </c>
      <c r="S1477">
        <v>1.2672000000000001</v>
      </c>
      <c r="T1477" t="s">
        <v>84</v>
      </c>
      <c r="U1477" t="s">
        <v>254</v>
      </c>
    </row>
    <row r="1478" spans="1:21" x14ac:dyDescent="0.25">
      <c r="A1478" t="s">
        <v>3641</v>
      </c>
      <c r="B1478" s="1">
        <v>42685</v>
      </c>
      <c r="C1478" s="1">
        <v>42690</v>
      </c>
      <c r="D1478" t="s">
        <v>40</v>
      </c>
      <c r="E1478" t="s">
        <v>2382</v>
      </c>
      <c r="F1478" t="s">
        <v>2383</v>
      </c>
      <c r="G1478" t="s">
        <v>91</v>
      </c>
      <c r="H1478" t="s">
        <v>26</v>
      </c>
      <c r="I1478" t="s">
        <v>174</v>
      </c>
      <c r="J1478" t="s">
        <v>121</v>
      </c>
      <c r="K1478" t="s">
        <v>68</v>
      </c>
      <c r="L1478" t="s">
        <v>1618</v>
      </c>
      <c r="M1478" t="s">
        <v>31</v>
      </c>
      <c r="N1478" t="s">
        <v>37</v>
      </c>
      <c r="O1478" t="s">
        <v>1619</v>
      </c>
      <c r="P1478">
        <v>245.64599999999999</v>
      </c>
      <c r="Q1478">
        <v>3</v>
      </c>
      <c r="R1478">
        <v>0.1</v>
      </c>
      <c r="S1478">
        <v>8.1882000000000001</v>
      </c>
      <c r="T1478" t="s">
        <v>59</v>
      </c>
      <c r="U1478" t="s">
        <v>35</v>
      </c>
    </row>
    <row r="1479" spans="1:21" x14ac:dyDescent="0.25">
      <c r="A1479" t="s">
        <v>3642</v>
      </c>
      <c r="B1479" s="1">
        <v>43048</v>
      </c>
      <c r="C1479" s="1">
        <v>43052</v>
      </c>
      <c r="D1479" t="s">
        <v>40</v>
      </c>
      <c r="E1479" t="s">
        <v>2317</v>
      </c>
      <c r="F1479" t="s">
        <v>2318</v>
      </c>
      <c r="G1479" t="s">
        <v>91</v>
      </c>
      <c r="H1479" t="s">
        <v>26</v>
      </c>
      <c r="I1479" t="s">
        <v>640</v>
      </c>
      <c r="J1479" t="s">
        <v>54</v>
      </c>
      <c r="K1479" t="s">
        <v>55</v>
      </c>
      <c r="L1479" t="s">
        <v>817</v>
      </c>
      <c r="M1479" t="s">
        <v>31</v>
      </c>
      <c r="N1479" t="s">
        <v>37</v>
      </c>
      <c r="O1479" t="s">
        <v>818</v>
      </c>
      <c r="P1479">
        <v>523.39200000000005</v>
      </c>
      <c r="Q1479">
        <v>3</v>
      </c>
      <c r="R1479">
        <v>0.2</v>
      </c>
      <c r="S1479">
        <v>52.339199999999998</v>
      </c>
      <c r="T1479" t="s">
        <v>84</v>
      </c>
      <c r="U1479" t="s">
        <v>35</v>
      </c>
    </row>
    <row r="1480" spans="1:21" x14ac:dyDescent="0.25">
      <c r="A1480" t="s">
        <v>3643</v>
      </c>
      <c r="B1480" s="1">
        <v>43086</v>
      </c>
      <c r="C1480" s="1">
        <v>43092</v>
      </c>
      <c r="D1480" t="s">
        <v>40</v>
      </c>
      <c r="E1480" t="s">
        <v>3644</v>
      </c>
      <c r="F1480" t="s">
        <v>3645</v>
      </c>
      <c r="G1480" t="s">
        <v>25</v>
      </c>
      <c r="H1480" t="s">
        <v>26</v>
      </c>
      <c r="I1480" t="s">
        <v>174</v>
      </c>
      <c r="J1480" t="s">
        <v>121</v>
      </c>
      <c r="K1480" t="s">
        <v>68</v>
      </c>
      <c r="L1480" t="s">
        <v>1797</v>
      </c>
      <c r="M1480" t="s">
        <v>31</v>
      </c>
      <c r="N1480" t="s">
        <v>57</v>
      </c>
      <c r="O1480" t="s">
        <v>1798</v>
      </c>
      <c r="P1480">
        <v>124.36</v>
      </c>
      <c r="Q1480">
        <v>2</v>
      </c>
      <c r="R1480">
        <v>0</v>
      </c>
      <c r="S1480">
        <v>27.359200000000001</v>
      </c>
      <c r="T1480" t="s">
        <v>130</v>
      </c>
      <c r="U1480" t="s">
        <v>97</v>
      </c>
    </row>
    <row r="1481" spans="1:21" x14ac:dyDescent="0.25">
      <c r="A1481" t="s">
        <v>3646</v>
      </c>
      <c r="B1481" s="1">
        <v>42934</v>
      </c>
      <c r="C1481" s="1">
        <v>42939</v>
      </c>
      <c r="D1481" t="s">
        <v>40</v>
      </c>
      <c r="E1481" t="s">
        <v>740</v>
      </c>
      <c r="F1481" t="s">
        <v>741</v>
      </c>
      <c r="G1481" t="s">
        <v>25</v>
      </c>
      <c r="H1481" t="s">
        <v>26</v>
      </c>
      <c r="I1481" t="s">
        <v>66</v>
      </c>
      <c r="J1481" t="s">
        <v>67</v>
      </c>
      <c r="K1481" t="s">
        <v>68</v>
      </c>
      <c r="L1481" t="s">
        <v>591</v>
      </c>
      <c r="M1481" t="s">
        <v>31</v>
      </c>
      <c r="N1481" t="s">
        <v>37</v>
      </c>
      <c r="O1481" t="s">
        <v>592</v>
      </c>
      <c r="P1481">
        <v>198.744</v>
      </c>
      <c r="Q1481">
        <v>4</v>
      </c>
      <c r="R1481">
        <v>0.3</v>
      </c>
      <c r="S1481">
        <v>-14.196</v>
      </c>
      <c r="T1481" t="s">
        <v>59</v>
      </c>
      <c r="U1481" t="s">
        <v>72</v>
      </c>
    </row>
    <row r="1482" spans="1:21" x14ac:dyDescent="0.25">
      <c r="A1482" t="s">
        <v>3647</v>
      </c>
      <c r="B1482" s="1">
        <v>41737</v>
      </c>
      <c r="C1482" s="1">
        <v>41741</v>
      </c>
      <c r="D1482" t="s">
        <v>40</v>
      </c>
      <c r="E1482" t="s">
        <v>393</v>
      </c>
      <c r="F1482" t="s">
        <v>394</v>
      </c>
      <c r="G1482" t="s">
        <v>101</v>
      </c>
      <c r="H1482" t="s">
        <v>26</v>
      </c>
      <c r="I1482" t="s">
        <v>510</v>
      </c>
      <c r="J1482" t="s">
        <v>54</v>
      </c>
      <c r="K1482" t="s">
        <v>55</v>
      </c>
      <c r="L1482" t="s">
        <v>291</v>
      </c>
      <c r="M1482" t="s">
        <v>31</v>
      </c>
      <c r="N1482" t="s">
        <v>46</v>
      </c>
      <c r="O1482" t="s">
        <v>292</v>
      </c>
      <c r="P1482">
        <v>99.591999999999999</v>
      </c>
      <c r="Q1482">
        <v>1</v>
      </c>
      <c r="R1482">
        <v>0.2</v>
      </c>
      <c r="S1482">
        <v>2.4897999999999998</v>
      </c>
      <c r="T1482" t="s">
        <v>84</v>
      </c>
      <c r="U1482" t="s">
        <v>114</v>
      </c>
    </row>
    <row r="1483" spans="1:21" x14ac:dyDescent="0.25">
      <c r="A1483" t="s">
        <v>3648</v>
      </c>
      <c r="B1483" s="1">
        <v>42715</v>
      </c>
      <c r="C1483" s="1">
        <v>42715</v>
      </c>
      <c r="D1483" t="s">
        <v>426</v>
      </c>
      <c r="E1483" t="s">
        <v>1731</v>
      </c>
      <c r="F1483" t="s">
        <v>1732</v>
      </c>
      <c r="G1483" t="s">
        <v>25</v>
      </c>
      <c r="H1483" t="s">
        <v>26</v>
      </c>
      <c r="I1483" t="s">
        <v>3048</v>
      </c>
      <c r="J1483" t="s">
        <v>54</v>
      </c>
      <c r="K1483" t="s">
        <v>55</v>
      </c>
      <c r="L1483" t="s">
        <v>1618</v>
      </c>
      <c r="M1483" t="s">
        <v>31</v>
      </c>
      <c r="N1483" t="s">
        <v>37</v>
      </c>
      <c r="O1483" t="s">
        <v>1619</v>
      </c>
      <c r="P1483">
        <v>363.92</v>
      </c>
      <c r="Q1483">
        <v>5</v>
      </c>
      <c r="R1483">
        <v>0.2</v>
      </c>
      <c r="S1483">
        <v>-31.843</v>
      </c>
      <c r="T1483" t="s">
        <v>431</v>
      </c>
      <c r="U1483" t="s">
        <v>97</v>
      </c>
    </row>
    <row r="1484" spans="1:21" x14ac:dyDescent="0.25">
      <c r="A1484" t="s">
        <v>3648</v>
      </c>
      <c r="B1484" s="1">
        <v>42715</v>
      </c>
      <c r="C1484" s="1">
        <v>42715</v>
      </c>
      <c r="D1484" t="s">
        <v>426</v>
      </c>
      <c r="E1484" t="s">
        <v>1731</v>
      </c>
      <c r="F1484" t="s">
        <v>1732</v>
      </c>
      <c r="G1484" t="s">
        <v>25</v>
      </c>
      <c r="H1484" t="s">
        <v>26</v>
      </c>
      <c r="I1484" t="s">
        <v>3048</v>
      </c>
      <c r="J1484" t="s">
        <v>54</v>
      </c>
      <c r="K1484" t="s">
        <v>55</v>
      </c>
      <c r="L1484" t="s">
        <v>1135</v>
      </c>
      <c r="M1484" t="s">
        <v>31</v>
      </c>
      <c r="N1484" t="s">
        <v>46</v>
      </c>
      <c r="O1484" t="s">
        <v>1136</v>
      </c>
      <c r="P1484">
        <v>892.13599999999997</v>
      </c>
      <c r="Q1484">
        <v>7</v>
      </c>
      <c r="R1484">
        <v>0.2</v>
      </c>
      <c r="S1484">
        <v>111.517</v>
      </c>
      <c r="T1484" t="s">
        <v>431</v>
      </c>
      <c r="U1484" t="s">
        <v>97</v>
      </c>
    </row>
    <row r="1485" spans="1:21" x14ac:dyDescent="0.25">
      <c r="A1485" t="s">
        <v>3649</v>
      </c>
      <c r="B1485" s="1">
        <v>42615</v>
      </c>
      <c r="C1485" s="1">
        <v>42619</v>
      </c>
      <c r="D1485" t="s">
        <v>40</v>
      </c>
      <c r="E1485" t="s">
        <v>1610</v>
      </c>
      <c r="F1485" t="s">
        <v>1611</v>
      </c>
      <c r="G1485" t="s">
        <v>25</v>
      </c>
      <c r="H1485" t="s">
        <v>26</v>
      </c>
      <c r="I1485" t="s">
        <v>1528</v>
      </c>
      <c r="J1485" t="s">
        <v>1037</v>
      </c>
      <c r="K1485" t="s">
        <v>29</v>
      </c>
      <c r="L1485" t="s">
        <v>194</v>
      </c>
      <c r="M1485" t="s">
        <v>31</v>
      </c>
      <c r="N1485" t="s">
        <v>46</v>
      </c>
      <c r="O1485" t="s">
        <v>195</v>
      </c>
      <c r="P1485">
        <v>472.51799999999997</v>
      </c>
      <c r="Q1485">
        <v>3</v>
      </c>
      <c r="R1485">
        <v>0.4</v>
      </c>
      <c r="S1485">
        <v>-149.63069999999999</v>
      </c>
      <c r="T1485" t="s">
        <v>84</v>
      </c>
      <c r="U1485" t="s">
        <v>78</v>
      </c>
    </row>
    <row r="1486" spans="1:21" x14ac:dyDescent="0.25">
      <c r="A1486" t="s">
        <v>3650</v>
      </c>
      <c r="B1486" s="1">
        <v>42905</v>
      </c>
      <c r="C1486" s="1">
        <v>42907</v>
      </c>
      <c r="D1486" t="s">
        <v>22</v>
      </c>
      <c r="E1486" t="s">
        <v>1530</v>
      </c>
      <c r="F1486" t="s">
        <v>1531</v>
      </c>
      <c r="G1486" t="s">
        <v>91</v>
      </c>
      <c r="H1486" t="s">
        <v>26</v>
      </c>
      <c r="I1486" t="s">
        <v>231</v>
      </c>
      <c r="J1486" t="s">
        <v>232</v>
      </c>
      <c r="K1486" t="s">
        <v>68</v>
      </c>
      <c r="L1486" t="s">
        <v>421</v>
      </c>
      <c r="M1486" t="s">
        <v>31</v>
      </c>
      <c r="N1486" t="s">
        <v>37</v>
      </c>
      <c r="O1486" t="s">
        <v>422</v>
      </c>
      <c r="P1486">
        <v>760.11599999999999</v>
      </c>
      <c r="Q1486">
        <v>6</v>
      </c>
      <c r="R1486">
        <v>0.3</v>
      </c>
      <c r="S1486">
        <v>-43.435200000000002</v>
      </c>
      <c r="T1486" t="s">
        <v>71</v>
      </c>
      <c r="U1486" t="s">
        <v>60</v>
      </c>
    </row>
    <row r="1487" spans="1:21" x14ac:dyDescent="0.25">
      <c r="A1487" t="s">
        <v>3650</v>
      </c>
      <c r="B1487" s="1">
        <v>42905</v>
      </c>
      <c r="C1487" s="1">
        <v>42907</v>
      </c>
      <c r="D1487" t="s">
        <v>22</v>
      </c>
      <c r="E1487" t="s">
        <v>1530</v>
      </c>
      <c r="F1487" t="s">
        <v>1531</v>
      </c>
      <c r="G1487" t="s">
        <v>91</v>
      </c>
      <c r="H1487" t="s">
        <v>26</v>
      </c>
      <c r="I1487" t="s">
        <v>231</v>
      </c>
      <c r="J1487" t="s">
        <v>232</v>
      </c>
      <c r="K1487" t="s">
        <v>68</v>
      </c>
      <c r="L1487" t="s">
        <v>1963</v>
      </c>
      <c r="M1487" t="s">
        <v>31</v>
      </c>
      <c r="N1487" t="s">
        <v>57</v>
      </c>
      <c r="O1487" t="s">
        <v>1964</v>
      </c>
      <c r="P1487">
        <v>38.783999999999999</v>
      </c>
      <c r="Q1487">
        <v>3</v>
      </c>
      <c r="R1487">
        <v>0.2</v>
      </c>
      <c r="S1487">
        <v>7.2720000000000002</v>
      </c>
      <c r="T1487" t="s">
        <v>71</v>
      </c>
      <c r="U1487" t="s">
        <v>60</v>
      </c>
    </row>
    <row r="1488" spans="1:21" x14ac:dyDescent="0.25">
      <c r="A1488" t="s">
        <v>3651</v>
      </c>
      <c r="B1488" s="1">
        <v>42495</v>
      </c>
      <c r="C1488" s="1">
        <v>42496</v>
      </c>
      <c r="D1488" t="s">
        <v>88</v>
      </c>
      <c r="E1488" t="s">
        <v>939</v>
      </c>
      <c r="F1488" t="s">
        <v>940</v>
      </c>
      <c r="G1488" t="s">
        <v>91</v>
      </c>
      <c r="H1488" t="s">
        <v>26</v>
      </c>
      <c r="I1488" t="s">
        <v>27</v>
      </c>
      <c r="J1488" t="s">
        <v>1341</v>
      </c>
      <c r="K1488" t="s">
        <v>55</v>
      </c>
      <c r="L1488" t="s">
        <v>2820</v>
      </c>
      <c r="M1488" t="s">
        <v>31</v>
      </c>
      <c r="N1488" t="s">
        <v>46</v>
      </c>
      <c r="O1488" t="s">
        <v>2821</v>
      </c>
      <c r="P1488">
        <v>1685.88</v>
      </c>
      <c r="Q1488">
        <v>6</v>
      </c>
      <c r="R1488">
        <v>0</v>
      </c>
      <c r="S1488">
        <v>320.31720000000001</v>
      </c>
      <c r="T1488" t="s">
        <v>124</v>
      </c>
      <c r="U1488" t="s">
        <v>162</v>
      </c>
    </row>
    <row r="1489" spans="1:21" x14ac:dyDescent="0.25">
      <c r="A1489" t="s">
        <v>3652</v>
      </c>
      <c r="B1489" s="1">
        <v>43070</v>
      </c>
      <c r="C1489" s="1">
        <v>43077</v>
      </c>
      <c r="D1489" t="s">
        <v>40</v>
      </c>
      <c r="E1489" t="s">
        <v>41</v>
      </c>
      <c r="F1489" t="s">
        <v>42</v>
      </c>
      <c r="G1489" t="s">
        <v>25</v>
      </c>
      <c r="H1489" t="s">
        <v>26</v>
      </c>
      <c r="I1489" t="s">
        <v>192</v>
      </c>
      <c r="J1489" t="s">
        <v>193</v>
      </c>
      <c r="K1489" t="s">
        <v>55</v>
      </c>
      <c r="L1489" t="s">
        <v>2421</v>
      </c>
      <c r="M1489" t="s">
        <v>31</v>
      </c>
      <c r="N1489" t="s">
        <v>32</v>
      </c>
      <c r="O1489" t="s">
        <v>2422</v>
      </c>
      <c r="P1489">
        <v>141.96</v>
      </c>
      <c r="Q1489">
        <v>2</v>
      </c>
      <c r="R1489">
        <v>0</v>
      </c>
      <c r="S1489">
        <v>41.168399999999998</v>
      </c>
      <c r="T1489" t="s">
        <v>48</v>
      </c>
      <c r="U1489" t="s">
        <v>97</v>
      </c>
    </row>
    <row r="1490" spans="1:21" x14ac:dyDescent="0.25">
      <c r="A1490" t="s">
        <v>3653</v>
      </c>
      <c r="B1490" s="1">
        <v>42225</v>
      </c>
      <c r="C1490" s="1">
        <v>42232</v>
      </c>
      <c r="D1490" t="s">
        <v>40</v>
      </c>
      <c r="E1490" t="s">
        <v>2959</v>
      </c>
      <c r="F1490" t="s">
        <v>2960</v>
      </c>
      <c r="G1490" t="s">
        <v>91</v>
      </c>
      <c r="H1490" t="s">
        <v>26</v>
      </c>
      <c r="I1490" t="s">
        <v>174</v>
      </c>
      <c r="J1490" t="s">
        <v>121</v>
      </c>
      <c r="K1490" t="s">
        <v>68</v>
      </c>
      <c r="L1490" t="s">
        <v>2426</v>
      </c>
      <c r="M1490" t="s">
        <v>31</v>
      </c>
      <c r="N1490" t="s">
        <v>57</v>
      </c>
      <c r="O1490" t="s">
        <v>2427</v>
      </c>
      <c r="P1490">
        <v>10.02</v>
      </c>
      <c r="Q1490">
        <v>3</v>
      </c>
      <c r="R1490">
        <v>0</v>
      </c>
      <c r="S1490">
        <v>4.4088000000000003</v>
      </c>
      <c r="T1490" t="s">
        <v>48</v>
      </c>
      <c r="U1490" t="s">
        <v>254</v>
      </c>
    </row>
    <row r="1491" spans="1:21" x14ac:dyDescent="0.25">
      <c r="A1491" t="s">
        <v>3654</v>
      </c>
      <c r="B1491" s="1">
        <v>42688</v>
      </c>
      <c r="C1491" s="1">
        <v>42694</v>
      </c>
      <c r="D1491" t="s">
        <v>40</v>
      </c>
      <c r="E1491" t="s">
        <v>2168</v>
      </c>
      <c r="F1491" t="s">
        <v>2169</v>
      </c>
      <c r="G1491" t="s">
        <v>25</v>
      </c>
      <c r="H1491" t="s">
        <v>26</v>
      </c>
      <c r="I1491" t="s">
        <v>231</v>
      </c>
      <c r="J1491" t="s">
        <v>201</v>
      </c>
      <c r="K1491" t="s">
        <v>68</v>
      </c>
      <c r="L1491" t="s">
        <v>2238</v>
      </c>
      <c r="M1491" t="s">
        <v>31</v>
      </c>
      <c r="N1491" t="s">
        <v>57</v>
      </c>
      <c r="O1491" t="s">
        <v>2239</v>
      </c>
      <c r="P1491">
        <v>19.920000000000002</v>
      </c>
      <c r="Q1491">
        <v>4</v>
      </c>
      <c r="R1491">
        <v>0</v>
      </c>
      <c r="S1491">
        <v>6.5735999999999999</v>
      </c>
      <c r="T1491" t="s">
        <v>130</v>
      </c>
      <c r="U1491" t="s">
        <v>35</v>
      </c>
    </row>
    <row r="1492" spans="1:21" x14ac:dyDescent="0.25">
      <c r="A1492" t="s">
        <v>3655</v>
      </c>
      <c r="B1492" s="1">
        <v>43065</v>
      </c>
      <c r="C1492" s="1">
        <v>43070</v>
      </c>
      <c r="D1492" t="s">
        <v>40</v>
      </c>
      <c r="E1492" t="s">
        <v>3476</v>
      </c>
      <c r="F1492" t="s">
        <v>3477</v>
      </c>
      <c r="G1492" t="s">
        <v>101</v>
      </c>
      <c r="H1492" t="s">
        <v>26</v>
      </c>
      <c r="I1492" t="s">
        <v>636</v>
      </c>
      <c r="J1492" t="s">
        <v>111</v>
      </c>
      <c r="K1492" t="s">
        <v>94</v>
      </c>
      <c r="L1492" t="s">
        <v>1260</v>
      </c>
      <c r="M1492" t="s">
        <v>31</v>
      </c>
      <c r="N1492" t="s">
        <v>46</v>
      </c>
      <c r="O1492" t="s">
        <v>1064</v>
      </c>
      <c r="P1492">
        <v>257.94</v>
      </c>
      <c r="Q1492">
        <v>3</v>
      </c>
      <c r="R1492">
        <v>0</v>
      </c>
      <c r="S1492">
        <v>67.064400000000006</v>
      </c>
      <c r="T1492" t="s">
        <v>59</v>
      </c>
      <c r="U1492" t="s">
        <v>35</v>
      </c>
    </row>
    <row r="1493" spans="1:21" x14ac:dyDescent="0.25">
      <c r="A1493" t="s">
        <v>3655</v>
      </c>
      <c r="B1493" s="1">
        <v>43065</v>
      </c>
      <c r="C1493" s="1">
        <v>43070</v>
      </c>
      <c r="D1493" t="s">
        <v>40</v>
      </c>
      <c r="E1493" t="s">
        <v>3476</v>
      </c>
      <c r="F1493" t="s">
        <v>3477</v>
      </c>
      <c r="G1493" t="s">
        <v>101</v>
      </c>
      <c r="H1493" t="s">
        <v>26</v>
      </c>
      <c r="I1493" t="s">
        <v>636</v>
      </c>
      <c r="J1493" t="s">
        <v>111</v>
      </c>
      <c r="K1493" t="s">
        <v>94</v>
      </c>
      <c r="L1493" t="s">
        <v>1291</v>
      </c>
      <c r="M1493" t="s">
        <v>31</v>
      </c>
      <c r="N1493" t="s">
        <v>57</v>
      </c>
      <c r="O1493" t="s">
        <v>1292</v>
      </c>
      <c r="P1493">
        <v>27.46</v>
      </c>
      <c r="Q1493">
        <v>2</v>
      </c>
      <c r="R1493">
        <v>0</v>
      </c>
      <c r="S1493">
        <v>9.8856000000000002</v>
      </c>
      <c r="T1493" t="s">
        <v>59</v>
      </c>
      <c r="U1493" t="s">
        <v>35</v>
      </c>
    </row>
    <row r="1494" spans="1:21" x14ac:dyDescent="0.25">
      <c r="A1494" t="s">
        <v>3655</v>
      </c>
      <c r="B1494" s="1">
        <v>43065</v>
      </c>
      <c r="C1494" s="1">
        <v>43070</v>
      </c>
      <c r="D1494" t="s">
        <v>40</v>
      </c>
      <c r="E1494" t="s">
        <v>3476</v>
      </c>
      <c r="F1494" t="s">
        <v>3477</v>
      </c>
      <c r="G1494" t="s">
        <v>101</v>
      </c>
      <c r="H1494" t="s">
        <v>26</v>
      </c>
      <c r="I1494" t="s">
        <v>636</v>
      </c>
      <c r="J1494" t="s">
        <v>111</v>
      </c>
      <c r="K1494" t="s">
        <v>94</v>
      </c>
      <c r="L1494" t="s">
        <v>247</v>
      </c>
      <c r="M1494" t="s">
        <v>31</v>
      </c>
      <c r="N1494" t="s">
        <v>37</v>
      </c>
      <c r="O1494" t="s">
        <v>248</v>
      </c>
      <c r="P1494">
        <v>828.6</v>
      </c>
      <c r="Q1494">
        <v>3</v>
      </c>
      <c r="R1494">
        <v>0</v>
      </c>
      <c r="S1494">
        <v>240.29400000000001</v>
      </c>
      <c r="T1494" t="s">
        <v>59</v>
      </c>
      <c r="U1494" t="s">
        <v>35</v>
      </c>
    </row>
    <row r="1495" spans="1:21" x14ac:dyDescent="0.25">
      <c r="A1495" t="s">
        <v>3656</v>
      </c>
      <c r="B1495" s="1">
        <v>42328</v>
      </c>
      <c r="C1495" s="1">
        <v>42335</v>
      </c>
      <c r="D1495" t="s">
        <v>40</v>
      </c>
      <c r="E1495" t="s">
        <v>3249</v>
      </c>
      <c r="F1495" t="s">
        <v>3250</v>
      </c>
      <c r="G1495" t="s">
        <v>25</v>
      </c>
      <c r="H1495" t="s">
        <v>26</v>
      </c>
      <c r="I1495" t="s">
        <v>1007</v>
      </c>
      <c r="J1495" t="s">
        <v>44</v>
      </c>
      <c r="K1495" t="s">
        <v>29</v>
      </c>
      <c r="L1495" t="s">
        <v>543</v>
      </c>
      <c r="M1495" t="s">
        <v>31</v>
      </c>
      <c r="N1495" t="s">
        <v>32</v>
      </c>
      <c r="O1495" t="s">
        <v>544</v>
      </c>
      <c r="P1495">
        <v>290.35199999999998</v>
      </c>
      <c r="Q1495">
        <v>3</v>
      </c>
      <c r="R1495">
        <v>0.2</v>
      </c>
      <c r="S1495">
        <v>-36.293999999999997</v>
      </c>
      <c r="T1495" t="s">
        <v>48</v>
      </c>
      <c r="U1495" t="s">
        <v>35</v>
      </c>
    </row>
    <row r="1496" spans="1:21" x14ac:dyDescent="0.25">
      <c r="A1496" t="s">
        <v>3657</v>
      </c>
      <c r="B1496" s="1">
        <v>42985</v>
      </c>
      <c r="C1496" s="1">
        <v>42985</v>
      </c>
      <c r="D1496" t="s">
        <v>426</v>
      </c>
      <c r="E1496" t="s">
        <v>3237</v>
      </c>
      <c r="F1496" t="s">
        <v>3238</v>
      </c>
      <c r="G1496" t="s">
        <v>25</v>
      </c>
      <c r="H1496" t="s">
        <v>26</v>
      </c>
      <c r="I1496" t="s">
        <v>3658</v>
      </c>
      <c r="J1496" t="s">
        <v>566</v>
      </c>
      <c r="K1496" t="s">
        <v>94</v>
      </c>
      <c r="L1496" t="s">
        <v>1710</v>
      </c>
      <c r="M1496" t="s">
        <v>31</v>
      </c>
      <c r="N1496" t="s">
        <v>57</v>
      </c>
      <c r="O1496" t="s">
        <v>1711</v>
      </c>
      <c r="P1496">
        <v>135.30000000000001</v>
      </c>
      <c r="Q1496">
        <v>5</v>
      </c>
      <c r="R1496">
        <v>0</v>
      </c>
      <c r="S1496">
        <v>37.884</v>
      </c>
      <c r="T1496" t="s">
        <v>431</v>
      </c>
      <c r="U1496" t="s">
        <v>78</v>
      </c>
    </row>
    <row r="1497" spans="1:21" x14ac:dyDescent="0.25">
      <c r="A1497" t="s">
        <v>3659</v>
      </c>
      <c r="B1497" s="1">
        <v>41967</v>
      </c>
      <c r="C1497" s="1">
        <v>41972</v>
      </c>
      <c r="D1497" t="s">
        <v>40</v>
      </c>
      <c r="E1497" t="s">
        <v>887</v>
      </c>
      <c r="F1497" t="s">
        <v>888</v>
      </c>
      <c r="G1497" t="s">
        <v>101</v>
      </c>
      <c r="H1497" t="s">
        <v>26</v>
      </c>
      <c r="I1497" t="s">
        <v>3540</v>
      </c>
      <c r="J1497" t="s">
        <v>717</v>
      </c>
      <c r="K1497" t="s">
        <v>29</v>
      </c>
      <c r="L1497" t="s">
        <v>1984</v>
      </c>
      <c r="M1497" t="s">
        <v>31</v>
      </c>
      <c r="N1497" t="s">
        <v>57</v>
      </c>
      <c r="O1497" t="s">
        <v>1985</v>
      </c>
      <c r="P1497">
        <v>111.15</v>
      </c>
      <c r="Q1497">
        <v>5</v>
      </c>
      <c r="R1497">
        <v>0</v>
      </c>
      <c r="S1497">
        <v>48.905999999999999</v>
      </c>
      <c r="T1497" t="s">
        <v>59</v>
      </c>
      <c r="U1497" t="s">
        <v>35</v>
      </c>
    </row>
    <row r="1498" spans="1:21" x14ac:dyDescent="0.25">
      <c r="A1498" t="s">
        <v>3660</v>
      </c>
      <c r="B1498" s="1">
        <v>42805</v>
      </c>
      <c r="C1498" s="1">
        <v>42810</v>
      </c>
      <c r="D1498" t="s">
        <v>40</v>
      </c>
      <c r="E1498" t="s">
        <v>3151</v>
      </c>
      <c r="F1498" t="s">
        <v>3152</v>
      </c>
      <c r="G1498" t="s">
        <v>101</v>
      </c>
      <c r="H1498" t="s">
        <v>26</v>
      </c>
      <c r="I1498" t="s">
        <v>66</v>
      </c>
      <c r="J1498" t="s">
        <v>67</v>
      </c>
      <c r="K1498" t="s">
        <v>68</v>
      </c>
      <c r="L1498" t="s">
        <v>1063</v>
      </c>
      <c r="M1498" t="s">
        <v>31</v>
      </c>
      <c r="N1498" t="s">
        <v>46</v>
      </c>
      <c r="O1498" t="s">
        <v>1064</v>
      </c>
      <c r="P1498">
        <v>154.76400000000001</v>
      </c>
      <c r="Q1498">
        <v>3</v>
      </c>
      <c r="R1498">
        <v>0.4</v>
      </c>
      <c r="S1498">
        <v>-46.429200000000002</v>
      </c>
      <c r="T1498" t="s">
        <v>59</v>
      </c>
      <c r="U1498" t="s">
        <v>196</v>
      </c>
    </row>
    <row r="1499" spans="1:21" x14ac:dyDescent="0.25">
      <c r="A1499" t="s">
        <v>3661</v>
      </c>
      <c r="B1499" s="1">
        <v>43091</v>
      </c>
      <c r="C1499" s="1">
        <v>43095</v>
      </c>
      <c r="D1499" t="s">
        <v>40</v>
      </c>
      <c r="E1499" t="s">
        <v>3086</v>
      </c>
      <c r="F1499" t="s">
        <v>3087</v>
      </c>
      <c r="G1499" t="s">
        <v>101</v>
      </c>
      <c r="H1499" t="s">
        <v>26</v>
      </c>
      <c r="I1499" t="s">
        <v>3662</v>
      </c>
      <c r="J1499" t="s">
        <v>1277</v>
      </c>
      <c r="K1499" t="s">
        <v>29</v>
      </c>
      <c r="L1499" t="s">
        <v>591</v>
      </c>
      <c r="M1499" t="s">
        <v>31</v>
      </c>
      <c r="N1499" t="s">
        <v>37</v>
      </c>
      <c r="O1499" t="s">
        <v>592</v>
      </c>
      <c r="P1499">
        <v>141.96</v>
      </c>
      <c r="Q1499">
        <v>2</v>
      </c>
      <c r="R1499">
        <v>0</v>
      </c>
      <c r="S1499">
        <v>35.49</v>
      </c>
      <c r="T1499" t="s">
        <v>84</v>
      </c>
      <c r="U1499" t="s">
        <v>97</v>
      </c>
    </row>
    <row r="1500" spans="1:21" x14ac:dyDescent="0.25">
      <c r="A1500" t="s">
        <v>3663</v>
      </c>
      <c r="B1500" s="1">
        <v>43091</v>
      </c>
      <c r="C1500" s="1">
        <v>43094</v>
      </c>
      <c r="D1500" t="s">
        <v>22</v>
      </c>
      <c r="E1500" t="s">
        <v>3664</v>
      </c>
      <c r="F1500" t="s">
        <v>3665</v>
      </c>
      <c r="G1500" t="s">
        <v>25</v>
      </c>
      <c r="H1500" t="s">
        <v>26</v>
      </c>
      <c r="I1500" t="s">
        <v>915</v>
      </c>
      <c r="J1500" t="s">
        <v>521</v>
      </c>
      <c r="K1500" t="s">
        <v>55</v>
      </c>
      <c r="L1500" t="s">
        <v>1235</v>
      </c>
      <c r="M1500" t="s">
        <v>31</v>
      </c>
      <c r="N1500" t="s">
        <v>46</v>
      </c>
      <c r="O1500" t="s">
        <v>1236</v>
      </c>
      <c r="P1500">
        <v>182.55</v>
      </c>
      <c r="Q1500">
        <v>2</v>
      </c>
      <c r="R1500">
        <v>0.5</v>
      </c>
      <c r="S1500">
        <v>-135.08699999999999</v>
      </c>
      <c r="T1500" t="s">
        <v>34</v>
      </c>
      <c r="U1500" t="s">
        <v>97</v>
      </c>
    </row>
    <row r="1501" spans="1:21" x14ac:dyDescent="0.25">
      <c r="A1501" t="s">
        <v>3666</v>
      </c>
      <c r="B1501" s="1">
        <v>42363</v>
      </c>
      <c r="C1501" s="1">
        <v>42365</v>
      </c>
      <c r="D1501" t="s">
        <v>22</v>
      </c>
      <c r="E1501" t="s">
        <v>2711</v>
      </c>
      <c r="F1501" t="s">
        <v>2712</v>
      </c>
      <c r="G1501" t="s">
        <v>25</v>
      </c>
      <c r="H1501" t="s">
        <v>26</v>
      </c>
      <c r="I1501" t="s">
        <v>348</v>
      </c>
      <c r="J1501" t="s">
        <v>668</v>
      </c>
      <c r="K1501" t="s">
        <v>29</v>
      </c>
      <c r="L1501" t="s">
        <v>3289</v>
      </c>
      <c r="M1501" t="s">
        <v>31</v>
      </c>
      <c r="N1501" t="s">
        <v>57</v>
      </c>
      <c r="O1501" t="s">
        <v>3290</v>
      </c>
      <c r="P1501">
        <v>275.88</v>
      </c>
      <c r="Q1501">
        <v>6</v>
      </c>
      <c r="R1501">
        <v>0</v>
      </c>
      <c r="S1501">
        <v>46.8996</v>
      </c>
      <c r="T1501" t="s">
        <v>71</v>
      </c>
      <c r="U1501" t="s">
        <v>97</v>
      </c>
    </row>
    <row r="1502" spans="1:21" x14ac:dyDescent="0.25">
      <c r="A1502" t="s">
        <v>3667</v>
      </c>
      <c r="B1502" s="1">
        <v>41842</v>
      </c>
      <c r="C1502" s="1">
        <v>41844</v>
      </c>
      <c r="D1502" t="s">
        <v>22</v>
      </c>
      <c r="E1502" t="s">
        <v>714</v>
      </c>
      <c r="F1502" t="s">
        <v>715</v>
      </c>
      <c r="G1502" t="s">
        <v>25</v>
      </c>
      <c r="H1502" t="s">
        <v>26</v>
      </c>
      <c r="I1502" t="s">
        <v>329</v>
      </c>
      <c r="J1502" t="s">
        <v>54</v>
      </c>
      <c r="K1502" t="s">
        <v>55</v>
      </c>
      <c r="L1502" t="s">
        <v>1586</v>
      </c>
      <c r="M1502" t="s">
        <v>31</v>
      </c>
      <c r="N1502" t="s">
        <v>37</v>
      </c>
      <c r="O1502" t="s">
        <v>1587</v>
      </c>
      <c r="P1502">
        <v>717.72</v>
      </c>
      <c r="Q1502">
        <v>3</v>
      </c>
      <c r="R1502">
        <v>0.2</v>
      </c>
      <c r="S1502">
        <v>71.772000000000006</v>
      </c>
      <c r="T1502" t="s">
        <v>71</v>
      </c>
      <c r="U1502" t="s">
        <v>72</v>
      </c>
    </row>
    <row r="1503" spans="1:21" x14ac:dyDescent="0.25">
      <c r="A1503" t="s">
        <v>3667</v>
      </c>
      <c r="B1503" s="1">
        <v>41842</v>
      </c>
      <c r="C1503" s="1">
        <v>41844</v>
      </c>
      <c r="D1503" t="s">
        <v>22</v>
      </c>
      <c r="E1503" t="s">
        <v>714</v>
      </c>
      <c r="F1503" t="s">
        <v>715</v>
      </c>
      <c r="G1503" t="s">
        <v>25</v>
      </c>
      <c r="H1503" t="s">
        <v>26</v>
      </c>
      <c r="I1503" t="s">
        <v>329</v>
      </c>
      <c r="J1503" t="s">
        <v>54</v>
      </c>
      <c r="K1503" t="s">
        <v>55</v>
      </c>
      <c r="L1503" t="s">
        <v>1568</v>
      </c>
      <c r="M1503" t="s">
        <v>31</v>
      </c>
      <c r="N1503" t="s">
        <v>46</v>
      </c>
      <c r="O1503" t="s">
        <v>1569</v>
      </c>
      <c r="P1503">
        <v>170.352</v>
      </c>
      <c r="Q1503">
        <v>3</v>
      </c>
      <c r="R1503">
        <v>0.2</v>
      </c>
      <c r="S1503">
        <v>19.1646</v>
      </c>
      <c r="T1503" t="s">
        <v>71</v>
      </c>
      <c r="U1503" t="s">
        <v>72</v>
      </c>
    </row>
    <row r="1504" spans="1:21" x14ac:dyDescent="0.25">
      <c r="A1504" t="s">
        <v>3668</v>
      </c>
      <c r="B1504" s="1">
        <v>43016</v>
      </c>
      <c r="C1504" s="1">
        <v>43022</v>
      </c>
      <c r="D1504" t="s">
        <v>40</v>
      </c>
      <c r="E1504" t="s">
        <v>834</v>
      </c>
      <c r="F1504" t="s">
        <v>835</v>
      </c>
      <c r="G1504" t="s">
        <v>25</v>
      </c>
      <c r="H1504" t="s">
        <v>26</v>
      </c>
      <c r="I1504" t="s">
        <v>174</v>
      </c>
      <c r="J1504" t="s">
        <v>121</v>
      </c>
      <c r="K1504" t="s">
        <v>68</v>
      </c>
      <c r="L1504" t="s">
        <v>496</v>
      </c>
      <c r="M1504" t="s">
        <v>31</v>
      </c>
      <c r="N1504" t="s">
        <v>37</v>
      </c>
      <c r="O1504" t="s">
        <v>497</v>
      </c>
      <c r="P1504">
        <v>145.76400000000001</v>
      </c>
      <c r="Q1504">
        <v>2</v>
      </c>
      <c r="R1504">
        <v>0.1</v>
      </c>
      <c r="S1504">
        <v>3.2391999999999999</v>
      </c>
      <c r="T1504" t="s">
        <v>130</v>
      </c>
      <c r="U1504" t="s">
        <v>49</v>
      </c>
    </row>
    <row r="1505" spans="1:21" x14ac:dyDescent="0.25">
      <c r="A1505" t="s">
        <v>3669</v>
      </c>
      <c r="B1505" s="1">
        <v>42846</v>
      </c>
      <c r="C1505" s="1">
        <v>42848</v>
      </c>
      <c r="D1505" t="s">
        <v>88</v>
      </c>
      <c r="E1505" t="s">
        <v>2655</v>
      </c>
      <c r="F1505" t="s">
        <v>2656</v>
      </c>
      <c r="G1505" t="s">
        <v>25</v>
      </c>
      <c r="H1505" t="s">
        <v>26</v>
      </c>
      <c r="I1505" t="s">
        <v>2755</v>
      </c>
      <c r="J1505" t="s">
        <v>1090</v>
      </c>
      <c r="K1505" t="s">
        <v>68</v>
      </c>
      <c r="L1505" t="s">
        <v>105</v>
      </c>
      <c r="M1505" t="s">
        <v>31</v>
      </c>
      <c r="N1505" t="s">
        <v>37</v>
      </c>
      <c r="O1505" t="s">
        <v>106</v>
      </c>
      <c r="P1505">
        <v>908.82</v>
      </c>
      <c r="Q1505">
        <v>9</v>
      </c>
      <c r="R1505">
        <v>0</v>
      </c>
      <c r="S1505">
        <v>227.20500000000001</v>
      </c>
      <c r="T1505" t="s">
        <v>71</v>
      </c>
      <c r="U1505" t="s">
        <v>114</v>
      </c>
    </row>
    <row r="1506" spans="1:21" x14ac:dyDescent="0.25">
      <c r="A1506" t="s">
        <v>3670</v>
      </c>
      <c r="B1506" s="1">
        <v>42964</v>
      </c>
      <c r="C1506" s="1">
        <v>42971</v>
      </c>
      <c r="D1506" t="s">
        <v>40</v>
      </c>
      <c r="E1506" t="s">
        <v>2652</v>
      </c>
      <c r="F1506" t="s">
        <v>2653</v>
      </c>
      <c r="G1506" t="s">
        <v>101</v>
      </c>
      <c r="H1506" t="s">
        <v>26</v>
      </c>
      <c r="I1506" t="s">
        <v>102</v>
      </c>
      <c r="J1506" t="s">
        <v>93</v>
      </c>
      <c r="K1506" t="s">
        <v>94</v>
      </c>
      <c r="L1506" t="s">
        <v>2009</v>
      </c>
      <c r="M1506" t="s">
        <v>31</v>
      </c>
      <c r="N1506" t="s">
        <v>37</v>
      </c>
      <c r="O1506" t="s">
        <v>2010</v>
      </c>
      <c r="P1506">
        <v>74.591999999999999</v>
      </c>
      <c r="Q1506">
        <v>4</v>
      </c>
      <c r="R1506">
        <v>0.3</v>
      </c>
      <c r="S1506">
        <v>-2.1312000000000002</v>
      </c>
      <c r="T1506" t="s">
        <v>48</v>
      </c>
      <c r="U1506" t="s">
        <v>254</v>
      </c>
    </row>
    <row r="1507" spans="1:21" x14ac:dyDescent="0.25">
      <c r="A1507" t="s">
        <v>3670</v>
      </c>
      <c r="B1507" s="1">
        <v>42964</v>
      </c>
      <c r="C1507" s="1">
        <v>42971</v>
      </c>
      <c r="D1507" t="s">
        <v>40</v>
      </c>
      <c r="E1507" t="s">
        <v>2652</v>
      </c>
      <c r="F1507" t="s">
        <v>2653</v>
      </c>
      <c r="G1507" t="s">
        <v>101</v>
      </c>
      <c r="H1507" t="s">
        <v>26</v>
      </c>
      <c r="I1507" t="s">
        <v>102</v>
      </c>
      <c r="J1507" t="s">
        <v>93</v>
      </c>
      <c r="K1507" t="s">
        <v>94</v>
      </c>
      <c r="L1507" t="s">
        <v>2282</v>
      </c>
      <c r="M1507" t="s">
        <v>31</v>
      </c>
      <c r="N1507" t="s">
        <v>57</v>
      </c>
      <c r="O1507" t="s">
        <v>2283</v>
      </c>
      <c r="P1507">
        <v>16.783999999999999</v>
      </c>
      <c r="Q1507">
        <v>2</v>
      </c>
      <c r="R1507">
        <v>0.6</v>
      </c>
      <c r="S1507">
        <v>-22.238800000000001</v>
      </c>
      <c r="T1507" t="s">
        <v>48</v>
      </c>
      <c r="U1507" t="s">
        <v>254</v>
      </c>
    </row>
    <row r="1508" spans="1:21" x14ac:dyDescent="0.25">
      <c r="A1508" t="s">
        <v>3671</v>
      </c>
      <c r="B1508" s="1">
        <v>42686</v>
      </c>
      <c r="C1508" s="1">
        <v>42689</v>
      </c>
      <c r="D1508" t="s">
        <v>88</v>
      </c>
      <c r="E1508" t="s">
        <v>323</v>
      </c>
      <c r="F1508" t="s">
        <v>324</v>
      </c>
      <c r="G1508" t="s">
        <v>101</v>
      </c>
      <c r="H1508" t="s">
        <v>26</v>
      </c>
      <c r="I1508" t="s">
        <v>640</v>
      </c>
      <c r="J1508" t="s">
        <v>54</v>
      </c>
      <c r="K1508" t="s">
        <v>55</v>
      </c>
      <c r="L1508" t="s">
        <v>2820</v>
      </c>
      <c r="M1508" t="s">
        <v>31</v>
      </c>
      <c r="N1508" t="s">
        <v>46</v>
      </c>
      <c r="O1508" t="s">
        <v>2821</v>
      </c>
      <c r="P1508">
        <v>674.35199999999998</v>
      </c>
      <c r="Q1508">
        <v>3</v>
      </c>
      <c r="R1508">
        <v>0.2</v>
      </c>
      <c r="S1508">
        <v>-8.4293999999999993</v>
      </c>
      <c r="T1508" t="s">
        <v>34</v>
      </c>
      <c r="U1508" t="s">
        <v>35</v>
      </c>
    </row>
    <row r="1509" spans="1:21" x14ac:dyDescent="0.25">
      <c r="A1509" t="s">
        <v>3672</v>
      </c>
      <c r="B1509" s="1">
        <v>42687</v>
      </c>
      <c r="C1509" s="1">
        <v>42691</v>
      </c>
      <c r="D1509" t="s">
        <v>40</v>
      </c>
      <c r="E1509" t="s">
        <v>3302</v>
      </c>
      <c r="F1509" t="s">
        <v>3303</v>
      </c>
      <c r="G1509" t="s">
        <v>101</v>
      </c>
      <c r="H1509" t="s">
        <v>26</v>
      </c>
      <c r="I1509" t="s">
        <v>192</v>
      </c>
      <c r="J1509" t="s">
        <v>193</v>
      </c>
      <c r="K1509" t="s">
        <v>55</v>
      </c>
      <c r="L1509" t="s">
        <v>85</v>
      </c>
      <c r="M1509" t="s">
        <v>31</v>
      </c>
      <c r="N1509" t="s">
        <v>57</v>
      </c>
      <c r="O1509" t="s">
        <v>1862</v>
      </c>
      <c r="P1509">
        <v>19.54</v>
      </c>
      <c r="Q1509">
        <v>2</v>
      </c>
      <c r="R1509">
        <v>0</v>
      </c>
      <c r="S1509">
        <v>7.2298</v>
      </c>
      <c r="T1509" t="s">
        <v>84</v>
      </c>
      <c r="U1509" t="s">
        <v>35</v>
      </c>
    </row>
    <row r="1510" spans="1:21" x14ac:dyDescent="0.25">
      <c r="A1510" t="s">
        <v>3673</v>
      </c>
      <c r="B1510" s="1">
        <v>42701</v>
      </c>
      <c r="C1510" s="1">
        <v>42707</v>
      </c>
      <c r="D1510" t="s">
        <v>40</v>
      </c>
      <c r="E1510" t="s">
        <v>2036</v>
      </c>
      <c r="F1510" t="s">
        <v>2037</v>
      </c>
      <c r="G1510" t="s">
        <v>25</v>
      </c>
      <c r="H1510" t="s">
        <v>26</v>
      </c>
      <c r="I1510" t="s">
        <v>43</v>
      </c>
      <c r="J1510" t="s">
        <v>44</v>
      </c>
      <c r="K1510" t="s">
        <v>29</v>
      </c>
      <c r="L1510" t="s">
        <v>1260</v>
      </c>
      <c r="M1510" t="s">
        <v>31</v>
      </c>
      <c r="N1510" t="s">
        <v>46</v>
      </c>
      <c r="O1510" t="s">
        <v>1064</v>
      </c>
      <c r="P1510">
        <v>331.02300000000002</v>
      </c>
      <c r="Q1510">
        <v>7</v>
      </c>
      <c r="R1510">
        <v>0.45</v>
      </c>
      <c r="S1510">
        <v>-114.35339999999999</v>
      </c>
      <c r="T1510" t="s">
        <v>130</v>
      </c>
      <c r="U1510" t="s">
        <v>35</v>
      </c>
    </row>
    <row r="1511" spans="1:21" x14ac:dyDescent="0.25">
      <c r="A1511" t="s">
        <v>3674</v>
      </c>
      <c r="B1511" s="1">
        <v>42671</v>
      </c>
      <c r="C1511" s="1">
        <v>42671</v>
      </c>
      <c r="D1511" t="s">
        <v>426</v>
      </c>
      <c r="E1511" t="s">
        <v>3675</v>
      </c>
      <c r="F1511" t="s">
        <v>3676</v>
      </c>
      <c r="G1511" t="s">
        <v>91</v>
      </c>
      <c r="H1511" t="s">
        <v>26</v>
      </c>
      <c r="I1511" t="s">
        <v>895</v>
      </c>
      <c r="J1511" t="s">
        <v>121</v>
      </c>
      <c r="K1511" t="s">
        <v>68</v>
      </c>
      <c r="L1511" t="s">
        <v>3677</v>
      </c>
      <c r="M1511" t="s">
        <v>31</v>
      </c>
      <c r="N1511" t="s">
        <v>57</v>
      </c>
      <c r="O1511" t="s">
        <v>3678</v>
      </c>
      <c r="P1511">
        <v>756.8</v>
      </c>
      <c r="Q1511">
        <v>5</v>
      </c>
      <c r="R1511">
        <v>0</v>
      </c>
      <c r="S1511">
        <v>75.680000000000007</v>
      </c>
      <c r="T1511" t="s">
        <v>431</v>
      </c>
      <c r="U1511" t="s">
        <v>49</v>
      </c>
    </row>
    <row r="1512" spans="1:21" x14ac:dyDescent="0.25">
      <c r="A1512" t="s">
        <v>3679</v>
      </c>
      <c r="B1512" s="1">
        <v>42002</v>
      </c>
      <c r="C1512" s="1">
        <v>42006</v>
      </c>
      <c r="D1512" t="s">
        <v>40</v>
      </c>
      <c r="E1512" t="s">
        <v>2896</v>
      </c>
      <c r="F1512" t="s">
        <v>2897</v>
      </c>
      <c r="G1512" t="s">
        <v>101</v>
      </c>
      <c r="H1512" t="s">
        <v>26</v>
      </c>
      <c r="I1512" t="s">
        <v>3658</v>
      </c>
      <c r="J1512" t="s">
        <v>135</v>
      </c>
      <c r="K1512" t="s">
        <v>94</v>
      </c>
      <c r="L1512" t="s">
        <v>2878</v>
      </c>
      <c r="M1512" t="s">
        <v>31</v>
      </c>
      <c r="N1512" t="s">
        <v>57</v>
      </c>
      <c r="O1512" t="s">
        <v>2879</v>
      </c>
      <c r="P1512">
        <v>8.7360000000000007</v>
      </c>
      <c r="Q1512">
        <v>3</v>
      </c>
      <c r="R1512">
        <v>0.6</v>
      </c>
      <c r="S1512">
        <v>-4.8048000000000002</v>
      </c>
      <c r="T1512" t="s">
        <v>84</v>
      </c>
      <c r="U1512" t="s">
        <v>97</v>
      </c>
    </row>
    <row r="1513" spans="1:21" x14ac:dyDescent="0.25">
      <c r="A1513" t="s">
        <v>3680</v>
      </c>
      <c r="B1513" s="1">
        <v>43010</v>
      </c>
      <c r="C1513" s="1">
        <v>43014</v>
      </c>
      <c r="D1513" t="s">
        <v>40</v>
      </c>
      <c r="E1513" t="s">
        <v>1203</v>
      </c>
      <c r="F1513" t="s">
        <v>1204</v>
      </c>
      <c r="G1513" t="s">
        <v>25</v>
      </c>
      <c r="H1513" t="s">
        <v>26</v>
      </c>
      <c r="I1513" t="s">
        <v>329</v>
      </c>
      <c r="J1513" t="s">
        <v>54</v>
      </c>
      <c r="K1513" t="s">
        <v>55</v>
      </c>
      <c r="L1513" t="s">
        <v>896</v>
      </c>
      <c r="M1513" t="s">
        <v>31</v>
      </c>
      <c r="N1513" t="s">
        <v>57</v>
      </c>
      <c r="O1513" t="s">
        <v>897</v>
      </c>
      <c r="P1513">
        <v>17.46</v>
      </c>
      <c r="Q1513">
        <v>2</v>
      </c>
      <c r="R1513">
        <v>0</v>
      </c>
      <c r="S1513">
        <v>5.9363999999999999</v>
      </c>
      <c r="T1513" t="s">
        <v>84</v>
      </c>
      <c r="U1513" t="s">
        <v>49</v>
      </c>
    </row>
    <row r="1514" spans="1:21" x14ac:dyDescent="0.25">
      <c r="A1514" t="s">
        <v>3681</v>
      </c>
      <c r="B1514" s="1">
        <v>42565</v>
      </c>
      <c r="C1514" s="1">
        <v>42569</v>
      </c>
      <c r="D1514" t="s">
        <v>40</v>
      </c>
      <c r="E1514" t="s">
        <v>2646</v>
      </c>
      <c r="F1514" t="s">
        <v>2647</v>
      </c>
      <c r="G1514" t="s">
        <v>25</v>
      </c>
      <c r="H1514" t="s">
        <v>26</v>
      </c>
      <c r="I1514" t="s">
        <v>329</v>
      </c>
      <c r="J1514" t="s">
        <v>54</v>
      </c>
      <c r="K1514" t="s">
        <v>55</v>
      </c>
      <c r="L1514" t="s">
        <v>554</v>
      </c>
      <c r="M1514" t="s">
        <v>31</v>
      </c>
      <c r="N1514" t="s">
        <v>57</v>
      </c>
      <c r="O1514" t="s">
        <v>555</v>
      </c>
      <c r="P1514">
        <v>30.8</v>
      </c>
      <c r="Q1514">
        <v>4</v>
      </c>
      <c r="R1514">
        <v>0</v>
      </c>
      <c r="S1514">
        <v>10.164</v>
      </c>
      <c r="T1514" t="s">
        <v>84</v>
      </c>
      <c r="U1514" t="s">
        <v>72</v>
      </c>
    </row>
    <row r="1515" spans="1:21" x14ac:dyDescent="0.25">
      <c r="A1515" t="s">
        <v>3682</v>
      </c>
      <c r="B1515" s="1">
        <v>42437</v>
      </c>
      <c r="C1515" s="1">
        <v>42441</v>
      </c>
      <c r="D1515" t="s">
        <v>40</v>
      </c>
      <c r="E1515" t="s">
        <v>2224</v>
      </c>
      <c r="F1515" t="s">
        <v>2225</v>
      </c>
      <c r="G1515" t="s">
        <v>25</v>
      </c>
      <c r="H1515" t="s">
        <v>26</v>
      </c>
      <c r="I1515" t="s">
        <v>174</v>
      </c>
      <c r="J1515" t="s">
        <v>121</v>
      </c>
      <c r="K1515" t="s">
        <v>68</v>
      </c>
      <c r="L1515" t="s">
        <v>486</v>
      </c>
      <c r="M1515" t="s">
        <v>31</v>
      </c>
      <c r="N1515" t="s">
        <v>57</v>
      </c>
      <c r="O1515" t="s">
        <v>487</v>
      </c>
      <c r="P1515">
        <v>113.6</v>
      </c>
      <c r="Q1515">
        <v>8</v>
      </c>
      <c r="R1515">
        <v>0</v>
      </c>
      <c r="S1515">
        <v>44.304000000000002</v>
      </c>
      <c r="T1515" t="s">
        <v>84</v>
      </c>
      <c r="U1515" t="s">
        <v>196</v>
      </c>
    </row>
    <row r="1516" spans="1:21" x14ac:dyDescent="0.25">
      <c r="A1516" t="s">
        <v>3683</v>
      </c>
      <c r="B1516" s="1">
        <v>42728</v>
      </c>
      <c r="C1516" s="1">
        <v>42734</v>
      </c>
      <c r="D1516" t="s">
        <v>40</v>
      </c>
      <c r="E1516" t="s">
        <v>3684</v>
      </c>
      <c r="F1516" t="s">
        <v>3685</v>
      </c>
      <c r="G1516" t="s">
        <v>25</v>
      </c>
      <c r="H1516" t="s">
        <v>26</v>
      </c>
      <c r="I1516" t="s">
        <v>1492</v>
      </c>
      <c r="J1516" t="s">
        <v>54</v>
      </c>
      <c r="K1516" t="s">
        <v>55</v>
      </c>
      <c r="L1516" t="s">
        <v>2159</v>
      </c>
      <c r="M1516" t="s">
        <v>31</v>
      </c>
      <c r="N1516" t="s">
        <v>57</v>
      </c>
      <c r="O1516" t="s">
        <v>2160</v>
      </c>
      <c r="P1516">
        <v>43.96</v>
      </c>
      <c r="Q1516">
        <v>7</v>
      </c>
      <c r="R1516">
        <v>0</v>
      </c>
      <c r="S1516">
        <v>18.463200000000001</v>
      </c>
      <c r="T1516" t="s">
        <v>130</v>
      </c>
      <c r="U1516" t="s">
        <v>97</v>
      </c>
    </row>
    <row r="1517" spans="1:21" x14ac:dyDescent="0.25">
      <c r="A1517" t="s">
        <v>3686</v>
      </c>
      <c r="B1517" s="1">
        <v>42848</v>
      </c>
      <c r="C1517" s="1">
        <v>42850</v>
      </c>
      <c r="D1517" t="s">
        <v>22</v>
      </c>
      <c r="E1517" t="s">
        <v>2610</v>
      </c>
      <c r="F1517" t="s">
        <v>2611</v>
      </c>
      <c r="G1517" t="s">
        <v>25</v>
      </c>
      <c r="H1517" t="s">
        <v>26</v>
      </c>
      <c r="I1517" t="s">
        <v>1186</v>
      </c>
      <c r="J1517" t="s">
        <v>54</v>
      </c>
      <c r="K1517" t="s">
        <v>55</v>
      </c>
      <c r="L1517" t="s">
        <v>2205</v>
      </c>
      <c r="M1517" t="s">
        <v>31</v>
      </c>
      <c r="N1517" t="s">
        <v>57</v>
      </c>
      <c r="O1517" t="s">
        <v>2206</v>
      </c>
      <c r="P1517">
        <v>66.36</v>
      </c>
      <c r="Q1517">
        <v>7</v>
      </c>
      <c r="R1517">
        <v>0</v>
      </c>
      <c r="S1517">
        <v>26.544</v>
      </c>
      <c r="T1517" t="s">
        <v>71</v>
      </c>
      <c r="U1517" t="s">
        <v>114</v>
      </c>
    </row>
    <row r="1518" spans="1:21" x14ac:dyDescent="0.25">
      <c r="A1518" t="s">
        <v>3686</v>
      </c>
      <c r="B1518" s="1">
        <v>42848</v>
      </c>
      <c r="C1518" s="1">
        <v>42850</v>
      </c>
      <c r="D1518" t="s">
        <v>22</v>
      </c>
      <c r="E1518" t="s">
        <v>2610</v>
      </c>
      <c r="F1518" t="s">
        <v>2611</v>
      </c>
      <c r="G1518" t="s">
        <v>25</v>
      </c>
      <c r="H1518" t="s">
        <v>26</v>
      </c>
      <c r="I1518" t="s">
        <v>1186</v>
      </c>
      <c r="J1518" t="s">
        <v>54</v>
      </c>
      <c r="K1518" t="s">
        <v>55</v>
      </c>
      <c r="L1518" t="s">
        <v>552</v>
      </c>
      <c r="M1518" t="s">
        <v>31</v>
      </c>
      <c r="N1518" t="s">
        <v>57</v>
      </c>
      <c r="O1518" t="s">
        <v>3126</v>
      </c>
      <c r="P1518">
        <v>24.14</v>
      </c>
      <c r="Q1518">
        <v>2</v>
      </c>
      <c r="R1518">
        <v>0</v>
      </c>
      <c r="S1518">
        <v>7.9661999999999997</v>
      </c>
      <c r="T1518" t="s">
        <v>71</v>
      </c>
      <c r="U1518" t="s">
        <v>114</v>
      </c>
    </row>
    <row r="1519" spans="1:21" x14ac:dyDescent="0.25">
      <c r="A1519" t="s">
        <v>3687</v>
      </c>
      <c r="B1519" s="1">
        <v>42964</v>
      </c>
      <c r="C1519" s="1">
        <v>42969</v>
      </c>
      <c r="D1519" t="s">
        <v>22</v>
      </c>
      <c r="E1519" t="s">
        <v>2299</v>
      </c>
      <c r="F1519" t="s">
        <v>2300</v>
      </c>
      <c r="G1519" t="s">
        <v>25</v>
      </c>
      <c r="H1519" t="s">
        <v>26</v>
      </c>
      <c r="I1519" t="s">
        <v>66</v>
      </c>
      <c r="J1519" t="s">
        <v>67</v>
      </c>
      <c r="K1519" t="s">
        <v>68</v>
      </c>
      <c r="L1519" t="s">
        <v>602</v>
      </c>
      <c r="M1519" t="s">
        <v>31</v>
      </c>
      <c r="N1519" t="s">
        <v>37</v>
      </c>
      <c r="O1519" t="s">
        <v>603</v>
      </c>
      <c r="P1519">
        <v>4416.174</v>
      </c>
      <c r="Q1519">
        <v>9</v>
      </c>
      <c r="R1519">
        <v>0.3</v>
      </c>
      <c r="S1519">
        <v>-630.88199999999995</v>
      </c>
      <c r="T1519" t="s">
        <v>59</v>
      </c>
      <c r="U1519" t="s">
        <v>254</v>
      </c>
    </row>
    <row r="1520" spans="1:21" x14ac:dyDescent="0.25">
      <c r="A1520" t="s">
        <v>3688</v>
      </c>
      <c r="B1520" s="1">
        <v>41701</v>
      </c>
      <c r="C1520" s="1">
        <v>41706</v>
      </c>
      <c r="D1520" t="s">
        <v>40</v>
      </c>
      <c r="E1520" t="s">
        <v>3689</v>
      </c>
      <c r="F1520" t="s">
        <v>3690</v>
      </c>
      <c r="G1520" t="s">
        <v>91</v>
      </c>
      <c r="H1520" t="s">
        <v>26</v>
      </c>
      <c r="I1520" t="s">
        <v>348</v>
      </c>
      <c r="J1520" t="s">
        <v>232</v>
      </c>
      <c r="K1520" t="s">
        <v>68</v>
      </c>
      <c r="L1520" t="s">
        <v>457</v>
      </c>
      <c r="M1520" t="s">
        <v>31</v>
      </c>
      <c r="N1520" t="s">
        <v>32</v>
      </c>
      <c r="O1520" t="s">
        <v>458</v>
      </c>
      <c r="P1520">
        <v>302.45</v>
      </c>
      <c r="Q1520">
        <v>5</v>
      </c>
      <c r="R1520">
        <v>0.5</v>
      </c>
      <c r="S1520">
        <v>-199.61699999999999</v>
      </c>
      <c r="T1520" t="s">
        <v>59</v>
      </c>
      <c r="U1520" t="s">
        <v>196</v>
      </c>
    </row>
    <row r="1521" spans="1:21" x14ac:dyDescent="0.25">
      <c r="A1521" t="s">
        <v>3691</v>
      </c>
      <c r="B1521" s="1">
        <v>42520</v>
      </c>
      <c r="C1521" s="1">
        <v>42525</v>
      </c>
      <c r="D1521" t="s">
        <v>40</v>
      </c>
      <c r="E1521" t="s">
        <v>2193</v>
      </c>
      <c r="F1521" t="s">
        <v>2194</v>
      </c>
      <c r="G1521" t="s">
        <v>101</v>
      </c>
      <c r="H1521" t="s">
        <v>26</v>
      </c>
      <c r="I1521" t="s">
        <v>3692</v>
      </c>
      <c r="J1521" t="s">
        <v>239</v>
      </c>
      <c r="K1521" t="s">
        <v>94</v>
      </c>
      <c r="L1521" t="s">
        <v>1596</v>
      </c>
      <c r="M1521" t="s">
        <v>31</v>
      </c>
      <c r="N1521" t="s">
        <v>57</v>
      </c>
      <c r="O1521" t="s">
        <v>1597</v>
      </c>
      <c r="P1521">
        <v>47.4</v>
      </c>
      <c r="Q1521">
        <v>5</v>
      </c>
      <c r="R1521">
        <v>0</v>
      </c>
      <c r="S1521">
        <v>21.33</v>
      </c>
      <c r="T1521" t="s">
        <v>59</v>
      </c>
      <c r="U1521" t="s">
        <v>162</v>
      </c>
    </row>
    <row r="1522" spans="1:21" x14ac:dyDescent="0.25">
      <c r="A1522" t="s">
        <v>3693</v>
      </c>
      <c r="B1522" s="1">
        <v>41966</v>
      </c>
      <c r="C1522" s="1">
        <v>41969</v>
      </c>
      <c r="D1522" t="s">
        <v>22</v>
      </c>
      <c r="E1522" t="s">
        <v>1305</v>
      </c>
      <c r="F1522" t="s">
        <v>1306</v>
      </c>
      <c r="G1522" t="s">
        <v>91</v>
      </c>
      <c r="H1522" t="s">
        <v>26</v>
      </c>
      <c r="I1522" t="s">
        <v>102</v>
      </c>
      <c r="J1522" t="s">
        <v>93</v>
      </c>
      <c r="K1522" t="s">
        <v>94</v>
      </c>
      <c r="L1522" t="s">
        <v>1165</v>
      </c>
      <c r="M1522" t="s">
        <v>31</v>
      </c>
      <c r="N1522" t="s">
        <v>37</v>
      </c>
      <c r="O1522" t="s">
        <v>1166</v>
      </c>
      <c r="P1522">
        <v>155.37200000000001</v>
      </c>
      <c r="Q1522">
        <v>2</v>
      </c>
      <c r="R1522">
        <v>0.3</v>
      </c>
      <c r="S1522">
        <v>-35.513599999999997</v>
      </c>
      <c r="T1522" t="s">
        <v>34</v>
      </c>
      <c r="U1522" t="s">
        <v>35</v>
      </c>
    </row>
    <row r="1523" spans="1:21" x14ac:dyDescent="0.25">
      <c r="A1523" t="s">
        <v>3694</v>
      </c>
      <c r="B1523" s="1">
        <v>42383</v>
      </c>
      <c r="C1523" s="1">
        <v>42389</v>
      </c>
      <c r="D1523" t="s">
        <v>40</v>
      </c>
      <c r="E1523" t="s">
        <v>450</v>
      </c>
      <c r="F1523" t="s">
        <v>451</v>
      </c>
      <c r="G1523" t="s">
        <v>25</v>
      </c>
      <c r="H1523" t="s">
        <v>26</v>
      </c>
      <c r="I1523" t="s">
        <v>510</v>
      </c>
      <c r="J1523" t="s">
        <v>1037</v>
      </c>
      <c r="K1523" t="s">
        <v>29</v>
      </c>
      <c r="L1523" t="s">
        <v>3695</v>
      </c>
      <c r="M1523" t="s">
        <v>31</v>
      </c>
      <c r="N1523" t="s">
        <v>57</v>
      </c>
      <c r="O1523" t="s">
        <v>3696</v>
      </c>
      <c r="P1523">
        <v>315.77600000000001</v>
      </c>
      <c r="Q1523">
        <v>8</v>
      </c>
      <c r="R1523">
        <v>0.2</v>
      </c>
      <c r="S1523">
        <v>31.5776</v>
      </c>
      <c r="T1523" t="s">
        <v>130</v>
      </c>
      <c r="U1523" t="s">
        <v>170</v>
      </c>
    </row>
    <row r="1524" spans="1:21" x14ac:dyDescent="0.25">
      <c r="A1524" t="s">
        <v>3697</v>
      </c>
      <c r="B1524" s="1">
        <v>42629</v>
      </c>
      <c r="C1524" s="1">
        <v>42635</v>
      </c>
      <c r="D1524" t="s">
        <v>40</v>
      </c>
      <c r="E1524" t="s">
        <v>2498</v>
      </c>
      <c r="F1524" t="s">
        <v>2499</v>
      </c>
      <c r="G1524" t="s">
        <v>91</v>
      </c>
      <c r="H1524" t="s">
        <v>26</v>
      </c>
      <c r="I1524" t="s">
        <v>1492</v>
      </c>
      <c r="J1524" t="s">
        <v>54</v>
      </c>
      <c r="K1524" t="s">
        <v>55</v>
      </c>
      <c r="L1524" t="s">
        <v>1549</v>
      </c>
      <c r="M1524" t="s">
        <v>31</v>
      </c>
      <c r="N1524" t="s">
        <v>32</v>
      </c>
      <c r="O1524" t="s">
        <v>1550</v>
      </c>
      <c r="P1524">
        <v>273.666</v>
      </c>
      <c r="Q1524">
        <v>2</v>
      </c>
      <c r="R1524">
        <v>0.15</v>
      </c>
      <c r="S1524">
        <v>-12.878399999999999</v>
      </c>
      <c r="T1524" t="s">
        <v>130</v>
      </c>
      <c r="U1524" t="s">
        <v>78</v>
      </c>
    </row>
    <row r="1525" spans="1:21" x14ac:dyDescent="0.25">
      <c r="A1525" t="s">
        <v>3698</v>
      </c>
      <c r="B1525" s="1">
        <v>42321</v>
      </c>
      <c r="C1525" s="1">
        <v>42325</v>
      </c>
      <c r="D1525" t="s">
        <v>40</v>
      </c>
      <c r="E1525" t="s">
        <v>3699</v>
      </c>
      <c r="F1525" t="s">
        <v>3700</v>
      </c>
      <c r="G1525" t="s">
        <v>101</v>
      </c>
      <c r="H1525" t="s">
        <v>26</v>
      </c>
      <c r="I1525" t="s">
        <v>3701</v>
      </c>
      <c r="J1525" t="s">
        <v>3702</v>
      </c>
      <c r="K1525" t="s">
        <v>55</v>
      </c>
      <c r="L1525" t="s">
        <v>836</v>
      </c>
      <c r="M1525" t="s">
        <v>31</v>
      </c>
      <c r="N1525" t="s">
        <v>57</v>
      </c>
      <c r="O1525" t="s">
        <v>837</v>
      </c>
      <c r="P1525">
        <v>63.98</v>
      </c>
      <c r="Q1525">
        <v>7</v>
      </c>
      <c r="R1525">
        <v>0</v>
      </c>
      <c r="S1525">
        <v>21.7532</v>
      </c>
      <c r="T1525" t="s">
        <v>84</v>
      </c>
      <c r="U1525" t="s">
        <v>35</v>
      </c>
    </row>
    <row r="1526" spans="1:21" x14ac:dyDescent="0.25">
      <c r="A1526" t="s">
        <v>3703</v>
      </c>
      <c r="B1526" s="1">
        <v>42987</v>
      </c>
      <c r="C1526" s="1">
        <v>42991</v>
      </c>
      <c r="D1526" t="s">
        <v>40</v>
      </c>
      <c r="E1526" t="s">
        <v>1171</v>
      </c>
      <c r="F1526" t="s">
        <v>1172</v>
      </c>
      <c r="G1526" t="s">
        <v>25</v>
      </c>
      <c r="H1526" t="s">
        <v>26</v>
      </c>
      <c r="I1526" t="s">
        <v>694</v>
      </c>
      <c r="J1526" t="s">
        <v>232</v>
      </c>
      <c r="K1526" t="s">
        <v>68</v>
      </c>
      <c r="L1526" t="s">
        <v>597</v>
      </c>
      <c r="M1526" t="s">
        <v>31</v>
      </c>
      <c r="N1526" t="s">
        <v>57</v>
      </c>
      <c r="O1526" t="s">
        <v>598</v>
      </c>
      <c r="P1526">
        <v>66.111999999999995</v>
      </c>
      <c r="Q1526">
        <v>2</v>
      </c>
      <c r="R1526">
        <v>0.2</v>
      </c>
      <c r="S1526">
        <v>-9.0904000000000007</v>
      </c>
      <c r="T1526" t="s">
        <v>84</v>
      </c>
      <c r="U1526" t="s">
        <v>78</v>
      </c>
    </row>
    <row r="1527" spans="1:21" x14ac:dyDescent="0.25">
      <c r="A1527" t="s">
        <v>3704</v>
      </c>
      <c r="B1527" s="1">
        <v>42541</v>
      </c>
      <c r="C1527" s="1">
        <v>42546</v>
      </c>
      <c r="D1527" t="s">
        <v>40</v>
      </c>
      <c r="E1527" t="s">
        <v>2760</v>
      </c>
      <c r="F1527" t="s">
        <v>2761</v>
      </c>
      <c r="G1527" t="s">
        <v>91</v>
      </c>
      <c r="H1527" t="s">
        <v>26</v>
      </c>
      <c r="I1527" t="s">
        <v>3017</v>
      </c>
      <c r="J1527" t="s">
        <v>1523</v>
      </c>
      <c r="K1527" t="s">
        <v>94</v>
      </c>
      <c r="L1527" t="s">
        <v>1312</v>
      </c>
      <c r="M1527" t="s">
        <v>31</v>
      </c>
      <c r="N1527" t="s">
        <v>57</v>
      </c>
      <c r="O1527" t="s">
        <v>2023</v>
      </c>
      <c r="P1527">
        <v>57.69</v>
      </c>
      <c r="Q1527">
        <v>3</v>
      </c>
      <c r="R1527">
        <v>0</v>
      </c>
      <c r="S1527">
        <v>23.652899999999999</v>
      </c>
      <c r="T1527" t="s">
        <v>59</v>
      </c>
      <c r="U1527" t="s">
        <v>60</v>
      </c>
    </row>
    <row r="1528" spans="1:21" x14ac:dyDescent="0.25">
      <c r="A1528" t="s">
        <v>3705</v>
      </c>
      <c r="B1528" s="1">
        <v>42392</v>
      </c>
      <c r="C1528" s="1">
        <v>42398</v>
      </c>
      <c r="D1528" t="s">
        <v>40</v>
      </c>
      <c r="E1528" t="s">
        <v>3706</v>
      </c>
      <c r="F1528" t="s">
        <v>3707</v>
      </c>
      <c r="G1528" t="s">
        <v>25</v>
      </c>
      <c r="H1528" t="s">
        <v>26</v>
      </c>
      <c r="I1528" t="s">
        <v>53</v>
      </c>
      <c r="J1528" t="s">
        <v>54</v>
      </c>
      <c r="K1528" t="s">
        <v>55</v>
      </c>
      <c r="L1528" t="s">
        <v>2902</v>
      </c>
      <c r="M1528" t="s">
        <v>31</v>
      </c>
      <c r="N1528" t="s">
        <v>57</v>
      </c>
      <c r="O1528" t="s">
        <v>2903</v>
      </c>
      <c r="P1528">
        <v>59.99</v>
      </c>
      <c r="Q1528">
        <v>7</v>
      </c>
      <c r="R1528">
        <v>0</v>
      </c>
      <c r="S1528">
        <v>21.596399999999999</v>
      </c>
      <c r="T1528" t="s">
        <v>130</v>
      </c>
      <c r="U1528" t="s">
        <v>170</v>
      </c>
    </row>
    <row r="1529" spans="1:21" x14ac:dyDescent="0.25">
      <c r="A1529" t="s">
        <v>3708</v>
      </c>
      <c r="B1529" s="1">
        <v>42150</v>
      </c>
      <c r="C1529" s="1">
        <v>42155</v>
      </c>
      <c r="D1529" t="s">
        <v>40</v>
      </c>
      <c r="E1529" t="s">
        <v>2352</v>
      </c>
      <c r="F1529" t="s">
        <v>2353</v>
      </c>
      <c r="G1529" t="s">
        <v>25</v>
      </c>
      <c r="H1529" t="s">
        <v>26</v>
      </c>
      <c r="I1529" t="s">
        <v>3709</v>
      </c>
      <c r="J1529" t="s">
        <v>193</v>
      </c>
      <c r="K1529" t="s">
        <v>55</v>
      </c>
      <c r="L1529" t="s">
        <v>649</v>
      </c>
      <c r="M1529" t="s">
        <v>31</v>
      </c>
      <c r="N1529" t="s">
        <v>57</v>
      </c>
      <c r="O1529" t="s">
        <v>650</v>
      </c>
      <c r="P1529">
        <v>20.239999999999998</v>
      </c>
      <c r="Q1529">
        <v>1</v>
      </c>
      <c r="R1529">
        <v>0</v>
      </c>
      <c r="S1529">
        <v>7.8936000000000002</v>
      </c>
      <c r="T1529" t="s">
        <v>59</v>
      </c>
      <c r="U1529" t="s">
        <v>162</v>
      </c>
    </row>
    <row r="1530" spans="1:21" x14ac:dyDescent="0.25">
      <c r="A1530" t="s">
        <v>3710</v>
      </c>
      <c r="B1530" s="1">
        <v>41961</v>
      </c>
      <c r="C1530" s="1">
        <v>41964</v>
      </c>
      <c r="D1530" t="s">
        <v>88</v>
      </c>
      <c r="E1530" t="s">
        <v>2838</v>
      </c>
      <c r="F1530" t="s">
        <v>2839</v>
      </c>
      <c r="G1530" t="s">
        <v>25</v>
      </c>
      <c r="H1530" t="s">
        <v>26</v>
      </c>
      <c r="I1530" t="s">
        <v>3711</v>
      </c>
      <c r="J1530" t="s">
        <v>135</v>
      </c>
      <c r="K1530" t="s">
        <v>94</v>
      </c>
      <c r="L1530" t="s">
        <v>369</v>
      </c>
      <c r="M1530" t="s">
        <v>31</v>
      </c>
      <c r="N1530" t="s">
        <v>46</v>
      </c>
      <c r="O1530" t="s">
        <v>370</v>
      </c>
      <c r="P1530">
        <v>292.10000000000002</v>
      </c>
      <c r="Q1530">
        <v>4</v>
      </c>
      <c r="R1530">
        <v>0.5</v>
      </c>
      <c r="S1530">
        <v>-175.26</v>
      </c>
      <c r="T1530" t="s">
        <v>34</v>
      </c>
      <c r="U1530" t="s">
        <v>35</v>
      </c>
    </row>
    <row r="1531" spans="1:21" x14ac:dyDescent="0.25">
      <c r="A1531" t="s">
        <v>3710</v>
      </c>
      <c r="B1531" s="1">
        <v>41961</v>
      </c>
      <c r="C1531" s="1">
        <v>41964</v>
      </c>
      <c r="D1531" t="s">
        <v>88</v>
      </c>
      <c r="E1531" t="s">
        <v>2838</v>
      </c>
      <c r="F1531" t="s">
        <v>2839</v>
      </c>
      <c r="G1531" t="s">
        <v>25</v>
      </c>
      <c r="H1531" t="s">
        <v>26</v>
      </c>
      <c r="I1531" t="s">
        <v>3711</v>
      </c>
      <c r="J1531" t="s">
        <v>135</v>
      </c>
      <c r="K1531" t="s">
        <v>94</v>
      </c>
      <c r="L1531" t="s">
        <v>2141</v>
      </c>
      <c r="M1531" t="s">
        <v>31</v>
      </c>
      <c r="N1531" t="s">
        <v>57</v>
      </c>
      <c r="O1531" t="s">
        <v>2142</v>
      </c>
      <c r="P1531">
        <v>8.5440000000000005</v>
      </c>
      <c r="Q1531">
        <v>2</v>
      </c>
      <c r="R1531">
        <v>0.6</v>
      </c>
      <c r="S1531">
        <v>-7.476</v>
      </c>
      <c r="T1531" t="s">
        <v>34</v>
      </c>
      <c r="U1531" t="s">
        <v>35</v>
      </c>
    </row>
    <row r="1532" spans="1:21" x14ac:dyDescent="0.25">
      <c r="A1532" t="s">
        <v>3710</v>
      </c>
      <c r="B1532" s="1">
        <v>41961</v>
      </c>
      <c r="C1532" s="1">
        <v>41964</v>
      </c>
      <c r="D1532" t="s">
        <v>88</v>
      </c>
      <c r="E1532" t="s">
        <v>2838</v>
      </c>
      <c r="F1532" t="s">
        <v>2839</v>
      </c>
      <c r="G1532" t="s">
        <v>25</v>
      </c>
      <c r="H1532" t="s">
        <v>26</v>
      </c>
      <c r="I1532" t="s">
        <v>3711</v>
      </c>
      <c r="J1532" t="s">
        <v>135</v>
      </c>
      <c r="K1532" t="s">
        <v>94</v>
      </c>
      <c r="L1532" t="s">
        <v>2816</v>
      </c>
      <c r="M1532" t="s">
        <v>31</v>
      </c>
      <c r="N1532" t="s">
        <v>32</v>
      </c>
      <c r="O1532" t="s">
        <v>2817</v>
      </c>
      <c r="P1532">
        <v>424.11599999999999</v>
      </c>
      <c r="Q1532">
        <v>6</v>
      </c>
      <c r="R1532">
        <v>0.3</v>
      </c>
      <c r="S1532">
        <v>-30.294</v>
      </c>
      <c r="T1532" t="s">
        <v>34</v>
      </c>
      <c r="U1532" t="s">
        <v>35</v>
      </c>
    </row>
    <row r="1533" spans="1:21" x14ac:dyDescent="0.25">
      <c r="A1533" t="s">
        <v>3712</v>
      </c>
      <c r="B1533" s="1">
        <v>42982</v>
      </c>
      <c r="C1533" s="1">
        <v>42986</v>
      </c>
      <c r="D1533" t="s">
        <v>40</v>
      </c>
      <c r="E1533" t="s">
        <v>3713</v>
      </c>
      <c r="F1533" t="s">
        <v>3714</v>
      </c>
      <c r="G1533" t="s">
        <v>25</v>
      </c>
      <c r="H1533" t="s">
        <v>26</v>
      </c>
      <c r="I1533" t="s">
        <v>1121</v>
      </c>
      <c r="J1533" t="s">
        <v>44</v>
      </c>
      <c r="K1533" t="s">
        <v>29</v>
      </c>
      <c r="L1533" t="s">
        <v>252</v>
      </c>
      <c r="M1533" t="s">
        <v>31</v>
      </c>
      <c r="N1533" t="s">
        <v>37</v>
      </c>
      <c r="O1533" t="s">
        <v>253</v>
      </c>
      <c r="P1533">
        <v>97.183999999999997</v>
      </c>
      <c r="Q1533">
        <v>2</v>
      </c>
      <c r="R1533">
        <v>0.2</v>
      </c>
      <c r="S1533">
        <v>6.0739999999999998</v>
      </c>
      <c r="T1533" t="s">
        <v>84</v>
      </c>
      <c r="U1533" t="s">
        <v>78</v>
      </c>
    </row>
    <row r="1534" spans="1:21" x14ac:dyDescent="0.25">
      <c r="A1534" t="s">
        <v>3715</v>
      </c>
      <c r="B1534" s="1">
        <v>41727</v>
      </c>
      <c r="C1534" s="1">
        <v>41731</v>
      </c>
      <c r="D1534" t="s">
        <v>40</v>
      </c>
      <c r="E1534" t="s">
        <v>2724</v>
      </c>
      <c r="F1534" t="s">
        <v>2725</v>
      </c>
      <c r="G1534" t="s">
        <v>25</v>
      </c>
      <c r="H1534" t="s">
        <v>26</v>
      </c>
      <c r="I1534" t="s">
        <v>2479</v>
      </c>
      <c r="J1534" t="s">
        <v>93</v>
      </c>
      <c r="K1534" t="s">
        <v>94</v>
      </c>
      <c r="L1534" t="s">
        <v>522</v>
      </c>
      <c r="M1534" t="s">
        <v>31</v>
      </c>
      <c r="N1534" t="s">
        <v>46</v>
      </c>
      <c r="O1534" t="s">
        <v>523</v>
      </c>
      <c r="P1534">
        <v>890.84100000000001</v>
      </c>
      <c r="Q1534">
        <v>3</v>
      </c>
      <c r="R1534">
        <v>0.3</v>
      </c>
      <c r="S1534">
        <v>-152.71559999999999</v>
      </c>
      <c r="T1534" t="s">
        <v>84</v>
      </c>
      <c r="U1534" t="s">
        <v>196</v>
      </c>
    </row>
    <row r="1535" spans="1:21" x14ac:dyDescent="0.25">
      <c r="A1535" t="s">
        <v>3716</v>
      </c>
      <c r="B1535" s="1">
        <v>42679</v>
      </c>
      <c r="C1535" s="1">
        <v>42681</v>
      </c>
      <c r="D1535" t="s">
        <v>22</v>
      </c>
      <c r="E1535" t="s">
        <v>327</v>
      </c>
      <c r="F1535" t="s">
        <v>328</v>
      </c>
      <c r="G1535" t="s">
        <v>25</v>
      </c>
      <c r="H1535" t="s">
        <v>26</v>
      </c>
      <c r="I1535" t="s">
        <v>1492</v>
      </c>
      <c r="J1535" t="s">
        <v>54</v>
      </c>
      <c r="K1535" t="s">
        <v>55</v>
      </c>
      <c r="L1535" t="s">
        <v>2195</v>
      </c>
      <c r="M1535" t="s">
        <v>31</v>
      </c>
      <c r="N1535" t="s">
        <v>37</v>
      </c>
      <c r="O1535" t="s">
        <v>2196</v>
      </c>
      <c r="P1535">
        <v>113.88800000000001</v>
      </c>
      <c r="Q1535">
        <v>2</v>
      </c>
      <c r="R1535">
        <v>0.2</v>
      </c>
      <c r="S1535">
        <v>9.9651999999999994</v>
      </c>
      <c r="T1535" t="s">
        <v>71</v>
      </c>
      <c r="U1535" t="s">
        <v>35</v>
      </c>
    </row>
    <row r="1536" spans="1:21" x14ac:dyDescent="0.25">
      <c r="A1536" t="s">
        <v>3717</v>
      </c>
      <c r="B1536" s="1">
        <v>42659</v>
      </c>
      <c r="C1536" s="1">
        <v>42663</v>
      </c>
      <c r="D1536" t="s">
        <v>40</v>
      </c>
      <c r="E1536" t="s">
        <v>783</v>
      </c>
      <c r="F1536" t="s">
        <v>784</v>
      </c>
      <c r="G1536" t="s">
        <v>91</v>
      </c>
      <c r="H1536" t="s">
        <v>26</v>
      </c>
      <c r="I1536" t="s">
        <v>174</v>
      </c>
      <c r="J1536" t="s">
        <v>121</v>
      </c>
      <c r="K1536" t="s">
        <v>68</v>
      </c>
      <c r="L1536" t="s">
        <v>61</v>
      </c>
      <c r="M1536" t="s">
        <v>31</v>
      </c>
      <c r="N1536" t="s">
        <v>46</v>
      </c>
      <c r="O1536" t="s">
        <v>62</v>
      </c>
      <c r="P1536">
        <v>142.18199999999999</v>
      </c>
      <c r="Q1536">
        <v>1</v>
      </c>
      <c r="R1536">
        <v>0.4</v>
      </c>
      <c r="S1536">
        <v>-37.915199999999999</v>
      </c>
      <c r="T1536" t="s">
        <v>84</v>
      </c>
      <c r="U1536" t="s">
        <v>49</v>
      </c>
    </row>
    <row r="1537" spans="1:21" x14ac:dyDescent="0.25">
      <c r="A1537" t="s">
        <v>3718</v>
      </c>
      <c r="B1537" s="1">
        <v>43065</v>
      </c>
      <c r="C1537" s="1">
        <v>43068</v>
      </c>
      <c r="D1537" t="s">
        <v>22</v>
      </c>
      <c r="E1537" t="s">
        <v>3719</v>
      </c>
      <c r="F1537" t="s">
        <v>3720</v>
      </c>
      <c r="G1537" t="s">
        <v>25</v>
      </c>
      <c r="H1537" t="s">
        <v>26</v>
      </c>
      <c r="I1537" t="s">
        <v>174</v>
      </c>
      <c r="J1537" t="s">
        <v>121</v>
      </c>
      <c r="K1537" t="s">
        <v>68</v>
      </c>
      <c r="L1537" t="s">
        <v>1710</v>
      </c>
      <c r="M1537" t="s">
        <v>31</v>
      </c>
      <c r="N1537" t="s">
        <v>57</v>
      </c>
      <c r="O1537" t="s">
        <v>1711</v>
      </c>
      <c r="P1537">
        <v>135.30000000000001</v>
      </c>
      <c r="Q1537">
        <v>5</v>
      </c>
      <c r="R1537">
        <v>0</v>
      </c>
      <c r="S1537">
        <v>37.884</v>
      </c>
      <c r="T1537" t="s">
        <v>34</v>
      </c>
      <c r="U1537" t="s">
        <v>35</v>
      </c>
    </row>
    <row r="1538" spans="1:21" x14ac:dyDescent="0.25">
      <c r="A1538" t="s">
        <v>3721</v>
      </c>
      <c r="B1538" s="1">
        <v>43074</v>
      </c>
      <c r="C1538" s="1">
        <v>43077</v>
      </c>
      <c r="D1538" t="s">
        <v>88</v>
      </c>
      <c r="E1538" t="s">
        <v>629</v>
      </c>
      <c r="F1538" t="s">
        <v>630</v>
      </c>
      <c r="G1538" t="s">
        <v>25</v>
      </c>
      <c r="H1538" t="s">
        <v>26</v>
      </c>
      <c r="I1538" t="s">
        <v>174</v>
      </c>
      <c r="J1538" t="s">
        <v>121</v>
      </c>
      <c r="K1538" t="s">
        <v>68</v>
      </c>
      <c r="L1538" t="s">
        <v>187</v>
      </c>
      <c r="M1538" t="s">
        <v>31</v>
      </c>
      <c r="N1538" t="s">
        <v>57</v>
      </c>
      <c r="O1538" t="s">
        <v>188</v>
      </c>
      <c r="P1538">
        <v>41.96</v>
      </c>
      <c r="Q1538">
        <v>2</v>
      </c>
      <c r="R1538">
        <v>0</v>
      </c>
      <c r="S1538">
        <v>10.909599999999999</v>
      </c>
      <c r="T1538" t="s">
        <v>34</v>
      </c>
      <c r="U1538" t="s">
        <v>97</v>
      </c>
    </row>
    <row r="1539" spans="1:21" x14ac:dyDescent="0.25">
      <c r="A1539" t="s">
        <v>3722</v>
      </c>
      <c r="B1539" s="1">
        <v>41716</v>
      </c>
      <c r="C1539" s="1">
        <v>41722</v>
      </c>
      <c r="D1539" t="s">
        <v>40</v>
      </c>
      <c r="E1539" t="s">
        <v>902</v>
      </c>
      <c r="F1539" t="s">
        <v>903</v>
      </c>
      <c r="G1539" t="s">
        <v>101</v>
      </c>
      <c r="H1539" t="s">
        <v>26</v>
      </c>
      <c r="I1539" t="s">
        <v>3723</v>
      </c>
      <c r="J1539" t="s">
        <v>54</v>
      </c>
      <c r="K1539" t="s">
        <v>55</v>
      </c>
      <c r="L1539" t="s">
        <v>1785</v>
      </c>
      <c r="M1539" t="s">
        <v>31</v>
      </c>
      <c r="N1539" t="s">
        <v>57</v>
      </c>
      <c r="O1539" t="s">
        <v>1786</v>
      </c>
      <c r="P1539">
        <v>111</v>
      </c>
      <c r="Q1539">
        <v>2</v>
      </c>
      <c r="R1539">
        <v>0</v>
      </c>
      <c r="S1539">
        <v>14.43</v>
      </c>
      <c r="T1539" t="s">
        <v>130</v>
      </c>
      <c r="U1539" t="s">
        <v>196</v>
      </c>
    </row>
    <row r="1540" spans="1:21" x14ac:dyDescent="0.25">
      <c r="A1540" t="s">
        <v>3724</v>
      </c>
      <c r="B1540" s="1">
        <v>42686</v>
      </c>
      <c r="C1540" s="1">
        <v>42687</v>
      </c>
      <c r="D1540" t="s">
        <v>88</v>
      </c>
      <c r="E1540" t="s">
        <v>3725</v>
      </c>
      <c r="F1540" t="s">
        <v>3726</v>
      </c>
      <c r="G1540" t="s">
        <v>91</v>
      </c>
      <c r="H1540" t="s">
        <v>26</v>
      </c>
      <c r="I1540" t="s">
        <v>134</v>
      </c>
      <c r="J1540" t="s">
        <v>135</v>
      </c>
      <c r="K1540" t="s">
        <v>94</v>
      </c>
      <c r="L1540" t="s">
        <v>1596</v>
      </c>
      <c r="M1540" t="s">
        <v>31</v>
      </c>
      <c r="N1540" t="s">
        <v>57</v>
      </c>
      <c r="O1540" t="s">
        <v>1597</v>
      </c>
      <c r="P1540">
        <v>22.751999999999999</v>
      </c>
      <c r="Q1540">
        <v>6</v>
      </c>
      <c r="R1540">
        <v>0.6</v>
      </c>
      <c r="S1540">
        <v>-8.532</v>
      </c>
      <c r="T1540" t="s">
        <v>124</v>
      </c>
      <c r="U1540" t="s">
        <v>35</v>
      </c>
    </row>
    <row r="1541" spans="1:21" x14ac:dyDescent="0.25">
      <c r="A1541" t="s">
        <v>3727</v>
      </c>
      <c r="B1541" s="1">
        <v>42105</v>
      </c>
      <c r="C1541" s="1">
        <v>42111</v>
      </c>
      <c r="D1541" t="s">
        <v>40</v>
      </c>
      <c r="E1541" t="s">
        <v>2394</v>
      </c>
      <c r="F1541" t="s">
        <v>2395</v>
      </c>
      <c r="G1541" t="s">
        <v>25</v>
      </c>
      <c r="H1541" t="s">
        <v>26</v>
      </c>
      <c r="I1541" t="s">
        <v>304</v>
      </c>
      <c r="J1541" t="s">
        <v>44</v>
      </c>
      <c r="K1541" t="s">
        <v>29</v>
      </c>
      <c r="L1541" t="s">
        <v>567</v>
      </c>
      <c r="M1541" t="s">
        <v>31</v>
      </c>
      <c r="N1541" t="s">
        <v>57</v>
      </c>
      <c r="O1541" t="s">
        <v>568</v>
      </c>
      <c r="P1541">
        <v>67.36</v>
      </c>
      <c r="Q1541">
        <v>2</v>
      </c>
      <c r="R1541">
        <v>0.2</v>
      </c>
      <c r="S1541">
        <v>10.103999999999999</v>
      </c>
      <c r="T1541" t="s">
        <v>130</v>
      </c>
      <c r="U1541" t="s">
        <v>114</v>
      </c>
    </row>
    <row r="1542" spans="1:21" x14ac:dyDescent="0.25">
      <c r="A1542" t="s">
        <v>3727</v>
      </c>
      <c r="B1542" s="1">
        <v>42105</v>
      </c>
      <c r="C1542" s="1">
        <v>42111</v>
      </c>
      <c r="D1542" t="s">
        <v>40</v>
      </c>
      <c r="E1542" t="s">
        <v>2394</v>
      </c>
      <c r="F1542" t="s">
        <v>2395</v>
      </c>
      <c r="G1542" t="s">
        <v>25</v>
      </c>
      <c r="H1542" t="s">
        <v>26</v>
      </c>
      <c r="I1542" t="s">
        <v>304</v>
      </c>
      <c r="J1542" t="s">
        <v>44</v>
      </c>
      <c r="K1542" t="s">
        <v>29</v>
      </c>
      <c r="L1542" t="s">
        <v>284</v>
      </c>
      <c r="M1542" t="s">
        <v>31</v>
      </c>
      <c r="N1542" t="s">
        <v>57</v>
      </c>
      <c r="O1542" t="s">
        <v>285</v>
      </c>
      <c r="P1542">
        <v>54.527999999999999</v>
      </c>
      <c r="Q1542">
        <v>3</v>
      </c>
      <c r="R1542">
        <v>0.2</v>
      </c>
      <c r="S1542">
        <v>14.313599999999999</v>
      </c>
      <c r="T1542" t="s">
        <v>130</v>
      </c>
      <c r="U1542" t="s">
        <v>114</v>
      </c>
    </row>
    <row r="1543" spans="1:21" x14ac:dyDescent="0.25">
      <c r="A1543" t="s">
        <v>3728</v>
      </c>
      <c r="B1543" s="1">
        <v>42363</v>
      </c>
      <c r="C1543" s="1">
        <v>42368</v>
      </c>
      <c r="D1543" t="s">
        <v>40</v>
      </c>
      <c r="E1543" t="s">
        <v>1807</v>
      </c>
      <c r="F1543" t="s">
        <v>1808</v>
      </c>
      <c r="G1543" t="s">
        <v>25</v>
      </c>
      <c r="H1543" t="s">
        <v>26</v>
      </c>
      <c r="I1543" t="s">
        <v>174</v>
      </c>
      <c r="J1543" t="s">
        <v>121</v>
      </c>
      <c r="K1543" t="s">
        <v>68</v>
      </c>
      <c r="L1543" t="s">
        <v>261</v>
      </c>
      <c r="M1543" t="s">
        <v>31</v>
      </c>
      <c r="N1543" t="s">
        <v>32</v>
      </c>
      <c r="O1543" t="s">
        <v>262</v>
      </c>
      <c r="P1543">
        <v>449.56799999999998</v>
      </c>
      <c r="Q1543">
        <v>2</v>
      </c>
      <c r="R1543">
        <v>0.2</v>
      </c>
      <c r="S1543">
        <v>56.195999999999998</v>
      </c>
      <c r="T1543" t="s">
        <v>59</v>
      </c>
      <c r="U1543" t="s">
        <v>97</v>
      </c>
    </row>
    <row r="1544" spans="1:21" x14ac:dyDescent="0.25">
      <c r="A1544" t="s">
        <v>3729</v>
      </c>
      <c r="B1544" s="1">
        <v>41993</v>
      </c>
      <c r="C1544" s="1">
        <v>41996</v>
      </c>
      <c r="D1544" t="s">
        <v>22</v>
      </c>
      <c r="E1544" t="s">
        <v>2346</v>
      </c>
      <c r="F1544" t="s">
        <v>2347</v>
      </c>
      <c r="G1544" t="s">
        <v>91</v>
      </c>
      <c r="H1544" t="s">
        <v>26</v>
      </c>
      <c r="I1544" t="s">
        <v>174</v>
      </c>
      <c r="J1544" t="s">
        <v>121</v>
      </c>
      <c r="K1544" t="s">
        <v>68</v>
      </c>
      <c r="L1544" t="s">
        <v>2195</v>
      </c>
      <c r="M1544" t="s">
        <v>31</v>
      </c>
      <c r="N1544" t="s">
        <v>37</v>
      </c>
      <c r="O1544" t="s">
        <v>2196</v>
      </c>
      <c r="P1544">
        <v>192.18600000000001</v>
      </c>
      <c r="Q1544">
        <v>3</v>
      </c>
      <c r="R1544">
        <v>0.1</v>
      </c>
      <c r="S1544">
        <v>36.3018</v>
      </c>
      <c r="T1544" t="s">
        <v>34</v>
      </c>
      <c r="U1544" t="s">
        <v>97</v>
      </c>
    </row>
    <row r="1545" spans="1:21" x14ac:dyDescent="0.25">
      <c r="A1545" t="s">
        <v>3730</v>
      </c>
      <c r="B1545" s="1">
        <v>41846</v>
      </c>
      <c r="C1545" s="1">
        <v>41852</v>
      </c>
      <c r="D1545" t="s">
        <v>40</v>
      </c>
      <c r="E1545" t="s">
        <v>1369</v>
      </c>
      <c r="F1545" t="s">
        <v>1370</v>
      </c>
      <c r="G1545" t="s">
        <v>25</v>
      </c>
      <c r="H1545" t="s">
        <v>26</v>
      </c>
      <c r="I1545" t="s">
        <v>2139</v>
      </c>
      <c r="J1545" t="s">
        <v>668</v>
      </c>
      <c r="K1545" t="s">
        <v>29</v>
      </c>
      <c r="L1545" t="s">
        <v>1766</v>
      </c>
      <c r="M1545" t="s">
        <v>31</v>
      </c>
      <c r="N1545" t="s">
        <v>37</v>
      </c>
      <c r="O1545" t="s">
        <v>1767</v>
      </c>
      <c r="P1545">
        <v>67.88</v>
      </c>
      <c r="Q1545">
        <v>2</v>
      </c>
      <c r="R1545">
        <v>0</v>
      </c>
      <c r="S1545">
        <v>18.3276</v>
      </c>
      <c r="T1545" t="s">
        <v>130</v>
      </c>
      <c r="U1545" t="s">
        <v>72</v>
      </c>
    </row>
    <row r="1546" spans="1:21" x14ac:dyDescent="0.25">
      <c r="A1546" t="s">
        <v>3730</v>
      </c>
      <c r="B1546" s="1">
        <v>41846</v>
      </c>
      <c r="C1546" s="1">
        <v>41852</v>
      </c>
      <c r="D1546" t="s">
        <v>40</v>
      </c>
      <c r="E1546" t="s">
        <v>1369</v>
      </c>
      <c r="F1546" t="s">
        <v>1370</v>
      </c>
      <c r="G1546" t="s">
        <v>25</v>
      </c>
      <c r="H1546" t="s">
        <v>26</v>
      </c>
      <c r="I1546" t="s">
        <v>2139</v>
      </c>
      <c r="J1546" t="s">
        <v>668</v>
      </c>
      <c r="K1546" t="s">
        <v>29</v>
      </c>
      <c r="L1546" t="s">
        <v>2902</v>
      </c>
      <c r="M1546" t="s">
        <v>31</v>
      </c>
      <c r="N1546" t="s">
        <v>57</v>
      </c>
      <c r="O1546" t="s">
        <v>2903</v>
      </c>
      <c r="P1546">
        <v>25.71</v>
      </c>
      <c r="Q1546">
        <v>3</v>
      </c>
      <c r="R1546">
        <v>0</v>
      </c>
      <c r="S1546">
        <v>9.2555999999999994</v>
      </c>
      <c r="T1546" t="s">
        <v>130</v>
      </c>
      <c r="U1546" t="s">
        <v>72</v>
      </c>
    </row>
    <row r="1547" spans="1:21" x14ac:dyDescent="0.25">
      <c r="A1547" t="s">
        <v>3731</v>
      </c>
      <c r="B1547" s="1">
        <v>43080</v>
      </c>
      <c r="C1547" s="1">
        <v>43086</v>
      </c>
      <c r="D1547" t="s">
        <v>40</v>
      </c>
      <c r="E1547" t="s">
        <v>2217</v>
      </c>
      <c r="F1547" t="s">
        <v>2218</v>
      </c>
      <c r="G1547" t="s">
        <v>91</v>
      </c>
      <c r="H1547" t="s">
        <v>26</v>
      </c>
      <c r="I1547" t="s">
        <v>607</v>
      </c>
      <c r="J1547" t="s">
        <v>44</v>
      </c>
      <c r="K1547" t="s">
        <v>29</v>
      </c>
      <c r="L1547" t="s">
        <v>267</v>
      </c>
      <c r="M1547" t="s">
        <v>31</v>
      </c>
      <c r="N1547" t="s">
        <v>46</v>
      </c>
      <c r="O1547" t="s">
        <v>268</v>
      </c>
      <c r="P1547">
        <v>721.875</v>
      </c>
      <c r="Q1547">
        <v>6</v>
      </c>
      <c r="R1547">
        <v>0.45</v>
      </c>
      <c r="S1547">
        <v>-420</v>
      </c>
      <c r="T1547" t="s">
        <v>130</v>
      </c>
      <c r="U1547" t="s">
        <v>97</v>
      </c>
    </row>
    <row r="1548" spans="1:21" x14ac:dyDescent="0.25">
      <c r="A1548" t="s">
        <v>3731</v>
      </c>
      <c r="B1548" s="1">
        <v>43080</v>
      </c>
      <c r="C1548" s="1">
        <v>43086</v>
      </c>
      <c r="D1548" t="s">
        <v>40</v>
      </c>
      <c r="E1548" t="s">
        <v>2217</v>
      </c>
      <c r="F1548" t="s">
        <v>2218</v>
      </c>
      <c r="G1548" t="s">
        <v>91</v>
      </c>
      <c r="H1548" t="s">
        <v>26</v>
      </c>
      <c r="I1548" t="s">
        <v>607</v>
      </c>
      <c r="J1548" t="s">
        <v>44</v>
      </c>
      <c r="K1548" t="s">
        <v>29</v>
      </c>
      <c r="L1548" t="s">
        <v>511</v>
      </c>
      <c r="M1548" t="s">
        <v>31</v>
      </c>
      <c r="N1548" t="s">
        <v>37</v>
      </c>
      <c r="O1548" t="s">
        <v>512</v>
      </c>
      <c r="P1548">
        <v>64.784000000000006</v>
      </c>
      <c r="Q1548">
        <v>1</v>
      </c>
      <c r="R1548">
        <v>0.2</v>
      </c>
      <c r="S1548">
        <v>-12.147</v>
      </c>
      <c r="T1548" t="s">
        <v>130</v>
      </c>
      <c r="U1548" t="s">
        <v>97</v>
      </c>
    </row>
    <row r="1549" spans="1:21" x14ac:dyDescent="0.25">
      <c r="A1549" t="s">
        <v>3732</v>
      </c>
      <c r="B1549" s="1">
        <v>42652</v>
      </c>
      <c r="C1549" s="1">
        <v>42657</v>
      </c>
      <c r="D1549" t="s">
        <v>40</v>
      </c>
      <c r="E1549" t="s">
        <v>3437</v>
      </c>
      <c r="F1549" t="s">
        <v>3438</v>
      </c>
      <c r="G1549" t="s">
        <v>101</v>
      </c>
      <c r="H1549" t="s">
        <v>26</v>
      </c>
      <c r="I1549" t="s">
        <v>520</v>
      </c>
      <c r="J1549" t="s">
        <v>521</v>
      </c>
      <c r="K1549" t="s">
        <v>55</v>
      </c>
      <c r="L1549" t="s">
        <v>1392</v>
      </c>
      <c r="M1549" t="s">
        <v>31</v>
      </c>
      <c r="N1549" t="s">
        <v>57</v>
      </c>
      <c r="O1549" t="s">
        <v>1393</v>
      </c>
      <c r="P1549">
        <v>169.56800000000001</v>
      </c>
      <c r="Q1549">
        <v>2</v>
      </c>
      <c r="R1549">
        <v>0.2</v>
      </c>
      <c r="S1549">
        <v>0</v>
      </c>
      <c r="T1549" t="s">
        <v>59</v>
      </c>
      <c r="U1549" t="s">
        <v>49</v>
      </c>
    </row>
    <row r="1550" spans="1:21" x14ac:dyDescent="0.25">
      <c r="A1550" t="s">
        <v>3733</v>
      </c>
      <c r="B1550" s="1">
        <v>42003</v>
      </c>
      <c r="C1550" s="1">
        <v>42007</v>
      </c>
      <c r="D1550" t="s">
        <v>22</v>
      </c>
      <c r="E1550" t="s">
        <v>3734</v>
      </c>
      <c r="F1550" t="s">
        <v>3735</v>
      </c>
      <c r="G1550" t="s">
        <v>91</v>
      </c>
      <c r="H1550" t="s">
        <v>26</v>
      </c>
      <c r="I1550" t="s">
        <v>66</v>
      </c>
      <c r="J1550" t="s">
        <v>67</v>
      </c>
      <c r="K1550" t="s">
        <v>68</v>
      </c>
      <c r="L1550" t="s">
        <v>411</v>
      </c>
      <c r="M1550" t="s">
        <v>31</v>
      </c>
      <c r="N1550" t="s">
        <v>46</v>
      </c>
      <c r="O1550" t="s">
        <v>412</v>
      </c>
      <c r="P1550">
        <v>523.76400000000001</v>
      </c>
      <c r="Q1550">
        <v>3</v>
      </c>
      <c r="R1550">
        <v>0.4</v>
      </c>
      <c r="S1550">
        <v>-192.04679999999999</v>
      </c>
      <c r="T1550" t="s">
        <v>84</v>
      </c>
      <c r="U1550" t="s">
        <v>97</v>
      </c>
    </row>
    <row r="1551" spans="1:21" x14ac:dyDescent="0.25">
      <c r="A1551" t="s">
        <v>3736</v>
      </c>
      <c r="B1551" s="1">
        <v>42472</v>
      </c>
      <c r="C1551" s="1">
        <v>42474</v>
      </c>
      <c r="D1551" t="s">
        <v>88</v>
      </c>
      <c r="E1551" t="s">
        <v>2007</v>
      </c>
      <c r="F1551" t="s">
        <v>2008</v>
      </c>
      <c r="G1551" t="s">
        <v>25</v>
      </c>
      <c r="H1551" t="s">
        <v>26</v>
      </c>
      <c r="I1551" t="s">
        <v>53</v>
      </c>
      <c r="J1551" t="s">
        <v>54</v>
      </c>
      <c r="K1551" t="s">
        <v>55</v>
      </c>
      <c r="L1551" t="s">
        <v>511</v>
      </c>
      <c r="M1551" t="s">
        <v>31</v>
      </c>
      <c r="N1551" t="s">
        <v>37</v>
      </c>
      <c r="O1551" t="s">
        <v>512</v>
      </c>
      <c r="P1551">
        <v>194.352</v>
      </c>
      <c r="Q1551">
        <v>3</v>
      </c>
      <c r="R1551">
        <v>0.2</v>
      </c>
      <c r="S1551">
        <v>-36.441000000000003</v>
      </c>
      <c r="T1551" t="s">
        <v>71</v>
      </c>
      <c r="U1551" t="s">
        <v>114</v>
      </c>
    </row>
    <row r="1552" spans="1:21" x14ac:dyDescent="0.25">
      <c r="A1552" t="s">
        <v>3737</v>
      </c>
      <c r="B1552" s="1">
        <v>42702</v>
      </c>
      <c r="C1552" s="1">
        <v>42708</v>
      </c>
      <c r="D1552" t="s">
        <v>40</v>
      </c>
      <c r="E1552" t="s">
        <v>287</v>
      </c>
      <c r="F1552" t="s">
        <v>288</v>
      </c>
      <c r="G1552" t="s">
        <v>91</v>
      </c>
      <c r="H1552" t="s">
        <v>26</v>
      </c>
      <c r="I1552" t="s">
        <v>66</v>
      </c>
      <c r="J1552" t="s">
        <v>67</v>
      </c>
      <c r="K1552" t="s">
        <v>68</v>
      </c>
      <c r="L1552" t="s">
        <v>591</v>
      </c>
      <c r="M1552" t="s">
        <v>31</v>
      </c>
      <c r="N1552" t="s">
        <v>37</v>
      </c>
      <c r="O1552" t="s">
        <v>592</v>
      </c>
      <c r="P1552">
        <v>347.80200000000002</v>
      </c>
      <c r="Q1552">
        <v>7</v>
      </c>
      <c r="R1552">
        <v>0.3</v>
      </c>
      <c r="S1552">
        <v>-24.843</v>
      </c>
      <c r="T1552" t="s">
        <v>130</v>
      </c>
      <c r="U1552" t="s">
        <v>35</v>
      </c>
    </row>
    <row r="1553" spans="1:21" x14ac:dyDescent="0.25">
      <c r="A1553" t="s">
        <v>3738</v>
      </c>
      <c r="B1553" s="1">
        <v>42626</v>
      </c>
      <c r="C1553" s="1">
        <v>42631</v>
      </c>
      <c r="D1553" t="s">
        <v>40</v>
      </c>
      <c r="E1553" t="s">
        <v>2926</v>
      </c>
      <c r="F1553" t="s">
        <v>2927</v>
      </c>
      <c r="G1553" t="s">
        <v>25</v>
      </c>
      <c r="H1553" t="s">
        <v>26</v>
      </c>
      <c r="I1553" t="s">
        <v>841</v>
      </c>
      <c r="J1553" t="s">
        <v>842</v>
      </c>
      <c r="K1553" t="s">
        <v>94</v>
      </c>
      <c r="L1553" t="s">
        <v>95</v>
      </c>
      <c r="M1553" t="s">
        <v>31</v>
      </c>
      <c r="N1553" t="s">
        <v>57</v>
      </c>
      <c r="O1553" t="s">
        <v>96</v>
      </c>
      <c r="P1553">
        <v>1336.44</v>
      </c>
      <c r="Q1553">
        <v>14</v>
      </c>
      <c r="R1553">
        <v>0</v>
      </c>
      <c r="S1553">
        <v>387.56760000000003</v>
      </c>
      <c r="T1553" t="s">
        <v>59</v>
      </c>
      <c r="U1553" t="s">
        <v>78</v>
      </c>
    </row>
    <row r="1554" spans="1:21" x14ac:dyDescent="0.25">
      <c r="A1554" t="s">
        <v>3739</v>
      </c>
      <c r="B1554" s="1">
        <v>43068</v>
      </c>
      <c r="C1554" s="1">
        <v>43072</v>
      </c>
      <c r="D1554" t="s">
        <v>40</v>
      </c>
      <c r="E1554" t="s">
        <v>2349</v>
      </c>
      <c r="F1554" t="s">
        <v>2350</v>
      </c>
      <c r="G1554" t="s">
        <v>25</v>
      </c>
      <c r="H1554" t="s">
        <v>26</v>
      </c>
      <c r="I1554" t="s">
        <v>2270</v>
      </c>
      <c r="J1554" t="s">
        <v>142</v>
      </c>
      <c r="K1554" t="s">
        <v>29</v>
      </c>
      <c r="L1554" t="s">
        <v>36</v>
      </c>
      <c r="M1554" t="s">
        <v>31</v>
      </c>
      <c r="N1554" t="s">
        <v>37</v>
      </c>
      <c r="O1554" t="s">
        <v>38</v>
      </c>
      <c r="P1554">
        <v>390.36799999999999</v>
      </c>
      <c r="Q1554">
        <v>2</v>
      </c>
      <c r="R1554">
        <v>0.2</v>
      </c>
      <c r="S1554">
        <v>48.795999999999999</v>
      </c>
      <c r="T1554" t="s">
        <v>84</v>
      </c>
      <c r="U1554" t="s">
        <v>35</v>
      </c>
    </row>
    <row r="1555" spans="1:21" x14ac:dyDescent="0.25">
      <c r="A1555" t="s">
        <v>3739</v>
      </c>
      <c r="B1555" s="1">
        <v>43068</v>
      </c>
      <c r="C1555" s="1">
        <v>43072</v>
      </c>
      <c r="D1555" t="s">
        <v>40</v>
      </c>
      <c r="E1555" t="s">
        <v>2349</v>
      </c>
      <c r="F1555" t="s">
        <v>2350</v>
      </c>
      <c r="G1555" t="s">
        <v>25</v>
      </c>
      <c r="H1555" t="s">
        <v>26</v>
      </c>
      <c r="I1555" t="s">
        <v>2270</v>
      </c>
      <c r="J1555" t="s">
        <v>142</v>
      </c>
      <c r="K1555" t="s">
        <v>29</v>
      </c>
      <c r="L1555" t="s">
        <v>309</v>
      </c>
      <c r="M1555" t="s">
        <v>31</v>
      </c>
      <c r="N1555" t="s">
        <v>57</v>
      </c>
      <c r="O1555" t="s">
        <v>2587</v>
      </c>
      <c r="P1555">
        <v>101.52</v>
      </c>
      <c r="Q1555">
        <v>5</v>
      </c>
      <c r="R1555">
        <v>0.2</v>
      </c>
      <c r="S1555">
        <v>19.035</v>
      </c>
      <c r="T1555" t="s">
        <v>84</v>
      </c>
      <c r="U1555" t="s">
        <v>35</v>
      </c>
    </row>
    <row r="1556" spans="1:21" x14ac:dyDescent="0.25">
      <c r="A1556" t="s">
        <v>3740</v>
      </c>
      <c r="B1556" s="1">
        <v>42729</v>
      </c>
      <c r="C1556" s="1">
        <v>42734</v>
      </c>
      <c r="D1556" t="s">
        <v>40</v>
      </c>
      <c r="E1556" t="s">
        <v>3195</v>
      </c>
      <c r="F1556" t="s">
        <v>3196</v>
      </c>
      <c r="G1556" t="s">
        <v>91</v>
      </c>
      <c r="H1556" t="s">
        <v>26</v>
      </c>
      <c r="I1556" t="s">
        <v>174</v>
      </c>
      <c r="J1556" t="s">
        <v>121</v>
      </c>
      <c r="K1556" t="s">
        <v>68</v>
      </c>
      <c r="L1556" t="s">
        <v>1248</v>
      </c>
      <c r="M1556" t="s">
        <v>31</v>
      </c>
      <c r="N1556" t="s">
        <v>46</v>
      </c>
      <c r="O1556" t="s">
        <v>1249</v>
      </c>
      <c r="P1556">
        <v>313.17599999999999</v>
      </c>
      <c r="Q1556">
        <v>2</v>
      </c>
      <c r="R1556">
        <v>0.4</v>
      </c>
      <c r="S1556">
        <v>-120.0508</v>
      </c>
      <c r="T1556" t="s">
        <v>59</v>
      </c>
      <c r="U1556" t="s">
        <v>97</v>
      </c>
    </row>
    <row r="1557" spans="1:21" x14ac:dyDescent="0.25">
      <c r="A1557" t="s">
        <v>3740</v>
      </c>
      <c r="B1557" s="1">
        <v>42729</v>
      </c>
      <c r="C1557" s="1">
        <v>42734</v>
      </c>
      <c r="D1557" t="s">
        <v>40</v>
      </c>
      <c r="E1557" t="s">
        <v>3195</v>
      </c>
      <c r="F1557" t="s">
        <v>3196</v>
      </c>
      <c r="G1557" t="s">
        <v>91</v>
      </c>
      <c r="H1557" t="s">
        <v>26</v>
      </c>
      <c r="I1557" t="s">
        <v>174</v>
      </c>
      <c r="J1557" t="s">
        <v>121</v>
      </c>
      <c r="K1557" t="s">
        <v>68</v>
      </c>
      <c r="L1557" t="s">
        <v>796</v>
      </c>
      <c r="M1557" t="s">
        <v>31</v>
      </c>
      <c r="N1557" t="s">
        <v>37</v>
      </c>
      <c r="O1557" t="s">
        <v>797</v>
      </c>
      <c r="P1557">
        <v>866.64599999999996</v>
      </c>
      <c r="Q1557">
        <v>3</v>
      </c>
      <c r="R1557">
        <v>0.1</v>
      </c>
      <c r="S1557">
        <v>173.32919999999999</v>
      </c>
      <c r="T1557" t="s">
        <v>59</v>
      </c>
      <c r="U1557" t="s">
        <v>97</v>
      </c>
    </row>
    <row r="1558" spans="1:21" x14ac:dyDescent="0.25">
      <c r="A1558" t="s">
        <v>3741</v>
      </c>
      <c r="B1558" s="1">
        <v>42621</v>
      </c>
      <c r="C1558" s="1">
        <v>42626</v>
      </c>
      <c r="D1558" t="s">
        <v>40</v>
      </c>
      <c r="E1558" t="s">
        <v>1679</v>
      </c>
      <c r="F1558" t="s">
        <v>1680</v>
      </c>
      <c r="G1558" t="s">
        <v>25</v>
      </c>
      <c r="H1558" t="s">
        <v>26</v>
      </c>
      <c r="I1558" t="s">
        <v>192</v>
      </c>
      <c r="J1558" t="s">
        <v>193</v>
      </c>
      <c r="K1558" t="s">
        <v>55</v>
      </c>
      <c r="L1558" t="s">
        <v>608</v>
      </c>
      <c r="M1558" t="s">
        <v>31</v>
      </c>
      <c r="N1558" t="s">
        <v>57</v>
      </c>
      <c r="O1558" t="s">
        <v>609</v>
      </c>
      <c r="P1558">
        <v>43.13</v>
      </c>
      <c r="Q1558">
        <v>1</v>
      </c>
      <c r="R1558">
        <v>0</v>
      </c>
      <c r="S1558">
        <v>14.664199999999999</v>
      </c>
      <c r="T1558" t="s">
        <v>59</v>
      </c>
      <c r="U1558" t="s">
        <v>78</v>
      </c>
    </row>
    <row r="1559" spans="1:21" x14ac:dyDescent="0.25">
      <c r="A1559" t="s">
        <v>3742</v>
      </c>
      <c r="B1559" s="1">
        <v>42138</v>
      </c>
      <c r="C1559" s="1">
        <v>42143</v>
      </c>
      <c r="D1559" t="s">
        <v>40</v>
      </c>
      <c r="E1559" t="s">
        <v>1069</v>
      </c>
      <c r="F1559" t="s">
        <v>1070</v>
      </c>
      <c r="G1559" t="s">
        <v>91</v>
      </c>
      <c r="H1559" t="s">
        <v>26</v>
      </c>
      <c r="I1559" t="s">
        <v>3743</v>
      </c>
      <c r="J1559" t="s">
        <v>54</v>
      </c>
      <c r="K1559" t="s">
        <v>55</v>
      </c>
      <c r="L1559" t="s">
        <v>711</v>
      </c>
      <c r="M1559" t="s">
        <v>31</v>
      </c>
      <c r="N1559" t="s">
        <v>32</v>
      </c>
      <c r="O1559" t="s">
        <v>712</v>
      </c>
      <c r="P1559">
        <v>509.95749999999998</v>
      </c>
      <c r="Q1559">
        <v>5</v>
      </c>
      <c r="R1559">
        <v>0.15</v>
      </c>
      <c r="S1559">
        <v>41.996499999999997</v>
      </c>
      <c r="T1559" t="s">
        <v>59</v>
      </c>
      <c r="U1559" t="s">
        <v>162</v>
      </c>
    </row>
    <row r="1560" spans="1:21" x14ac:dyDescent="0.25">
      <c r="A1560" t="s">
        <v>3742</v>
      </c>
      <c r="B1560" s="1">
        <v>42138</v>
      </c>
      <c r="C1560" s="1">
        <v>42143</v>
      </c>
      <c r="D1560" t="s">
        <v>40</v>
      </c>
      <c r="E1560" t="s">
        <v>1069</v>
      </c>
      <c r="F1560" t="s">
        <v>1070</v>
      </c>
      <c r="G1560" t="s">
        <v>91</v>
      </c>
      <c r="H1560" t="s">
        <v>26</v>
      </c>
      <c r="I1560" t="s">
        <v>3743</v>
      </c>
      <c r="J1560" t="s">
        <v>54</v>
      </c>
      <c r="K1560" t="s">
        <v>55</v>
      </c>
      <c r="L1560" t="s">
        <v>641</v>
      </c>
      <c r="M1560" t="s">
        <v>31</v>
      </c>
      <c r="N1560" t="s">
        <v>57</v>
      </c>
      <c r="O1560" t="s">
        <v>642</v>
      </c>
      <c r="P1560">
        <v>122.91</v>
      </c>
      <c r="Q1560">
        <v>3</v>
      </c>
      <c r="R1560">
        <v>0</v>
      </c>
      <c r="S1560">
        <v>34.4148</v>
      </c>
      <c r="T1560" t="s">
        <v>59</v>
      </c>
      <c r="U1560" t="s">
        <v>162</v>
      </c>
    </row>
    <row r="1561" spans="1:21" x14ac:dyDescent="0.25">
      <c r="A1561" t="s">
        <v>3742</v>
      </c>
      <c r="B1561" s="1">
        <v>42138</v>
      </c>
      <c r="C1561" s="1">
        <v>42143</v>
      </c>
      <c r="D1561" t="s">
        <v>40</v>
      </c>
      <c r="E1561" t="s">
        <v>1069</v>
      </c>
      <c r="F1561" t="s">
        <v>1070</v>
      </c>
      <c r="G1561" t="s">
        <v>91</v>
      </c>
      <c r="H1561" t="s">
        <v>26</v>
      </c>
      <c r="I1561" t="s">
        <v>3743</v>
      </c>
      <c r="J1561" t="s">
        <v>54</v>
      </c>
      <c r="K1561" t="s">
        <v>55</v>
      </c>
      <c r="L1561" t="s">
        <v>1657</v>
      </c>
      <c r="M1561" t="s">
        <v>31</v>
      </c>
      <c r="N1561" t="s">
        <v>37</v>
      </c>
      <c r="O1561" t="s">
        <v>1658</v>
      </c>
      <c r="P1561">
        <v>97.567999999999998</v>
      </c>
      <c r="Q1561">
        <v>2</v>
      </c>
      <c r="R1561">
        <v>0.2</v>
      </c>
      <c r="S1561">
        <v>-6.0979999999999999</v>
      </c>
      <c r="T1561" t="s">
        <v>59</v>
      </c>
      <c r="U1561" t="s">
        <v>162</v>
      </c>
    </row>
    <row r="1562" spans="1:21" x14ac:dyDescent="0.25">
      <c r="A1562" t="s">
        <v>3742</v>
      </c>
      <c r="B1562" s="1">
        <v>42138</v>
      </c>
      <c r="C1562" s="1">
        <v>42143</v>
      </c>
      <c r="D1562" t="s">
        <v>40</v>
      </c>
      <c r="E1562" t="s">
        <v>1069</v>
      </c>
      <c r="F1562" t="s">
        <v>1070</v>
      </c>
      <c r="G1562" t="s">
        <v>91</v>
      </c>
      <c r="H1562" t="s">
        <v>26</v>
      </c>
      <c r="I1562" t="s">
        <v>3743</v>
      </c>
      <c r="J1562" t="s">
        <v>54</v>
      </c>
      <c r="K1562" t="s">
        <v>55</v>
      </c>
      <c r="L1562" t="s">
        <v>2335</v>
      </c>
      <c r="M1562" t="s">
        <v>31</v>
      </c>
      <c r="N1562" t="s">
        <v>37</v>
      </c>
      <c r="O1562" t="s">
        <v>2336</v>
      </c>
      <c r="P1562">
        <v>722.35199999999998</v>
      </c>
      <c r="Q1562">
        <v>3</v>
      </c>
      <c r="R1562">
        <v>0.2</v>
      </c>
      <c r="S1562">
        <v>81.264600000000002</v>
      </c>
      <c r="T1562" t="s">
        <v>59</v>
      </c>
      <c r="U1562" t="s">
        <v>162</v>
      </c>
    </row>
    <row r="1563" spans="1:21" x14ac:dyDescent="0.25">
      <c r="A1563" t="s">
        <v>3744</v>
      </c>
      <c r="B1563" s="1">
        <v>42520</v>
      </c>
      <c r="C1563" s="1">
        <v>42527</v>
      </c>
      <c r="D1563" t="s">
        <v>40</v>
      </c>
      <c r="E1563" t="s">
        <v>2309</v>
      </c>
      <c r="F1563" t="s">
        <v>2310</v>
      </c>
      <c r="G1563" t="s">
        <v>91</v>
      </c>
      <c r="H1563" t="s">
        <v>26</v>
      </c>
      <c r="I1563" t="s">
        <v>53</v>
      </c>
      <c r="J1563" t="s">
        <v>54</v>
      </c>
      <c r="K1563" t="s">
        <v>55</v>
      </c>
      <c r="L1563" t="s">
        <v>2282</v>
      </c>
      <c r="M1563" t="s">
        <v>31</v>
      </c>
      <c r="N1563" t="s">
        <v>57</v>
      </c>
      <c r="O1563" t="s">
        <v>2283</v>
      </c>
      <c r="P1563">
        <v>167.84</v>
      </c>
      <c r="Q1563">
        <v>8</v>
      </c>
      <c r="R1563">
        <v>0</v>
      </c>
      <c r="S1563">
        <v>11.748799999999999</v>
      </c>
      <c r="T1563" t="s">
        <v>48</v>
      </c>
      <c r="U1563" t="s">
        <v>162</v>
      </c>
    </row>
    <row r="1564" spans="1:21" x14ac:dyDescent="0.25">
      <c r="A1564" t="s">
        <v>3745</v>
      </c>
      <c r="B1564" s="1">
        <v>41737</v>
      </c>
      <c r="C1564" s="1">
        <v>41741</v>
      </c>
      <c r="D1564" t="s">
        <v>40</v>
      </c>
      <c r="E1564" t="s">
        <v>973</v>
      </c>
      <c r="F1564" t="s">
        <v>974</v>
      </c>
      <c r="G1564" t="s">
        <v>25</v>
      </c>
      <c r="H1564" t="s">
        <v>26</v>
      </c>
      <c r="I1564" t="s">
        <v>2532</v>
      </c>
      <c r="J1564" t="s">
        <v>232</v>
      </c>
      <c r="K1564" t="s">
        <v>68</v>
      </c>
      <c r="L1564" t="s">
        <v>2832</v>
      </c>
      <c r="M1564" t="s">
        <v>31</v>
      </c>
      <c r="N1564" t="s">
        <v>46</v>
      </c>
      <c r="O1564" t="s">
        <v>2833</v>
      </c>
      <c r="P1564">
        <v>172.11</v>
      </c>
      <c r="Q1564">
        <v>1</v>
      </c>
      <c r="R1564">
        <v>0.4</v>
      </c>
      <c r="S1564">
        <v>-94.660499999999999</v>
      </c>
      <c r="T1564" t="s">
        <v>84</v>
      </c>
      <c r="U1564" t="s">
        <v>114</v>
      </c>
    </row>
    <row r="1565" spans="1:21" x14ac:dyDescent="0.25">
      <c r="A1565" t="s">
        <v>3746</v>
      </c>
      <c r="B1565" s="1">
        <v>42885</v>
      </c>
      <c r="C1565" s="1">
        <v>42889</v>
      </c>
      <c r="D1565" t="s">
        <v>40</v>
      </c>
      <c r="E1565" t="s">
        <v>2896</v>
      </c>
      <c r="F1565" t="s">
        <v>2897</v>
      </c>
      <c r="G1565" t="s">
        <v>101</v>
      </c>
      <c r="H1565" t="s">
        <v>26</v>
      </c>
      <c r="I1565" t="s">
        <v>3747</v>
      </c>
      <c r="J1565" t="s">
        <v>1518</v>
      </c>
      <c r="K1565" t="s">
        <v>55</v>
      </c>
      <c r="L1565" t="s">
        <v>3546</v>
      </c>
      <c r="M1565" t="s">
        <v>31</v>
      </c>
      <c r="N1565" t="s">
        <v>57</v>
      </c>
      <c r="O1565" t="s">
        <v>3547</v>
      </c>
      <c r="P1565">
        <v>13.592000000000001</v>
      </c>
      <c r="Q1565">
        <v>1</v>
      </c>
      <c r="R1565">
        <v>0.2</v>
      </c>
      <c r="S1565">
        <v>-0.33979999999999999</v>
      </c>
      <c r="T1565" t="s">
        <v>84</v>
      </c>
      <c r="U1565" t="s">
        <v>162</v>
      </c>
    </row>
    <row r="1566" spans="1:21" x14ac:dyDescent="0.25">
      <c r="A1566" t="s">
        <v>3748</v>
      </c>
      <c r="B1566" s="1">
        <v>42442</v>
      </c>
      <c r="C1566" s="1">
        <v>42444</v>
      </c>
      <c r="D1566" t="s">
        <v>22</v>
      </c>
      <c r="E1566" t="s">
        <v>2074</v>
      </c>
      <c r="F1566" t="s">
        <v>2075</v>
      </c>
      <c r="G1566" t="s">
        <v>91</v>
      </c>
      <c r="H1566" t="s">
        <v>26</v>
      </c>
      <c r="I1566" t="s">
        <v>66</v>
      </c>
      <c r="J1566" t="s">
        <v>67</v>
      </c>
      <c r="K1566" t="s">
        <v>68</v>
      </c>
      <c r="L1566" t="s">
        <v>247</v>
      </c>
      <c r="M1566" t="s">
        <v>31</v>
      </c>
      <c r="N1566" t="s">
        <v>37</v>
      </c>
      <c r="O1566" t="s">
        <v>248</v>
      </c>
      <c r="P1566">
        <v>386.68</v>
      </c>
      <c r="Q1566">
        <v>2</v>
      </c>
      <c r="R1566">
        <v>0.3</v>
      </c>
      <c r="S1566">
        <v>-5.524</v>
      </c>
      <c r="T1566" t="s">
        <v>71</v>
      </c>
      <c r="U1566" t="s">
        <v>196</v>
      </c>
    </row>
    <row r="1567" spans="1:21" x14ac:dyDescent="0.25">
      <c r="A1567" t="s">
        <v>3749</v>
      </c>
      <c r="B1567" s="1">
        <v>42835</v>
      </c>
      <c r="C1567" s="1">
        <v>42839</v>
      </c>
      <c r="D1567" t="s">
        <v>40</v>
      </c>
      <c r="E1567" t="s">
        <v>264</v>
      </c>
      <c r="F1567" t="s">
        <v>265</v>
      </c>
      <c r="G1567" t="s">
        <v>25</v>
      </c>
      <c r="H1567" t="s">
        <v>26</v>
      </c>
      <c r="I1567" t="s">
        <v>66</v>
      </c>
      <c r="J1567" t="s">
        <v>67</v>
      </c>
      <c r="K1567" t="s">
        <v>68</v>
      </c>
      <c r="L1567" t="s">
        <v>871</v>
      </c>
      <c r="M1567" t="s">
        <v>31</v>
      </c>
      <c r="N1567" t="s">
        <v>57</v>
      </c>
      <c r="O1567" t="s">
        <v>872</v>
      </c>
      <c r="P1567">
        <v>36.671999999999997</v>
      </c>
      <c r="Q1567">
        <v>3</v>
      </c>
      <c r="R1567">
        <v>0.2</v>
      </c>
      <c r="S1567">
        <v>6.4176000000000002</v>
      </c>
      <c r="T1567" t="s">
        <v>84</v>
      </c>
      <c r="U1567" t="s">
        <v>114</v>
      </c>
    </row>
    <row r="1568" spans="1:21" x14ac:dyDescent="0.25">
      <c r="A1568" t="s">
        <v>3750</v>
      </c>
      <c r="B1568" s="1">
        <v>42546</v>
      </c>
      <c r="C1568" s="1">
        <v>42548</v>
      </c>
      <c r="D1568" t="s">
        <v>22</v>
      </c>
      <c r="E1568" t="s">
        <v>1171</v>
      </c>
      <c r="F1568" t="s">
        <v>1172</v>
      </c>
      <c r="G1568" t="s">
        <v>25</v>
      </c>
      <c r="H1568" t="s">
        <v>26</v>
      </c>
      <c r="I1568" t="s">
        <v>102</v>
      </c>
      <c r="J1568" t="s">
        <v>93</v>
      </c>
      <c r="K1568" t="s">
        <v>94</v>
      </c>
      <c r="L1568" t="s">
        <v>136</v>
      </c>
      <c r="M1568" t="s">
        <v>31</v>
      </c>
      <c r="N1568" t="s">
        <v>37</v>
      </c>
      <c r="O1568" t="s">
        <v>137</v>
      </c>
      <c r="P1568">
        <v>85.245999999999995</v>
      </c>
      <c r="Q1568">
        <v>2</v>
      </c>
      <c r="R1568">
        <v>0.3</v>
      </c>
      <c r="S1568">
        <v>-6.0890000000000004</v>
      </c>
      <c r="T1568" t="s">
        <v>71</v>
      </c>
      <c r="U1568" t="s">
        <v>60</v>
      </c>
    </row>
    <row r="1569" spans="1:21" x14ac:dyDescent="0.25">
      <c r="A1569" t="s">
        <v>3750</v>
      </c>
      <c r="B1569" s="1">
        <v>42546</v>
      </c>
      <c r="C1569" s="1">
        <v>42548</v>
      </c>
      <c r="D1569" t="s">
        <v>22</v>
      </c>
      <c r="E1569" t="s">
        <v>1171</v>
      </c>
      <c r="F1569" t="s">
        <v>1172</v>
      </c>
      <c r="G1569" t="s">
        <v>25</v>
      </c>
      <c r="H1569" t="s">
        <v>26</v>
      </c>
      <c r="I1569" t="s">
        <v>102</v>
      </c>
      <c r="J1569" t="s">
        <v>93</v>
      </c>
      <c r="K1569" t="s">
        <v>94</v>
      </c>
      <c r="L1569" t="s">
        <v>2437</v>
      </c>
      <c r="M1569" t="s">
        <v>31</v>
      </c>
      <c r="N1569" t="s">
        <v>57</v>
      </c>
      <c r="O1569" t="s">
        <v>2438</v>
      </c>
      <c r="P1569">
        <v>32.712000000000003</v>
      </c>
      <c r="Q1569">
        <v>2</v>
      </c>
      <c r="R1569">
        <v>0.6</v>
      </c>
      <c r="S1569">
        <v>-26.169599999999999</v>
      </c>
      <c r="T1569" t="s">
        <v>71</v>
      </c>
      <c r="U1569" t="s">
        <v>60</v>
      </c>
    </row>
    <row r="1570" spans="1:21" x14ac:dyDescent="0.25">
      <c r="A1570" t="s">
        <v>3751</v>
      </c>
      <c r="B1570" s="1">
        <v>42087</v>
      </c>
      <c r="C1570" s="1">
        <v>42090</v>
      </c>
      <c r="D1570" t="s">
        <v>22</v>
      </c>
      <c r="E1570" t="s">
        <v>2059</v>
      </c>
      <c r="F1570" t="s">
        <v>2060</v>
      </c>
      <c r="G1570" t="s">
        <v>91</v>
      </c>
      <c r="H1570" t="s">
        <v>26</v>
      </c>
      <c r="I1570" t="s">
        <v>3752</v>
      </c>
      <c r="J1570" t="s">
        <v>193</v>
      </c>
      <c r="K1570" t="s">
        <v>55</v>
      </c>
      <c r="L1570" t="s">
        <v>2127</v>
      </c>
      <c r="M1570" t="s">
        <v>31</v>
      </c>
      <c r="N1570" t="s">
        <v>57</v>
      </c>
      <c r="O1570" t="s">
        <v>2128</v>
      </c>
      <c r="P1570">
        <v>46.9</v>
      </c>
      <c r="Q1570">
        <v>5</v>
      </c>
      <c r="R1570">
        <v>0</v>
      </c>
      <c r="S1570">
        <v>13.132</v>
      </c>
      <c r="T1570" t="s">
        <v>34</v>
      </c>
      <c r="U1570" t="s">
        <v>196</v>
      </c>
    </row>
    <row r="1571" spans="1:21" x14ac:dyDescent="0.25">
      <c r="A1571" t="s">
        <v>3753</v>
      </c>
      <c r="B1571" s="1">
        <v>42980</v>
      </c>
      <c r="C1571" s="1">
        <v>42984</v>
      </c>
      <c r="D1571" t="s">
        <v>40</v>
      </c>
      <c r="E1571" t="s">
        <v>1507</v>
      </c>
      <c r="F1571" t="s">
        <v>1508</v>
      </c>
      <c r="G1571" t="s">
        <v>25</v>
      </c>
      <c r="H1571" t="s">
        <v>26</v>
      </c>
      <c r="I1571" t="s">
        <v>53</v>
      </c>
      <c r="J1571" t="s">
        <v>54</v>
      </c>
      <c r="K1571" t="s">
        <v>55</v>
      </c>
      <c r="L1571" t="s">
        <v>1466</v>
      </c>
      <c r="M1571" t="s">
        <v>31</v>
      </c>
      <c r="N1571" t="s">
        <v>46</v>
      </c>
      <c r="O1571" t="s">
        <v>1467</v>
      </c>
      <c r="P1571">
        <v>236.52799999999999</v>
      </c>
      <c r="Q1571">
        <v>2</v>
      </c>
      <c r="R1571">
        <v>0.2</v>
      </c>
      <c r="S1571">
        <v>-2.9565999999999999</v>
      </c>
      <c r="T1571" t="s">
        <v>84</v>
      </c>
      <c r="U1571" t="s">
        <v>78</v>
      </c>
    </row>
    <row r="1572" spans="1:21" x14ac:dyDescent="0.25">
      <c r="A1572" t="s">
        <v>3754</v>
      </c>
      <c r="B1572" s="1">
        <v>42769</v>
      </c>
      <c r="C1572" s="1">
        <v>42773</v>
      </c>
      <c r="D1572" t="s">
        <v>22</v>
      </c>
      <c r="E1572" t="s">
        <v>2490</v>
      </c>
      <c r="F1572" t="s">
        <v>2491</v>
      </c>
      <c r="G1572" t="s">
        <v>101</v>
      </c>
      <c r="H1572" t="s">
        <v>26</v>
      </c>
      <c r="I1572" t="s">
        <v>134</v>
      </c>
      <c r="J1572" t="s">
        <v>135</v>
      </c>
      <c r="K1572" t="s">
        <v>94</v>
      </c>
      <c r="L1572" t="s">
        <v>1785</v>
      </c>
      <c r="M1572" t="s">
        <v>31</v>
      </c>
      <c r="N1572" t="s">
        <v>57</v>
      </c>
      <c r="O1572" t="s">
        <v>1786</v>
      </c>
      <c r="P1572">
        <v>22.2</v>
      </c>
      <c r="Q1572">
        <v>1</v>
      </c>
      <c r="R1572">
        <v>0.6</v>
      </c>
      <c r="S1572">
        <v>-26.085000000000001</v>
      </c>
      <c r="T1572" t="s">
        <v>84</v>
      </c>
      <c r="U1572" t="s">
        <v>298</v>
      </c>
    </row>
    <row r="1573" spans="1:21" x14ac:dyDescent="0.25">
      <c r="A1573" t="s">
        <v>3755</v>
      </c>
      <c r="B1573" s="1">
        <v>43050</v>
      </c>
      <c r="C1573" s="1">
        <v>43053</v>
      </c>
      <c r="D1573" t="s">
        <v>88</v>
      </c>
      <c r="E1573" t="s">
        <v>2108</v>
      </c>
      <c r="F1573" t="s">
        <v>2109</v>
      </c>
      <c r="G1573" t="s">
        <v>25</v>
      </c>
      <c r="H1573" t="s">
        <v>26</v>
      </c>
      <c r="I1573" t="s">
        <v>3125</v>
      </c>
      <c r="J1573" t="s">
        <v>142</v>
      </c>
      <c r="K1573" t="s">
        <v>29</v>
      </c>
      <c r="L1573" t="s">
        <v>831</v>
      </c>
      <c r="M1573" t="s">
        <v>31</v>
      </c>
      <c r="N1573" t="s">
        <v>57</v>
      </c>
      <c r="O1573" t="s">
        <v>832</v>
      </c>
      <c r="P1573">
        <v>88.92</v>
      </c>
      <c r="Q1573">
        <v>5</v>
      </c>
      <c r="R1573">
        <v>0.2</v>
      </c>
      <c r="S1573">
        <v>14.4495</v>
      </c>
      <c r="T1573" t="s">
        <v>34</v>
      </c>
      <c r="U1573" t="s">
        <v>35</v>
      </c>
    </row>
    <row r="1574" spans="1:21" x14ac:dyDescent="0.25">
      <c r="A1574" t="s">
        <v>3756</v>
      </c>
      <c r="B1574" s="1">
        <v>42995</v>
      </c>
      <c r="C1574" s="1">
        <v>43000</v>
      </c>
      <c r="D1574" t="s">
        <v>22</v>
      </c>
      <c r="E1574" t="s">
        <v>1783</v>
      </c>
      <c r="F1574" t="s">
        <v>1784</v>
      </c>
      <c r="G1574" t="s">
        <v>101</v>
      </c>
      <c r="H1574" t="s">
        <v>26</v>
      </c>
      <c r="I1574" t="s">
        <v>102</v>
      </c>
      <c r="J1574" t="s">
        <v>93</v>
      </c>
      <c r="K1574" t="s">
        <v>94</v>
      </c>
      <c r="L1574" t="s">
        <v>1618</v>
      </c>
      <c r="M1574" t="s">
        <v>31</v>
      </c>
      <c r="N1574" t="s">
        <v>37</v>
      </c>
      <c r="O1574" t="s">
        <v>1619</v>
      </c>
      <c r="P1574">
        <v>318.43</v>
      </c>
      <c r="Q1574">
        <v>5</v>
      </c>
      <c r="R1574">
        <v>0.3</v>
      </c>
      <c r="S1574">
        <v>-77.332999999999998</v>
      </c>
      <c r="T1574" t="s">
        <v>59</v>
      </c>
      <c r="U1574" t="s">
        <v>78</v>
      </c>
    </row>
    <row r="1575" spans="1:21" x14ac:dyDescent="0.25">
      <c r="A1575" t="s">
        <v>3757</v>
      </c>
      <c r="B1575" s="1">
        <v>42110</v>
      </c>
      <c r="C1575" s="1">
        <v>42112</v>
      </c>
      <c r="D1575" t="s">
        <v>88</v>
      </c>
      <c r="E1575" t="s">
        <v>893</v>
      </c>
      <c r="F1575" t="s">
        <v>894</v>
      </c>
      <c r="G1575" t="s">
        <v>25</v>
      </c>
      <c r="H1575" t="s">
        <v>26</v>
      </c>
      <c r="I1575" t="s">
        <v>716</v>
      </c>
      <c r="J1575" t="s">
        <v>717</v>
      </c>
      <c r="K1575" t="s">
        <v>29</v>
      </c>
      <c r="L1575" t="s">
        <v>1832</v>
      </c>
      <c r="M1575" t="s">
        <v>31</v>
      </c>
      <c r="N1575" t="s">
        <v>57</v>
      </c>
      <c r="O1575" t="s">
        <v>1833</v>
      </c>
      <c r="P1575">
        <v>1196.8599999999999</v>
      </c>
      <c r="Q1575">
        <v>7</v>
      </c>
      <c r="R1575">
        <v>0</v>
      </c>
      <c r="S1575">
        <v>119.68600000000001</v>
      </c>
      <c r="T1575" t="s">
        <v>71</v>
      </c>
      <c r="U1575" t="s">
        <v>114</v>
      </c>
    </row>
    <row r="1576" spans="1:21" x14ac:dyDescent="0.25">
      <c r="A1576" t="s">
        <v>3757</v>
      </c>
      <c r="B1576" s="1">
        <v>42110</v>
      </c>
      <c r="C1576" s="1">
        <v>42112</v>
      </c>
      <c r="D1576" t="s">
        <v>88</v>
      </c>
      <c r="E1576" t="s">
        <v>893</v>
      </c>
      <c r="F1576" t="s">
        <v>894</v>
      </c>
      <c r="G1576" t="s">
        <v>25</v>
      </c>
      <c r="H1576" t="s">
        <v>26</v>
      </c>
      <c r="I1576" t="s">
        <v>716</v>
      </c>
      <c r="J1576" t="s">
        <v>717</v>
      </c>
      <c r="K1576" t="s">
        <v>29</v>
      </c>
      <c r="L1576" t="s">
        <v>861</v>
      </c>
      <c r="M1576" t="s">
        <v>31</v>
      </c>
      <c r="N1576" t="s">
        <v>32</v>
      </c>
      <c r="O1576" t="s">
        <v>862</v>
      </c>
      <c r="P1576">
        <v>523.26</v>
      </c>
      <c r="Q1576">
        <v>9</v>
      </c>
      <c r="R1576">
        <v>0</v>
      </c>
      <c r="S1576">
        <v>125.58240000000001</v>
      </c>
      <c r="T1576" t="s">
        <v>71</v>
      </c>
      <c r="U1576" t="s">
        <v>114</v>
      </c>
    </row>
    <row r="1577" spans="1:21" x14ac:dyDescent="0.25">
      <c r="A1577" t="s">
        <v>3758</v>
      </c>
      <c r="B1577" s="1">
        <v>43050</v>
      </c>
      <c r="C1577" s="1">
        <v>43054</v>
      </c>
      <c r="D1577" t="s">
        <v>22</v>
      </c>
      <c r="E1577" t="s">
        <v>3382</v>
      </c>
      <c r="F1577" t="s">
        <v>3383</v>
      </c>
      <c r="G1577" t="s">
        <v>101</v>
      </c>
      <c r="H1577" t="s">
        <v>26</v>
      </c>
      <c r="I1577" t="s">
        <v>53</v>
      </c>
      <c r="J1577" t="s">
        <v>54</v>
      </c>
      <c r="K1577" t="s">
        <v>55</v>
      </c>
      <c r="L1577" t="s">
        <v>896</v>
      </c>
      <c r="M1577" t="s">
        <v>31</v>
      </c>
      <c r="N1577" t="s">
        <v>57</v>
      </c>
      <c r="O1577" t="s">
        <v>897</v>
      </c>
      <c r="P1577">
        <v>34.92</v>
      </c>
      <c r="Q1577">
        <v>4</v>
      </c>
      <c r="R1577">
        <v>0</v>
      </c>
      <c r="S1577">
        <v>11.8728</v>
      </c>
      <c r="T1577" t="s">
        <v>84</v>
      </c>
      <c r="U1577" t="s">
        <v>35</v>
      </c>
    </row>
    <row r="1578" spans="1:21" x14ac:dyDescent="0.25">
      <c r="A1578" t="s">
        <v>3759</v>
      </c>
      <c r="B1578" s="1">
        <v>41897</v>
      </c>
      <c r="C1578" s="1">
        <v>41902</v>
      </c>
      <c r="D1578" t="s">
        <v>40</v>
      </c>
      <c r="E1578" t="s">
        <v>3760</v>
      </c>
      <c r="F1578" t="s">
        <v>3761</v>
      </c>
      <c r="G1578" t="s">
        <v>25</v>
      </c>
      <c r="H1578" t="s">
        <v>26</v>
      </c>
      <c r="I1578" t="s">
        <v>174</v>
      </c>
      <c r="J1578" t="s">
        <v>121</v>
      </c>
      <c r="K1578" t="s">
        <v>68</v>
      </c>
      <c r="L1578" t="s">
        <v>1349</v>
      </c>
      <c r="M1578" t="s">
        <v>31</v>
      </c>
      <c r="N1578" t="s">
        <v>57</v>
      </c>
      <c r="O1578" t="s">
        <v>1350</v>
      </c>
      <c r="P1578">
        <v>14.56</v>
      </c>
      <c r="Q1578">
        <v>2</v>
      </c>
      <c r="R1578">
        <v>0</v>
      </c>
      <c r="S1578">
        <v>6.2607999999999997</v>
      </c>
      <c r="T1578" t="s">
        <v>59</v>
      </c>
      <c r="U1578" t="s">
        <v>78</v>
      </c>
    </row>
    <row r="1579" spans="1:21" x14ac:dyDescent="0.25">
      <c r="A1579" t="s">
        <v>3762</v>
      </c>
      <c r="B1579" s="1">
        <v>41645</v>
      </c>
      <c r="C1579" s="1">
        <v>41649</v>
      </c>
      <c r="D1579" t="s">
        <v>40</v>
      </c>
      <c r="E1579" t="s">
        <v>1283</v>
      </c>
      <c r="F1579" t="s">
        <v>1284</v>
      </c>
      <c r="G1579" t="s">
        <v>101</v>
      </c>
      <c r="H1579" t="s">
        <v>26</v>
      </c>
      <c r="I1579" t="s">
        <v>27</v>
      </c>
      <c r="J1579" t="s">
        <v>28</v>
      </c>
      <c r="K1579" t="s">
        <v>29</v>
      </c>
      <c r="L1579" t="s">
        <v>207</v>
      </c>
      <c r="M1579" t="s">
        <v>31</v>
      </c>
      <c r="N1579" t="s">
        <v>37</v>
      </c>
      <c r="O1579" t="s">
        <v>208</v>
      </c>
      <c r="P1579">
        <v>2573.8200000000002</v>
      </c>
      <c r="Q1579">
        <v>9</v>
      </c>
      <c r="R1579">
        <v>0</v>
      </c>
      <c r="S1579">
        <v>746.40779999999995</v>
      </c>
      <c r="T1579" t="s">
        <v>84</v>
      </c>
      <c r="U1579" t="s">
        <v>170</v>
      </c>
    </row>
    <row r="1580" spans="1:21" x14ac:dyDescent="0.25">
      <c r="A1580" t="s">
        <v>3763</v>
      </c>
      <c r="B1580" s="1">
        <v>41988</v>
      </c>
      <c r="C1580" s="1">
        <v>41990</v>
      </c>
      <c r="D1580" t="s">
        <v>22</v>
      </c>
      <c r="E1580" t="s">
        <v>504</v>
      </c>
      <c r="F1580" t="s">
        <v>505</v>
      </c>
      <c r="G1580" t="s">
        <v>91</v>
      </c>
      <c r="H1580" t="s">
        <v>26</v>
      </c>
      <c r="I1580" t="s">
        <v>66</v>
      </c>
      <c r="J1580" t="s">
        <v>67</v>
      </c>
      <c r="K1580" t="s">
        <v>68</v>
      </c>
      <c r="L1580" t="s">
        <v>1618</v>
      </c>
      <c r="M1580" t="s">
        <v>31</v>
      </c>
      <c r="N1580" t="s">
        <v>37</v>
      </c>
      <c r="O1580" t="s">
        <v>1619</v>
      </c>
      <c r="P1580">
        <v>445.80200000000002</v>
      </c>
      <c r="Q1580">
        <v>7</v>
      </c>
      <c r="R1580">
        <v>0.3</v>
      </c>
      <c r="S1580">
        <v>-108.2662</v>
      </c>
      <c r="T1580" t="s">
        <v>71</v>
      </c>
      <c r="U1580" t="s">
        <v>97</v>
      </c>
    </row>
    <row r="1581" spans="1:21" x14ac:dyDescent="0.25">
      <c r="A1581" t="s">
        <v>3764</v>
      </c>
      <c r="B1581" s="1">
        <v>42357</v>
      </c>
      <c r="C1581" s="1">
        <v>42362</v>
      </c>
      <c r="D1581" t="s">
        <v>22</v>
      </c>
      <c r="E1581" t="s">
        <v>890</v>
      </c>
      <c r="F1581" t="s">
        <v>891</v>
      </c>
      <c r="G1581" t="s">
        <v>101</v>
      </c>
      <c r="H1581" t="s">
        <v>26</v>
      </c>
      <c r="I1581" t="s">
        <v>742</v>
      </c>
      <c r="J1581" t="s">
        <v>885</v>
      </c>
      <c r="K1581" t="s">
        <v>68</v>
      </c>
      <c r="L1581" t="s">
        <v>307</v>
      </c>
      <c r="M1581" t="s">
        <v>31</v>
      </c>
      <c r="N1581" t="s">
        <v>46</v>
      </c>
      <c r="O1581" t="s">
        <v>308</v>
      </c>
      <c r="P1581">
        <v>1053.164</v>
      </c>
      <c r="Q1581">
        <v>4</v>
      </c>
      <c r="R1581">
        <v>0.3</v>
      </c>
      <c r="S1581">
        <v>-105.3164</v>
      </c>
      <c r="T1581" t="s">
        <v>59</v>
      </c>
      <c r="U1581" t="s">
        <v>97</v>
      </c>
    </row>
    <row r="1582" spans="1:21" x14ac:dyDescent="0.25">
      <c r="A1582" t="s">
        <v>3765</v>
      </c>
      <c r="B1582" s="1">
        <v>42257</v>
      </c>
      <c r="C1582" s="1">
        <v>42263</v>
      </c>
      <c r="D1582" t="s">
        <v>40</v>
      </c>
      <c r="E1582" t="s">
        <v>1536</v>
      </c>
      <c r="F1582" t="s">
        <v>1537</v>
      </c>
      <c r="G1582" t="s">
        <v>91</v>
      </c>
      <c r="H1582" t="s">
        <v>26</v>
      </c>
      <c r="I1582" t="s">
        <v>53</v>
      </c>
      <c r="J1582" t="s">
        <v>54</v>
      </c>
      <c r="K1582" t="s">
        <v>55</v>
      </c>
      <c r="L1582" t="s">
        <v>168</v>
      </c>
      <c r="M1582" t="s">
        <v>31</v>
      </c>
      <c r="N1582" t="s">
        <v>57</v>
      </c>
      <c r="O1582" t="s">
        <v>169</v>
      </c>
      <c r="P1582">
        <v>106.68</v>
      </c>
      <c r="Q1582">
        <v>6</v>
      </c>
      <c r="R1582">
        <v>0</v>
      </c>
      <c r="S1582">
        <v>33.070799999999998</v>
      </c>
      <c r="T1582" t="s">
        <v>130</v>
      </c>
      <c r="U1582" t="s">
        <v>78</v>
      </c>
    </row>
    <row r="1583" spans="1:21" x14ac:dyDescent="0.25">
      <c r="A1583" t="s">
        <v>3766</v>
      </c>
      <c r="B1583" s="1">
        <v>42989</v>
      </c>
      <c r="C1583" s="1">
        <v>42994</v>
      </c>
      <c r="D1583" t="s">
        <v>40</v>
      </c>
      <c r="E1583" t="s">
        <v>3767</v>
      </c>
      <c r="F1583" t="s">
        <v>3768</v>
      </c>
      <c r="G1583" t="s">
        <v>25</v>
      </c>
      <c r="H1583" t="s">
        <v>26</v>
      </c>
      <c r="I1583" t="s">
        <v>102</v>
      </c>
      <c r="J1583" t="s">
        <v>93</v>
      </c>
      <c r="K1583" t="s">
        <v>94</v>
      </c>
      <c r="L1583" t="s">
        <v>1628</v>
      </c>
      <c r="M1583" t="s">
        <v>31</v>
      </c>
      <c r="N1583" t="s">
        <v>46</v>
      </c>
      <c r="O1583" t="s">
        <v>1629</v>
      </c>
      <c r="P1583">
        <v>512.19000000000005</v>
      </c>
      <c r="Q1583">
        <v>5</v>
      </c>
      <c r="R1583">
        <v>0.3</v>
      </c>
      <c r="S1583">
        <v>-65.852999999999994</v>
      </c>
      <c r="T1583" t="s">
        <v>59</v>
      </c>
      <c r="U1583" t="s">
        <v>78</v>
      </c>
    </row>
    <row r="1584" spans="1:21" x14ac:dyDescent="0.25">
      <c r="A1584" t="s">
        <v>3769</v>
      </c>
      <c r="B1584" s="1">
        <v>42930</v>
      </c>
      <c r="C1584" s="1">
        <v>42934</v>
      </c>
      <c r="D1584" t="s">
        <v>40</v>
      </c>
      <c r="E1584" t="s">
        <v>3770</v>
      </c>
      <c r="F1584" t="s">
        <v>3771</v>
      </c>
      <c r="G1584" t="s">
        <v>25</v>
      </c>
      <c r="H1584" t="s">
        <v>26</v>
      </c>
      <c r="I1584" t="s">
        <v>3772</v>
      </c>
      <c r="J1584" t="s">
        <v>54</v>
      </c>
      <c r="K1584" t="s">
        <v>55</v>
      </c>
      <c r="L1584" t="s">
        <v>921</v>
      </c>
      <c r="M1584" t="s">
        <v>31</v>
      </c>
      <c r="N1584" t="s">
        <v>57</v>
      </c>
      <c r="O1584" t="s">
        <v>922</v>
      </c>
      <c r="P1584">
        <v>276.69</v>
      </c>
      <c r="Q1584">
        <v>3</v>
      </c>
      <c r="R1584">
        <v>0</v>
      </c>
      <c r="S1584">
        <v>49.804200000000002</v>
      </c>
      <c r="T1584" t="s">
        <v>84</v>
      </c>
      <c r="U1584" t="s">
        <v>72</v>
      </c>
    </row>
    <row r="1585" spans="1:21" x14ac:dyDescent="0.25">
      <c r="A1585" t="s">
        <v>3769</v>
      </c>
      <c r="B1585" s="1">
        <v>42930</v>
      </c>
      <c r="C1585" s="1">
        <v>42934</v>
      </c>
      <c r="D1585" t="s">
        <v>40</v>
      </c>
      <c r="E1585" t="s">
        <v>3770</v>
      </c>
      <c r="F1585" t="s">
        <v>3771</v>
      </c>
      <c r="G1585" t="s">
        <v>25</v>
      </c>
      <c r="H1585" t="s">
        <v>26</v>
      </c>
      <c r="I1585" t="s">
        <v>3772</v>
      </c>
      <c r="J1585" t="s">
        <v>54</v>
      </c>
      <c r="K1585" t="s">
        <v>55</v>
      </c>
      <c r="L1585" t="s">
        <v>272</v>
      </c>
      <c r="M1585" t="s">
        <v>31</v>
      </c>
      <c r="N1585" t="s">
        <v>57</v>
      </c>
      <c r="O1585" t="s">
        <v>273</v>
      </c>
      <c r="P1585">
        <v>18.84</v>
      </c>
      <c r="Q1585">
        <v>3</v>
      </c>
      <c r="R1585">
        <v>0</v>
      </c>
      <c r="S1585">
        <v>7.9127999999999998</v>
      </c>
      <c r="T1585" t="s">
        <v>84</v>
      </c>
      <c r="U1585" t="s">
        <v>72</v>
      </c>
    </row>
    <row r="1586" spans="1:21" x14ac:dyDescent="0.25">
      <c r="A1586" t="s">
        <v>3773</v>
      </c>
      <c r="B1586" s="1">
        <v>42930</v>
      </c>
      <c r="C1586" s="1">
        <v>42934</v>
      </c>
      <c r="D1586" t="s">
        <v>40</v>
      </c>
      <c r="E1586" t="s">
        <v>2809</v>
      </c>
      <c r="F1586" t="s">
        <v>2810</v>
      </c>
      <c r="G1586" t="s">
        <v>25</v>
      </c>
      <c r="H1586" t="s">
        <v>26</v>
      </c>
      <c r="I1586" t="s">
        <v>348</v>
      </c>
      <c r="J1586" t="s">
        <v>232</v>
      </c>
      <c r="K1586" t="s">
        <v>68</v>
      </c>
      <c r="L1586" t="s">
        <v>1401</v>
      </c>
      <c r="M1586" t="s">
        <v>31</v>
      </c>
      <c r="N1586" t="s">
        <v>57</v>
      </c>
      <c r="O1586" t="s">
        <v>1402</v>
      </c>
      <c r="P1586">
        <v>396.92</v>
      </c>
      <c r="Q1586">
        <v>5</v>
      </c>
      <c r="R1586">
        <v>0.2</v>
      </c>
      <c r="S1586">
        <v>148.845</v>
      </c>
      <c r="T1586" t="s">
        <v>84</v>
      </c>
      <c r="U1586" t="s">
        <v>72</v>
      </c>
    </row>
    <row r="1587" spans="1:21" x14ac:dyDescent="0.25">
      <c r="A1587" t="s">
        <v>3774</v>
      </c>
      <c r="B1587" s="1">
        <v>42618</v>
      </c>
      <c r="C1587" s="1">
        <v>42624</v>
      </c>
      <c r="D1587" t="s">
        <v>40</v>
      </c>
      <c r="E1587" t="s">
        <v>1384</v>
      </c>
      <c r="F1587" t="s">
        <v>1385</v>
      </c>
      <c r="G1587" t="s">
        <v>25</v>
      </c>
      <c r="H1587" t="s">
        <v>26</v>
      </c>
      <c r="I1587" t="s">
        <v>816</v>
      </c>
      <c r="J1587" t="s">
        <v>232</v>
      </c>
      <c r="K1587" t="s">
        <v>68</v>
      </c>
      <c r="L1587" t="s">
        <v>299</v>
      </c>
      <c r="M1587" t="s">
        <v>31</v>
      </c>
      <c r="N1587" t="s">
        <v>37</v>
      </c>
      <c r="O1587" t="s">
        <v>300</v>
      </c>
      <c r="P1587">
        <v>85.245999999999995</v>
      </c>
      <c r="Q1587">
        <v>2</v>
      </c>
      <c r="R1587">
        <v>0.3</v>
      </c>
      <c r="S1587">
        <v>-1.2178</v>
      </c>
      <c r="T1587" t="s">
        <v>130</v>
      </c>
      <c r="U1587" t="s">
        <v>78</v>
      </c>
    </row>
    <row r="1588" spans="1:21" x14ac:dyDescent="0.25">
      <c r="A1588" t="s">
        <v>3775</v>
      </c>
      <c r="B1588" s="1">
        <v>41892</v>
      </c>
      <c r="C1588" s="1">
        <v>41898</v>
      </c>
      <c r="D1588" t="s">
        <v>40</v>
      </c>
      <c r="E1588" t="s">
        <v>2227</v>
      </c>
      <c r="F1588" t="s">
        <v>2228</v>
      </c>
      <c r="G1588" t="s">
        <v>25</v>
      </c>
      <c r="H1588" t="s">
        <v>26</v>
      </c>
      <c r="I1588" t="s">
        <v>2260</v>
      </c>
      <c r="J1588" t="s">
        <v>1518</v>
      </c>
      <c r="K1588" t="s">
        <v>55</v>
      </c>
      <c r="L1588" t="s">
        <v>1096</v>
      </c>
      <c r="M1588" t="s">
        <v>31</v>
      </c>
      <c r="N1588" t="s">
        <v>37</v>
      </c>
      <c r="O1588" t="s">
        <v>1097</v>
      </c>
      <c r="P1588">
        <v>1487.04</v>
      </c>
      <c r="Q1588">
        <v>5</v>
      </c>
      <c r="R1588">
        <v>0.2</v>
      </c>
      <c r="S1588">
        <v>148.70400000000001</v>
      </c>
      <c r="T1588" t="s">
        <v>130</v>
      </c>
      <c r="U1588" t="s">
        <v>78</v>
      </c>
    </row>
    <row r="1589" spans="1:21" x14ac:dyDescent="0.25">
      <c r="A1589" t="s">
        <v>3776</v>
      </c>
      <c r="B1589" s="1">
        <v>43004</v>
      </c>
      <c r="C1589" s="1">
        <v>43004</v>
      </c>
      <c r="D1589" t="s">
        <v>426</v>
      </c>
      <c r="E1589" t="s">
        <v>3323</v>
      </c>
      <c r="F1589" t="s">
        <v>3324</v>
      </c>
      <c r="G1589" t="s">
        <v>91</v>
      </c>
      <c r="H1589" t="s">
        <v>26</v>
      </c>
      <c r="I1589" t="s">
        <v>329</v>
      </c>
      <c r="J1589" t="s">
        <v>54</v>
      </c>
      <c r="K1589" t="s">
        <v>55</v>
      </c>
      <c r="L1589" t="s">
        <v>2012</v>
      </c>
      <c r="M1589" t="s">
        <v>31</v>
      </c>
      <c r="N1589" t="s">
        <v>57</v>
      </c>
      <c r="O1589" t="s">
        <v>2013</v>
      </c>
      <c r="P1589">
        <v>9.24</v>
      </c>
      <c r="Q1589">
        <v>3</v>
      </c>
      <c r="R1589">
        <v>0</v>
      </c>
      <c r="S1589">
        <v>2.9567999999999999</v>
      </c>
      <c r="T1589" t="s">
        <v>431</v>
      </c>
      <c r="U1589" t="s">
        <v>78</v>
      </c>
    </row>
    <row r="1590" spans="1:21" x14ac:dyDescent="0.25">
      <c r="A1590" t="s">
        <v>3777</v>
      </c>
      <c r="B1590" s="1">
        <v>42538</v>
      </c>
      <c r="C1590" s="1">
        <v>42540</v>
      </c>
      <c r="D1590" t="s">
        <v>88</v>
      </c>
      <c r="E1590" t="s">
        <v>222</v>
      </c>
      <c r="F1590" t="s">
        <v>223</v>
      </c>
      <c r="G1590" t="s">
        <v>25</v>
      </c>
      <c r="H1590" t="s">
        <v>26</v>
      </c>
      <c r="I1590" t="s">
        <v>3778</v>
      </c>
      <c r="J1590" t="s">
        <v>181</v>
      </c>
      <c r="K1590" t="s">
        <v>55</v>
      </c>
      <c r="L1590" t="s">
        <v>1854</v>
      </c>
      <c r="M1590" t="s">
        <v>31</v>
      </c>
      <c r="N1590" t="s">
        <v>57</v>
      </c>
      <c r="O1590" t="s">
        <v>1855</v>
      </c>
      <c r="P1590">
        <v>266.35199999999998</v>
      </c>
      <c r="Q1590">
        <v>3</v>
      </c>
      <c r="R1590">
        <v>0.2</v>
      </c>
      <c r="S1590">
        <v>-13.317600000000001</v>
      </c>
      <c r="T1590" t="s">
        <v>71</v>
      </c>
      <c r="U1590" t="s">
        <v>60</v>
      </c>
    </row>
    <row r="1591" spans="1:21" x14ac:dyDescent="0.25">
      <c r="A1591" t="s">
        <v>3777</v>
      </c>
      <c r="B1591" s="1">
        <v>42538</v>
      </c>
      <c r="C1591" s="1">
        <v>42540</v>
      </c>
      <c r="D1591" t="s">
        <v>88</v>
      </c>
      <c r="E1591" t="s">
        <v>222</v>
      </c>
      <c r="F1591" t="s">
        <v>223</v>
      </c>
      <c r="G1591" t="s">
        <v>25</v>
      </c>
      <c r="H1591" t="s">
        <v>26</v>
      </c>
      <c r="I1591" t="s">
        <v>3778</v>
      </c>
      <c r="J1591" t="s">
        <v>181</v>
      </c>
      <c r="K1591" t="s">
        <v>55</v>
      </c>
      <c r="L1591" t="s">
        <v>657</v>
      </c>
      <c r="M1591" t="s">
        <v>31</v>
      </c>
      <c r="N1591" t="s">
        <v>37</v>
      </c>
      <c r="O1591" t="s">
        <v>658</v>
      </c>
      <c r="P1591">
        <v>483.13600000000002</v>
      </c>
      <c r="Q1591">
        <v>4</v>
      </c>
      <c r="R1591">
        <v>0.2</v>
      </c>
      <c r="S1591">
        <v>54.352800000000002</v>
      </c>
      <c r="T1591" t="s">
        <v>71</v>
      </c>
      <c r="U1591" t="s">
        <v>60</v>
      </c>
    </row>
    <row r="1592" spans="1:21" x14ac:dyDescent="0.25">
      <c r="A1592" t="s">
        <v>3779</v>
      </c>
      <c r="B1592" s="1">
        <v>42791</v>
      </c>
      <c r="C1592" s="1">
        <v>42795</v>
      </c>
      <c r="D1592" t="s">
        <v>40</v>
      </c>
      <c r="E1592" t="s">
        <v>3349</v>
      </c>
      <c r="F1592" t="s">
        <v>3350</v>
      </c>
      <c r="G1592" t="s">
        <v>25</v>
      </c>
      <c r="H1592" t="s">
        <v>26</v>
      </c>
      <c r="I1592" t="s">
        <v>3780</v>
      </c>
      <c r="J1592" t="s">
        <v>1037</v>
      </c>
      <c r="K1592" t="s">
        <v>29</v>
      </c>
      <c r="L1592" t="s">
        <v>1029</v>
      </c>
      <c r="M1592" t="s">
        <v>31</v>
      </c>
      <c r="N1592" t="s">
        <v>37</v>
      </c>
      <c r="O1592" t="s">
        <v>1030</v>
      </c>
      <c r="P1592">
        <v>196.78399999999999</v>
      </c>
      <c r="Q1592">
        <v>2</v>
      </c>
      <c r="R1592">
        <v>0.2</v>
      </c>
      <c r="S1592">
        <v>-22.138200000000001</v>
      </c>
      <c r="T1592" t="s">
        <v>84</v>
      </c>
      <c r="U1592" t="s">
        <v>298</v>
      </c>
    </row>
    <row r="1593" spans="1:21" x14ac:dyDescent="0.25">
      <c r="A1593" t="s">
        <v>3779</v>
      </c>
      <c r="B1593" s="1">
        <v>42791</v>
      </c>
      <c r="C1593" s="1">
        <v>42795</v>
      </c>
      <c r="D1593" t="s">
        <v>40</v>
      </c>
      <c r="E1593" t="s">
        <v>3349</v>
      </c>
      <c r="F1593" t="s">
        <v>3350</v>
      </c>
      <c r="G1593" t="s">
        <v>25</v>
      </c>
      <c r="H1593" t="s">
        <v>26</v>
      </c>
      <c r="I1593" t="s">
        <v>3780</v>
      </c>
      <c r="J1593" t="s">
        <v>1037</v>
      </c>
      <c r="K1593" t="s">
        <v>29</v>
      </c>
      <c r="L1593" t="s">
        <v>349</v>
      </c>
      <c r="M1593" t="s">
        <v>31</v>
      </c>
      <c r="N1593" t="s">
        <v>32</v>
      </c>
      <c r="O1593" t="s">
        <v>350</v>
      </c>
      <c r="P1593">
        <v>231.92</v>
      </c>
      <c r="Q1593">
        <v>5</v>
      </c>
      <c r="R1593">
        <v>0.2</v>
      </c>
      <c r="S1593">
        <v>5.798</v>
      </c>
      <c r="T1593" t="s">
        <v>84</v>
      </c>
      <c r="U1593" t="s">
        <v>298</v>
      </c>
    </row>
    <row r="1594" spans="1:21" x14ac:dyDescent="0.25">
      <c r="A1594" t="s">
        <v>3781</v>
      </c>
      <c r="B1594" s="1">
        <v>43072</v>
      </c>
      <c r="C1594" s="1">
        <v>43077</v>
      </c>
      <c r="D1594" t="s">
        <v>40</v>
      </c>
      <c r="E1594" t="s">
        <v>1792</v>
      </c>
      <c r="F1594" t="s">
        <v>1793</v>
      </c>
      <c r="G1594" t="s">
        <v>25</v>
      </c>
      <c r="H1594" t="s">
        <v>26</v>
      </c>
      <c r="I1594" t="s">
        <v>102</v>
      </c>
      <c r="J1594" t="s">
        <v>93</v>
      </c>
      <c r="K1594" t="s">
        <v>94</v>
      </c>
      <c r="L1594" t="s">
        <v>3546</v>
      </c>
      <c r="M1594" t="s">
        <v>31</v>
      </c>
      <c r="N1594" t="s">
        <v>57</v>
      </c>
      <c r="O1594" t="s">
        <v>3547</v>
      </c>
      <c r="P1594">
        <v>13.592000000000001</v>
      </c>
      <c r="Q1594">
        <v>2</v>
      </c>
      <c r="R1594">
        <v>0.6</v>
      </c>
      <c r="S1594">
        <v>-14.271599999999999</v>
      </c>
      <c r="T1594" t="s">
        <v>59</v>
      </c>
      <c r="U1594" t="s">
        <v>97</v>
      </c>
    </row>
    <row r="1595" spans="1:21" x14ac:dyDescent="0.25">
      <c r="A1595" t="s">
        <v>3782</v>
      </c>
      <c r="B1595" s="1">
        <v>43071</v>
      </c>
      <c r="C1595" s="1">
        <v>43075</v>
      </c>
      <c r="D1595" t="s">
        <v>40</v>
      </c>
      <c r="E1595" t="s">
        <v>3783</v>
      </c>
      <c r="F1595" t="s">
        <v>3784</v>
      </c>
      <c r="G1595" t="s">
        <v>91</v>
      </c>
      <c r="H1595" t="s">
        <v>26</v>
      </c>
      <c r="I1595" t="s">
        <v>266</v>
      </c>
      <c r="J1595" t="s">
        <v>181</v>
      </c>
      <c r="K1595" t="s">
        <v>55</v>
      </c>
      <c r="L1595" t="s">
        <v>2816</v>
      </c>
      <c r="M1595" t="s">
        <v>31</v>
      </c>
      <c r="N1595" t="s">
        <v>32</v>
      </c>
      <c r="O1595" t="s">
        <v>2817</v>
      </c>
      <c r="P1595">
        <v>242.352</v>
      </c>
      <c r="Q1595">
        <v>8</v>
      </c>
      <c r="R1595">
        <v>0.7</v>
      </c>
      <c r="S1595">
        <v>-363.52800000000002</v>
      </c>
      <c r="T1595" t="s">
        <v>84</v>
      </c>
      <c r="U1595" t="s">
        <v>97</v>
      </c>
    </row>
    <row r="1596" spans="1:21" x14ac:dyDescent="0.25">
      <c r="A1596" t="s">
        <v>3782</v>
      </c>
      <c r="B1596" s="1">
        <v>43071</v>
      </c>
      <c r="C1596" s="1">
        <v>43075</v>
      </c>
      <c r="D1596" t="s">
        <v>40</v>
      </c>
      <c r="E1596" t="s">
        <v>3783</v>
      </c>
      <c r="F1596" t="s">
        <v>3784</v>
      </c>
      <c r="G1596" t="s">
        <v>91</v>
      </c>
      <c r="H1596" t="s">
        <v>26</v>
      </c>
      <c r="I1596" t="s">
        <v>266</v>
      </c>
      <c r="J1596" t="s">
        <v>181</v>
      </c>
      <c r="K1596" t="s">
        <v>55</v>
      </c>
      <c r="L1596" t="s">
        <v>1392</v>
      </c>
      <c r="M1596" t="s">
        <v>31</v>
      </c>
      <c r="N1596" t="s">
        <v>57</v>
      </c>
      <c r="O1596" t="s">
        <v>1393</v>
      </c>
      <c r="P1596">
        <v>508.70400000000001</v>
      </c>
      <c r="Q1596">
        <v>6</v>
      </c>
      <c r="R1596">
        <v>0.2</v>
      </c>
      <c r="S1596">
        <v>0</v>
      </c>
      <c r="T1596" t="s">
        <v>84</v>
      </c>
      <c r="U1596" t="s">
        <v>97</v>
      </c>
    </row>
    <row r="1597" spans="1:21" x14ac:dyDescent="0.25">
      <c r="A1597" t="s">
        <v>3782</v>
      </c>
      <c r="B1597" s="1">
        <v>43071</v>
      </c>
      <c r="C1597" s="1">
        <v>43075</v>
      </c>
      <c r="D1597" t="s">
        <v>40</v>
      </c>
      <c r="E1597" t="s">
        <v>3783</v>
      </c>
      <c r="F1597" t="s">
        <v>3784</v>
      </c>
      <c r="G1597" t="s">
        <v>91</v>
      </c>
      <c r="H1597" t="s">
        <v>26</v>
      </c>
      <c r="I1597" t="s">
        <v>266</v>
      </c>
      <c r="J1597" t="s">
        <v>181</v>
      </c>
      <c r="K1597" t="s">
        <v>55</v>
      </c>
      <c r="L1597" t="s">
        <v>806</v>
      </c>
      <c r="M1597" t="s">
        <v>31</v>
      </c>
      <c r="N1597" t="s">
        <v>37</v>
      </c>
      <c r="O1597" t="s">
        <v>807</v>
      </c>
      <c r="P1597">
        <v>906.68</v>
      </c>
      <c r="Q1597">
        <v>5</v>
      </c>
      <c r="R1597">
        <v>0.2</v>
      </c>
      <c r="S1597">
        <v>68.001000000000005</v>
      </c>
      <c r="T1597" t="s">
        <v>84</v>
      </c>
      <c r="U1597" t="s">
        <v>97</v>
      </c>
    </row>
    <row r="1598" spans="1:21" x14ac:dyDescent="0.25">
      <c r="A1598" t="s">
        <v>3785</v>
      </c>
      <c r="B1598" s="1">
        <v>42618</v>
      </c>
      <c r="C1598" s="1">
        <v>42620</v>
      </c>
      <c r="D1598" t="s">
        <v>88</v>
      </c>
      <c r="E1598" t="s">
        <v>1824</v>
      </c>
      <c r="F1598" t="s">
        <v>1825</v>
      </c>
      <c r="G1598" t="s">
        <v>91</v>
      </c>
      <c r="H1598" t="s">
        <v>26</v>
      </c>
      <c r="I1598" t="s">
        <v>102</v>
      </c>
      <c r="J1598" t="s">
        <v>93</v>
      </c>
      <c r="K1598" t="s">
        <v>94</v>
      </c>
      <c r="L1598" t="s">
        <v>1990</v>
      </c>
      <c r="M1598" t="s">
        <v>31</v>
      </c>
      <c r="N1598" t="s">
        <v>57</v>
      </c>
      <c r="O1598" t="s">
        <v>1991</v>
      </c>
      <c r="P1598">
        <v>21.204000000000001</v>
      </c>
      <c r="Q1598">
        <v>3</v>
      </c>
      <c r="R1598">
        <v>0.6</v>
      </c>
      <c r="S1598">
        <v>-11.6622</v>
      </c>
      <c r="T1598" t="s">
        <v>71</v>
      </c>
      <c r="U1598" t="s">
        <v>78</v>
      </c>
    </row>
    <row r="1599" spans="1:21" x14ac:dyDescent="0.25">
      <c r="A1599" t="s">
        <v>3786</v>
      </c>
      <c r="B1599" s="1">
        <v>41769</v>
      </c>
      <c r="C1599" s="1">
        <v>41773</v>
      </c>
      <c r="D1599" t="s">
        <v>22</v>
      </c>
      <c r="E1599" t="s">
        <v>864</v>
      </c>
      <c r="F1599" t="s">
        <v>865</v>
      </c>
      <c r="G1599" t="s">
        <v>25</v>
      </c>
      <c r="H1599" t="s">
        <v>26</v>
      </c>
      <c r="I1599" t="s">
        <v>66</v>
      </c>
      <c r="J1599" t="s">
        <v>67</v>
      </c>
      <c r="K1599" t="s">
        <v>68</v>
      </c>
      <c r="L1599" t="s">
        <v>1137</v>
      </c>
      <c r="M1599" t="s">
        <v>31</v>
      </c>
      <c r="N1599" t="s">
        <v>32</v>
      </c>
      <c r="O1599" t="s">
        <v>1138</v>
      </c>
      <c r="P1599">
        <v>349.96499999999997</v>
      </c>
      <c r="Q1599">
        <v>7</v>
      </c>
      <c r="R1599">
        <v>0.5</v>
      </c>
      <c r="S1599">
        <v>-216.97829999999999</v>
      </c>
      <c r="T1599" t="s">
        <v>84</v>
      </c>
      <c r="U1599" t="s">
        <v>162</v>
      </c>
    </row>
    <row r="1600" spans="1:21" x14ac:dyDescent="0.25">
      <c r="A1600" t="s">
        <v>3787</v>
      </c>
      <c r="B1600" s="1">
        <v>41944</v>
      </c>
      <c r="C1600" s="1">
        <v>41948</v>
      </c>
      <c r="D1600" t="s">
        <v>40</v>
      </c>
      <c r="E1600" t="s">
        <v>934</v>
      </c>
      <c r="F1600" t="s">
        <v>935</v>
      </c>
      <c r="G1600" t="s">
        <v>25</v>
      </c>
      <c r="H1600" t="s">
        <v>26</v>
      </c>
      <c r="I1600" t="s">
        <v>731</v>
      </c>
      <c r="J1600" t="s">
        <v>121</v>
      </c>
      <c r="K1600" t="s">
        <v>68</v>
      </c>
      <c r="L1600" t="s">
        <v>1659</v>
      </c>
      <c r="M1600" t="s">
        <v>31</v>
      </c>
      <c r="N1600" t="s">
        <v>57</v>
      </c>
      <c r="O1600" t="s">
        <v>1660</v>
      </c>
      <c r="P1600">
        <v>31.68</v>
      </c>
      <c r="Q1600">
        <v>6</v>
      </c>
      <c r="R1600">
        <v>0</v>
      </c>
      <c r="S1600">
        <v>9.8208000000000002</v>
      </c>
      <c r="T1600" t="s">
        <v>84</v>
      </c>
      <c r="U1600" t="s">
        <v>35</v>
      </c>
    </row>
    <row r="1601" spans="1:21" x14ac:dyDescent="0.25">
      <c r="A1601" t="s">
        <v>3788</v>
      </c>
      <c r="B1601" s="1">
        <v>42734</v>
      </c>
      <c r="C1601" s="1">
        <v>42736</v>
      </c>
      <c r="D1601" t="s">
        <v>88</v>
      </c>
      <c r="E1601" t="s">
        <v>1061</v>
      </c>
      <c r="F1601" t="s">
        <v>1062</v>
      </c>
      <c r="G1601" t="s">
        <v>25</v>
      </c>
      <c r="H1601" t="s">
        <v>26</v>
      </c>
      <c r="I1601" t="s">
        <v>816</v>
      </c>
      <c r="J1601" t="s">
        <v>67</v>
      </c>
      <c r="K1601" t="s">
        <v>68</v>
      </c>
      <c r="L1601" t="s">
        <v>36</v>
      </c>
      <c r="M1601" t="s">
        <v>31</v>
      </c>
      <c r="N1601" t="s">
        <v>37</v>
      </c>
      <c r="O1601" t="s">
        <v>38</v>
      </c>
      <c r="P1601">
        <v>170.786</v>
      </c>
      <c r="Q1601">
        <v>1</v>
      </c>
      <c r="R1601">
        <v>0.3</v>
      </c>
      <c r="S1601">
        <v>0</v>
      </c>
      <c r="T1601" t="s">
        <v>71</v>
      </c>
      <c r="U1601" t="s">
        <v>97</v>
      </c>
    </row>
    <row r="1602" spans="1:21" x14ac:dyDescent="0.25">
      <c r="A1602" t="s">
        <v>3789</v>
      </c>
      <c r="B1602" s="1">
        <v>42616</v>
      </c>
      <c r="C1602" s="1">
        <v>42620</v>
      </c>
      <c r="D1602" t="s">
        <v>40</v>
      </c>
      <c r="E1602" t="s">
        <v>3790</v>
      </c>
      <c r="F1602" t="s">
        <v>3791</v>
      </c>
      <c r="G1602" t="s">
        <v>25</v>
      </c>
      <c r="H1602" t="s">
        <v>26</v>
      </c>
      <c r="I1602" t="s">
        <v>134</v>
      </c>
      <c r="J1602" t="s">
        <v>135</v>
      </c>
      <c r="K1602" t="s">
        <v>94</v>
      </c>
      <c r="L1602" t="s">
        <v>2744</v>
      </c>
      <c r="M1602" t="s">
        <v>31</v>
      </c>
      <c r="N1602" t="s">
        <v>32</v>
      </c>
      <c r="O1602" t="s">
        <v>2745</v>
      </c>
      <c r="P1602">
        <v>198.744</v>
      </c>
      <c r="Q1602">
        <v>4</v>
      </c>
      <c r="R1602">
        <v>0.3</v>
      </c>
      <c r="S1602">
        <v>0</v>
      </c>
      <c r="T1602" t="s">
        <v>84</v>
      </c>
      <c r="U1602" t="s">
        <v>78</v>
      </c>
    </row>
    <row r="1603" spans="1:21" x14ac:dyDescent="0.25">
      <c r="A1603" t="s">
        <v>3792</v>
      </c>
      <c r="B1603" s="1">
        <v>42399</v>
      </c>
      <c r="C1603" s="1">
        <v>42401</v>
      </c>
      <c r="D1603" t="s">
        <v>22</v>
      </c>
      <c r="E1603" t="s">
        <v>3793</v>
      </c>
      <c r="F1603" t="s">
        <v>3794</v>
      </c>
      <c r="G1603" t="s">
        <v>25</v>
      </c>
      <c r="H1603" t="s">
        <v>26</v>
      </c>
      <c r="I1603" t="s">
        <v>192</v>
      </c>
      <c r="J1603" t="s">
        <v>193</v>
      </c>
      <c r="K1603" t="s">
        <v>55</v>
      </c>
      <c r="L1603" t="s">
        <v>1919</v>
      </c>
      <c r="M1603" t="s">
        <v>31</v>
      </c>
      <c r="N1603" t="s">
        <v>37</v>
      </c>
      <c r="O1603" t="s">
        <v>1920</v>
      </c>
      <c r="P1603">
        <v>435.16800000000001</v>
      </c>
      <c r="Q1603">
        <v>4</v>
      </c>
      <c r="R1603">
        <v>0.2</v>
      </c>
      <c r="S1603">
        <v>-59.835599999999999</v>
      </c>
      <c r="T1603" t="s">
        <v>71</v>
      </c>
      <c r="U1603" t="s">
        <v>170</v>
      </c>
    </row>
    <row r="1604" spans="1:21" x14ac:dyDescent="0.25">
      <c r="A1604" t="s">
        <v>3792</v>
      </c>
      <c r="B1604" s="1">
        <v>42399</v>
      </c>
      <c r="C1604" s="1">
        <v>42401</v>
      </c>
      <c r="D1604" t="s">
        <v>22</v>
      </c>
      <c r="E1604" t="s">
        <v>3793</v>
      </c>
      <c r="F1604" t="s">
        <v>3794</v>
      </c>
      <c r="G1604" t="s">
        <v>25</v>
      </c>
      <c r="H1604" t="s">
        <v>26</v>
      </c>
      <c r="I1604" t="s">
        <v>192</v>
      </c>
      <c r="J1604" t="s">
        <v>193</v>
      </c>
      <c r="K1604" t="s">
        <v>55</v>
      </c>
      <c r="L1604" t="s">
        <v>1604</v>
      </c>
      <c r="M1604" t="s">
        <v>31</v>
      </c>
      <c r="N1604" t="s">
        <v>32</v>
      </c>
      <c r="O1604" t="s">
        <v>1605</v>
      </c>
      <c r="P1604">
        <v>48.58</v>
      </c>
      <c r="Q1604">
        <v>1</v>
      </c>
      <c r="R1604">
        <v>0</v>
      </c>
      <c r="S1604">
        <v>7.7728000000000002</v>
      </c>
      <c r="T1604" t="s">
        <v>71</v>
      </c>
      <c r="U1604" t="s">
        <v>170</v>
      </c>
    </row>
    <row r="1605" spans="1:21" x14ac:dyDescent="0.25">
      <c r="A1605" t="s">
        <v>3795</v>
      </c>
      <c r="B1605" s="1">
        <v>41933</v>
      </c>
      <c r="C1605" s="1">
        <v>41938</v>
      </c>
      <c r="D1605" t="s">
        <v>40</v>
      </c>
      <c r="E1605" t="s">
        <v>1546</v>
      </c>
      <c r="F1605" t="s">
        <v>1547</v>
      </c>
      <c r="G1605" t="s">
        <v>91</v>
      </c>
      <c r="H1605" t="s">
        <v>26</v>
      </c>
      <c r="I1605" t="s">
        <v>3796</v>
      </c>
      <c r="J1605" t="s">
        <v>717</v>
      </c>
      <c r="K1605" t="s">
        <v>29</v>
      </c>
      <c r="L1605" t="s">
        <v>1466</v>
      </c>
      <c r="M1605" t="s">
        <v>31</v>
      </c>
      <c r="N1605" t="s">
        <v>46</v>
      </c>
      <c r="O1605" t="s">
        <v>1467</v>
      </c>
      <c r="P1605">
        <v>591.32000000000005</v>
      </c>
      <c r="Q1605">
        <v>4</v>
      </c>
      <c r="R1605">
        <v>0</v>
      </c>
      <c r="S1605">
        <v>112.35080000000001</v>
      </c>
      <c r="T1605" t="s">
        <v>59</v>
      </c>
      <c r="U1605" t="s">
        <v>49</v>
      </c>
    </row>
    <row r="1606" spans="1:21" x14ac:dyDescent="0.25">
      <c r="A1606" t="s">
        <v>3797</v>
      </c>
      <c r="B1606" s="1">
        <v>42722</v>
      </c>
      <c r="C1606" s="1">
        <v>42725</v>
      </c>
      <c r="D1606" t="s">
        <v>88</v>
      </c>
      <c r="E1606" t="s">
        <v>172</v>
      </c>
      <c r="F1606" t="s">
        <v>173</v>
      </c>
      <c r="G1606" t="s">
        <v>101</v>
      </c>
      <c r="H1606" t="s">
        <v>26</v>
      </c>
      <c r="I1606" t="s">
        <v>841</v>
      </c>
      <c r="J1606" t="s">
        <v>842</v>
      </c>
      <c r="K1606" t="s">
        <v>94</v>
      </c>
      <c r="L1606" t="s">
        <v>626</v>
      </c>
      <c r="M1606" t="s">
        <v>31</v>
      </c>
      <c r="N1606" t="s">
        <v>37</v>
      </c>
      <c r="O1606" t="s">
        <v>627</v>
      </c>
      <c r="P1606">
        <v>563.94000000000005</v>
      </c>
      <c r="Q1606">
        <v>3</v>
      </c>
      <c r="R1606">
        <v>0</v>
      </c>
      <c r="S1606">
        <v>112.788</v>
      </c>
      <c r="T1606" t="s">
        <v>34</v>
      </c>
      <c r="U1606" t="s">
        <v>97</v>
      </c>
    </row>
    <row r="1607" spans="1:21" x14ac:dyDescent="0.25">
      <c r="A1607" t="s">
        <v>3798</v>
      </c>
      <c r="B1607" s="1">
        <v>42110</v>
      </c>
      <c r="C1607" s="1">
        <v>42115</v>
      </c>
      <c r="D1607" t="s">
        <v>40</v>
      </c>
      <c r="E1607" t="s">
        <v>2125</v>
      </c>
      <c r="F1607" t="s">
        <v>2126</v>
      </c>
      <c r="G1607" t="s">
        <v>91</v>
      </c>
      <c r="H1607" t="s">
        <v>26</v>
      </c>
      <c r="I1607" t="s">
        <v>174</v>
      </c>
      <c r="J1607" t="s">
        <v>121</v>
      </c>
      <c r="K1607" t="s">
        <v>68</v>
      </c>
      <c r="L1607" t="s">
        <v>122</v>
      </c>
      <c r="M1607" t="s">
        <v>31</v>
      </c>
      <c r="N1607" t="s">
        <v>37</v>
      </c>
      <c r="O1607" t="s">
        <v>123</v>
      </c>
      <c r="P1607">
        <v>127.764</v>
      </c>
      <c r="Q1607">
        <v>2</v>
      </c>
      <c r="R1607">
        <v>0.1</v>
      </c>
      <c r="S1607">
        <v>2.8391999999999999</v>
      </c>
      <c r="T1607" t="s">
        <v>59</v>
      </c>
      <c r="U1607" t="s">
        <v>114</v>
      </c>
    </row>
    <row r="1608" spans="1:21" x14ac:dyDescent="0.25">
      <c r="A1608" t="s">
        <v>3799</v>
      </c>
      <c r="B1608" s="1">
        <v>43055</v>
      </c>
      <c r="C1608" s="1">
        <v>43061</v>
      </c>
      <c r="D1608" t="s">
        <v>40</v>
      </c>
      <c r="E1608" t="s">
        <v>1294</v>
      </c>
      <c r="F1608" t="s">
        <v>1295</v>
      </c>
      <c r="G1608" t="s">
        <v>25</v>
      </c>
      <c r="H1608" t="s">
        <v>26</v>
      </c>
      <c r="I1608" t="s">
        <v>224</v>
      </c>
      <c r="J1608" t="s">
        <v>54</v>
      </c>
      <c r="K1608" t="s">
        <v>55</v>
      </c>
      <c r="L1608" t="s">
        <v>1497</v>
      </c>
      <c r="M1608" t="s">
        <v>31</v>
      </c>
      <c r="N1608" t="s">
        <v>57</v>
      </c>
      <c r="O1608" t="s">
        <v>1498</v>
      </c>
      <c r="P1608">
        <v>17.309999999999999</v>
      </c>
      <c r="Q1608">
        <v>3</v>
      </c>
      <c r="R1608">
        <v>0</v>
      </c>
      <c r="S1608">
        <v>5.1929999999999996</v>
      </c>
      <c r="T1608" t="s">
        <v>130</v>
      </c>
      <c r="U1608" t="s">
        <v>35</v>
      </c>
    </row>
    <row r="1609" spans="1:21" x14ac:dyDescent="0.25">
      <c r="A1609" t="s">
        <v>3800</v>
      </c>
      <c r="B1609" s="1">
        <v>42618</v>
      </c>
      <c r="C1609" s="1">
        <v>42622</v>
      </c>
      <c r="D1609" t="s">
        <v>40</v>
      </c>
      <c r="E1609" t="s">
        <v>3171</v>
      </c>
      <c r="F1609" t="s">
        <v>3172</v>
      </c>
      <c r="G1609" t="s">
        <v>25</v>
      </c>
      <c r="H1609" t="s">
        <v>26</v>
      </c>
      <c r="I1609" t="s">
        <v>66</v>
      </c>
      <c r="J1609" t="s">
        <v>67</v>
      </c>
      <c r="K1609" t="s">
        <v>68</v>
      </c>
      <c r="L1609" t="s">
        <v>150</v>
      </c>
      <c r="M1609" t="s">
        <v>31</v>
      </c>
      <c r="N1609" t="s">
        <v>57</v>
      </c>
      <c r="O1609" t="s">
        <v>151</v>
      </c>
      <c r="P1609">
        <v>58.247999999999998</v>
      </c>
      <c r="Q1609">
        <v>9</v>
      </c>
      <c r="R1609">
        <v>0.2</v>
      </c>
      <c r="S1609">
        <v>11.6496</v>
      </c>
      <c r="T1609" t="s">
        <v>84</v>
      </c>
      <c r="U1609" t="s">
        <v>78</v>
      </c>
    </row>
    <row r="1610" spans="1:21" x14ac:dyDescent="0.25">
      <c r="A1610" t="s">
        <v>3800</v>
      </c>
      <c r="B1610" s="1">
        <v>42618</v>
      </c>
      <c r="C1610" s="1">
        <v>42622</v>
      </c>
      <c r="D1610" t="s">
        <v>40</v>
      </c>
      <c r="E1610" t="s">
        <v>3171</v>
      </c>
      <c r="F1610" t="s">
        <v>3172</v>
      </c>
      <c r="G1610" t="s">
        <v>25</v>
      </c>
      <c r="H1610" t="s">
        <v>26</v>
      </c>
      <c r="I1610" t="s">
        <v>66</v>
      </c>
      <c r="J1610" t="s">
        <v>67</v>
      </c>
      <c r="K1610" t="s">
        <v>68</v>
      </c>
      <c r="L1610" t="s">
        <v>136</v>
      </c>
      <c r="M1610" t="s">
        <v>31</v>
      </c>
      <c r="N1610" t="s">
        <v>37</v>
      </c>
      <c r="O1610" t="s">
        <v>218</v>
      </c>
      <c r="P1610">
        <v>71.245999999999995</v>
      </c>
      <c r="Q1610">
        <v>2</v>
      </c>
      <c r="R1610">
        <v>0.3</v>
      </c>
      <c r="S1610">
        <v>-19.338200000000001</v>
      </c>
      <c r="T1610" t="s">
        <v>84</v>
      </c>
      <c r="U1610" t="s">
        <v>78</v>
      </c>
    </row>
    <row r="1611" spans="1:21" x14ac:dyDescent="0.25">
      <c r="A1611" t="s">
        <v>3800</v>
      </c>
      <c r="B1611" s="1">
        <v>42618</v>
      </c>
      <c r="C1611" s="1">
        <v>42622</v>
      </c>
      <c r="D1611" t="s">
        <v>40</v>
      </c>
      <c r="E1611" t="s">
        <v>3171</v>
      </c>
      <c r="F1611" t="s">
        <v>3172</v>
      </c>
      <c r="G1611" t="s">
        <v>25</v>
      </c>
      <c r="H1611" t="s">
        <v>26</v>
      </c>
      <c r="I1611" t="s">
        <v>66</v>
      </c>
      <c r="J1611" t="s">
        <v>67</v>
      </c>
      <c r="K1611" t="s">
        <v>68</v>
      </c>
      <c r="L1611" t="s">
        <v>982</v>
      </c>
      <c r="M1611" t="s">
        <v>31</v>
      </c>
      <c r="N1611" t="s">
        <v>37</v>
      </c>
      <c r="O1611" t="s">
        <v>983</v>
      </c>
      <c r="P1611">
        <v>887.27099999999996</v>
      </c>
      <c r="Q1611">
        <v>3</v>
      </c>
      <c r="R1611">
        <v>0.3</v>
      </c>
      <c r="S1611">
        <v>-63.3765</v>
      </c>
      <c r="T1611" t="s">
        <v>84</v>
      </c>
      <c r="U1611" t="s">
        <v>78</v>
      </c>
    </row>
    <row r="1612" spans="1:21" x14ac:dyDescent="0.25">
      <c r="A1612" t="s">
        <v>3801</v>
      </c>
      <c r="B1612" s="1">
        <v>42517</v>
      </c>
      <c r="C1612" s="1">
        <v>42521</v>
      </c>
      <c r="D1612" t="s">
        <v>40</v>
      </c>
      <c r="E1612" t="s">
        <v>3299</v>
      </c>
      <c r="F1612" t="s">
        <v>3300</v>
      </c>
      <c r="G1612" t="s">
        <v>25</v>
      </c>
      <c r="H1612" t="s">
        <v>26</v>
      </c>
      <c r="I1612" t="s">
        <v>134</v>
      </c>
      <c r="J1612" t="s">
        <v>135</v>
      </c>
      <c r="K1612" t="s">
        <v>94</v>
      </c>
      <c r="L1612" t="s">
        <v>2282</v>
      </c>
      <c r="M1612" t="s">
        <v>31</v>
      </c>
      <c r="N1612" t="s">
        <v>57</v>
      </c>
      <c r="O1612" t="s">
        <v>2283</v>
      </c>
      <c r="P1612">
        <v>25.175999999999998</v>
      </c>
      <c r="Q1612">
        <v>3</v>
      </c>
      <c r="R1612">
        <v>0.6</v>
      </c>
      <c r="S1612">
        <v>-33.358199999999997</v>
      </c>
      <c r="T1612" t="s">
        <v>84</v>
      </c>
      <c r="U1612" t="s">
        <v>162</v>
      </c>
    </row>
    <row r="1613" spans="1:21" x14ac:dyDescent="0.25">
      <c r="A1613" t="s">
        <v>3801</v>
      </c>
      <c r="B1613" s="1">
        <v>42517</v>
      </c>
      <c r="C1613" s="1">
        <v>42521</v>
      </c>
      <c r="D1613" t="s">
        <v>40</v>
      </c>
      <c r="E1613" t="s">
        <v>3299</v>
      </c>
      <c r="F1613" t="s">
        <v>3300</v>
      </c>
      <c r="G1613" t="s">
        <v>25</v>
      </c>
      <c r="H1613" t="s">
        <v>26</v>
      </c>
      <c r="I1613" t="s">
        <v>134</v>
      </c>
      <c r="J1613" t="s">
        <v>135</v>
      </c>
      <c r="K1613" t="s">
        <v>94</v>
      </c>
      <c r="L1613" t="s">
        <v>978</v>
      </c>
      <c r="M1613" t="s">
        <v>31</v>
      </c>
      <c r="N1613" t="s">
        <v>57</v>
      </c>
      <c r="O1613" t="s">
        <v>979</v>
      </c>
      <c r="P1613">
        <v>5.5839999999999996</v>
      </c>
      <c r="Q1613">
        <v>2</v>
      </c>
      <c r="R1613">
        <v>0.6</v>
      </c>
      <c r="S1613">
        <v>-1.6752</v>
      </c>
      <c r="T1613" t="s">
        <v>84</v>
      </c>
      <c r="U1613" t="s">
        <v>162</v>
      </c>
    </row>
    <row r="1614" spans="1:21" x14ac:dyDescent="0.25">
      <c r="A1614" t="s">
        <v>3802</v>
      </c>
      <c r="B1614" s="1">
        <v>42240</v>
      </c>
      <c r="C1614" s="1">
        <v>42244</v>
      </c>
      <c r="D1614" t="s">
        <v>22</v>
      </c>
      <c r="E1614" t="s">
        <v>2137</v>
      </c>
      <c r="F1614" t="s">
        <v>2138</v>
      </c>
      <c r="G1614" t="s">
        <v>25</v>
      </c>
      <c r="H1614" t="s">
        <v>26</v>
      </c>
      <c r="I1614" t="s">
        <v>174</v>
      </c>
      <c r="J1614" t="s">
        <v>121</v>
      </c>
      <c r="K1614" t="s">
        <v>68</v>
      </c>
      <c r="L1614" t="s">
        <v>651</v>
      </c>
      <c r="M1614" t="s">
        <v>31</v>
      </c>
      <c r="N1614" t="s">
        <v>57</v>
      </c>
      <c r="O1614" t="s">
        <v>652</v>
      </c>
      <c r="P1614">
        <v>14.91</v>
      </c>
      <c r="Q1614">
        <v>3</v>
      </c>
      <c r="R1614">
        <v>0</v>
      </c>
      <c r="S1614">
        <v>4.6220999999999997</v>
      </c>
      <c r="T1614" t="s">
        <v>84</v>
      </c>
      <c r="U1614" t="s">
        <v>254</v>
      </c>
    </row>
    <row r="1615" spans="1:21" x14ac:dyDescent="0.25">
      <c r="A1615" t="s">
        <v>3803</v>
      </c>
      <c r="B1615" s="1">
        <v>43035</v>
      </c>
      <c r="C1615" s="1">
        <v>43037</v>
      </c>
      <c r="D1615" t="s">
        <v>88</v>
      </c>
      <c r="E1615" t="s">
        <v>3804</v>
      </c>
      <c r="F1615" t="s">
        <v>3805</v>
      </c>
      <c r="G1615" t="s">
        <v>91</v>
      </c>
      <c r="H1615" t="s">
        <v>26</v>
      </c>
      <c r="I1615" t="s">
        <v>53</v>
      </c>
      <c r="J1615" t="s">
        <v>54</v>
      </c>
      <c r="K1615" t="s">
        <v>55</v>
      </c>
      <c r="L1615" t="s">
        <v>61</v>
      </c>
      <c r="M1615" t="s">
        <v>31</v>
      </c>
      <c r="N1615" t="s">
        <v>46</v>
      </c>
      <c r="O1615" t="s">
        <v>62</v>
      </c>
      <c r="P1615">
        <v>189.57599999999999</v>
      </c>
      <c r="Q1615">
        <v>1</v>
      </c>
      <c r="R1615">
        <v>0.2</v>
      </c>
      <c r="S1615">
        <v>9.4787999999999997</v>
      </c>
      <c r="T1615" t="s">
        <v>71</v>
      </c>
      <c r="U1615" t="s">
        <v>49</v>
      </c>
    </row>
    <row r="1616" spans="1:21" x14ac:dyDescent="0.25">
      <c r="A1616" t="s">
        <v>3806</v>
      </c>
      <c r="B1616" s="1">
        <v>41968</v>
      </c>
      <c r="C1616" s="1">
        <v>41972</v>
      </c>
      <c r="D1616" t="s">
        <v>40</v>
      </c>
      <c r="E1616" t="s">
        <v>2941</v>
      </c>
      <c r="F1616" t="s">
        <v>2942</v>
      </c>
      <c r="G1616" t="s">
        <v>25</v>
      </c>
      <c r="H1616" t="s">
        <v>26</v>
      </c>
      <c r="I1616" t="s">
        <v>53</v>
      </c>
      <c r="J1616" t="s">
        <v>54</v>
      </c>
      <c r="K1616" t="s">
        <v>55</v>
      </c>
      <c r="L1616" t="s">
        <v>806</v>
      </c>
      <c r="M1616" t="s">
        <v>31</v>
      </c>
      <c r="N1616" t="s">
        <v>37</v>
      </c>
      <c r="O1616" t="s">
        <v>807</v>
      </c>
      <c r="P1616">
        <v>725.34400000000005</v>
      </c>
      <c r="Q1616">
        <v>4</v>
      </c>
      <c r="R1616">
        <v>0.2</v>
      </c>
      <c r="S1616">
        <v>54.400799999999997</v>
      </c>
      <c r="T1616" t="s">
        <v>84</v>
      </c>
      <c r="U1616" t="s">
        <v>35</v>
      </c>
    </row>
    <row r="1617" spans="1:21" x14ac:dyDescent="0.25">
      <c r="A1617" t="s">
        <v>3807</v>
      </c>
      <c r="B1617" s="1">
        <v>42147</v>
      </c>
      <c r="C1617" s="1">
        <v>42151</v>
      </c>
      <c r="D1617" t="s">
        <v>22</v>
      </c>
      <c r="E1617" t="s">
        <v>393</v>
      </c>
      <c r="F1617" t="s">
        <v>394</v>
      </c>
      <c r="G1617" t="s">
        <v>101</v>
      </c>
      <c r="H1617" t="s">
        <v>26</v>
      </c>
      <c r="I1617" t="s">
        <v>289</v>
      </c>
      <c r="J1617" t="s">
        <v>290</v>
      </c>
      <c r="K1617" t="s">
        <v>94</v>
      </c>
      <c r="L1617" t="s">
        <v>1148</v>
      </c>
      <c r="M1617" t="s">
        <v>31</v>
      </c>
      <c r="N1617" t="s">
        <v>57</v>
      </c>
      <c r="O1617" t="s">
        <v>1149</v>
      </c>
      <c r="P1617">
        <v>75.33</v>
      </c>
      <c r="Q1617">
        <v>9</v>
      </c>
      <c r="R1617">
        <v>0</v>
      </c>
      <c r="S1617">
        <v>19.585799999999999</v>
      </c>
      <c r="T1617" t="s">
        <v>84</v>
      </c>
      <c r="U1617" t="s">
        <v>162</v>
      </c>
    </row>
    <row r="1618" spans="1:21" x14ac:dyDescent="0.25">
      <c r="A1618" t="s">
        <v>3808</v>
      </c>
      <c r="B1618" s="1">
        <v>41728</v>
      </c>
      <c r="C1618" s="1">
        <v>41730</v>
      </c>
      <c r="D1618" t="s">
        <v>88</v>
      </c>
      <c r="E1618" t="s">
        <v>259</v>
      </c>
      <c r="F1618" t="s">
        <v>260</v>
      </c>
      <c r="G1618" t="s">
        <v>101</v>
      </c>
      <c r="H1618" t="s">
        <v>26</v>
      </c>
      <c r="I1618" t="s">
        <v>2250</v>
      </c>
      <c r="J1618" t="s">
        <v>93</v>
      </c>
      <c r="K1618" t="s">
        <v>94</v>
      </c>
      <c r="L1618" t="s">
        <v>1004</v>
      </c>
      <c r="M1618" t="s">
        <v>31</v>
      </c>
      <c r="N1618" t="s">
        <v>37</v>
      </c>
      <c r="O1618" t="s">
        <v>1005</v>
      </c>
      <c r="P1618">
        <v>127.30200000000001</v>
      </c>
      <c r="Q1618">
        <v>7</v>
      </c>
      <c r="R1618">
        <v>0.3</v>
      </c>
      <c r="S1618">
        <v>-9.093</v>
      </c>
      <c r="T1618" t="s">
        <v>71</v>
      </c>
      <c r="U1618" t="s">
        <v>196</v>
      </c>
    </row>
    <row r="1619" spans="1:21" x14ac:dyDescent="0.25">
      <c r="A1619" t="s">
        <v>3809</v>
      </c>
      <c r="B1619" s="1">
        <v>43098</v>
      </c>
      <c r="C1619" s="1">
        <v>43101</v>
      </c>
      <c r="D1619" t="s">
        <v>22</v>
      </c>
      <c r="E1619" t="s">
        <v>926</v>
      </c>
      <c r="F1619" t="s">
        <v>927</v>
      </c>
      <c r="G1619" t="s">
        <v>25</v>
      </c>
      <c r="H1619" t="s">
        <v>26</v>
      </c>
      <c r="I1619" t="s">
        <v>866</v>
      </c>
      <c r="J1619" t="s">
        <v>28</v>
      </c>
      <c r="K1619" t="s">
        <v>29</v>
      </c>
      <c r="L1619" t="s">
        <v>395</v>
      </c>
      <c r="M1619" t="s">
        <v>31</v>
      </c>
      <c r="N1619" t="s">
        <v>37</v>
      </c>
      <c r="O1619" t="s">
        <v>396</v>
      </c>
      <c r="P1619">
        <v>1207.8399999999999</v>
      </c>
      <c r="Q1619">
        <v>8</v>
      </c>
      <c r="R1619">
        <v>0</v>
      </c>
      <c r="S1619">
        <v>314.03840000000002</v>
      </c>
      <c r="T1619" t="s">
        <v>34</v>
      </c>
      <c r="U1619" t="s">
        <v>97</v>
      </c>
    </row>
    <row r="1620" spans="1:21" x14ac:dyDescent="0.25">
      <c r="A1620" t="s">
        <v>3809</v>
      </c>
      <c r="B1620" s="1">
        <v>43098</v>
      </c>
      <c r="C1620" s="1">
        <v>43101</v>
      </c>
      <c r="D1620" t="s">
        <v>22</v>
      </c>
      <c r="E1620" t="s">
        <v>926</v>
      </c>
      <c r="F1620" t="s">
        <v>927</v>
      </c>
      <c r="G1620" t="s">
        <v>25</v>
      </c>
      <c r="H1620" t="s">
        <v>26</v>
      </c>
      <c r="I1620" t="s">
        <v>866</v>
      </c>
      <c r="J1620" t="s">
        <v>28</v>
      </c>
      <c r="K1620" t="s">
        <v>29</v>
      </c>
      <c r="L1620" t="s">
        <v>2335</v>
      </c>
      <c r="M1620" t="s">
        <v>31</v>
      </c>
      <c r="N1620" t="s">
        <v>37</v>
      </c>
      <c r="O1620" t="s">
        <v>2336</v>
      </c>
      <c r="P1620">
        <v>300.98</v>
      </c>
      <c r="Q1620">
        <v>1</v>
      </c>
      <c r="R1620">
        <v>0</v>
      </c>
      <c r="S1620">
        <v>87.284199999999998</v>
      </c>
      <c r="T1620" t="s">
        <v>34</v>
      </c>
      <c r="U1620" t="s">
        <v>97</v>
      </c>
    </row>
    <row r="1621" spans="1:21" x14ac:dyDescent="0.25">
      <c r="A1621" t="s">
        <v>3809</v>
      </c>
      <c r="B1621" s="1">
        <v>43098</v>
      </c>
      <c r="C1621" s="1">
        <v>43101</v>
      </c>
      <c r="D1621" t="s">
        <v>22</v>
      </c>
      <c r="E1621" t="s">
        <v>926</v>
      </c>
      <c r="F1621" t="s">
        <v>927</v>
      </c>
      <c r="G1621" t="s">
        <v>25</v>
      </c>
      <c r="H1621" t="s">
        <v>26</v>
      </c>
      <c r="I1621" t="s">
        <v>866</v>
      </c>
      <c r="J1621" t="s">
        <v>28</v>
      </c>
      <c r="K1621" t="s">
        <v>29</v>
      </c>
      <c r="L1621" t="s">
        <v>1091</v>
      </c>
      <c r="M1621" t="s">
        <v>31</v>
      </c>
      <c r="N1621" t="s">
        <v>37</v>
      </c>
      <c r="O1621" t="s">
        <v>1092</v>
      </c>
      <c r="P1621">
        <v>258.75</v>
      </c>
      <c r="Q1621">
        <v>3</v>
      </c>
      <c r="R1621">
        <v>0</v>
      </c>
      <c r="S1621">
        <v>77.625</v>
      </c>
      <c r="T1621" t="s">
        <v>34</v>
      </c>
      <c r="U1621" t="s">
        <v>97</v>
      </c>
    </row>
    <row r="1622" spans="1:21" x14ac:dyDescent="0.25">
      <c r="A1622" t="s">
        <v>3810</v>
      </c>
      <c r="B1622" s="1">
        <v>42796</v>
      </c>
      <c r="C1622" s="1">
        <v>42802</v>
      </c>
      <c r="D1622" t="s">
        <v>40</v>
      </c>
      <c r="E1622" t="s">
        <v>2922</v>
      </c>
      <c r="F1622" t="s">
        <v>2923</v>
      </c>
      <c r="G1622" t="s">
        <v>91</v>
      </c>
      <c r="H1622" t="s">
        <v>26</v>
      </c>
      <c r="I1622" t="s">
        <v>231</v>
      </c>
      <c r="J1622" t="s">
        <v>201</v>
      </c>
      <c r="K1622" t="s">
        <v>68</v>
      </c>
      <c r="L1622" t="s">
        <v>2311</v>
      </c>
      <c r="M1622" t="s">
        <v>31</v>
      </c>
      <c r="N1622" t="s">
        <v>32</v>
      </c>
      <c r="O1622" t="s">
        <v>2312</v>
      </c>
      <c r="P1622">
        <v>441.96</v>
      </c>
      <c r="Q1622">
        <v>2</v>
      </c>
      <c r="R1622">
        <v>0</v>
      </c>
      <c r="S1622">
        <v>101.6508</v>
      </c>
      <c r="T1622" t="s">
        <v>130</v>
      </c>
      <c r="U1622" t="s">
        <v>196</v>
      </c>
    </row>
    <row r="1623" spans="1:21" x14ac:dyDescent="0.25">
      <c r="A1623" t="s">
        <v>3811</v>
      </c>
      <c r="B1623" s="1">
        <v>42099</v>
      </c>
      <c r="C1623" s="1">
        <v>42105</v>
      </c>
      <c r="D1623" t="s">
        <v>40</v>
      </c>
      <c r="E1623" t="s">
        <v>2775</v>
      </c>
      <c r="F1623" t="s">
        <v>2776</v>
      </c>
      <c r="G1623" t="s">
        <v>91</v>
      </c>
      <c r="H1623" t="s">
        <v>26</v>
      </c>
      <c r="I1623" t="s">
        <v>53</v>
      </c>
      <c r="J1623" t="s">
        <v>54</v>
      </c>
      <c r="K1623" t="s">
        <v>55</v>
      </c>
      <c r="L1623" t="s">
        <v>1096</v>
      </c>
      <c r="M1623" t="s">
        <v>31</v>
      </c>
      <c r="N1623" t="s">
        <v>37</v>
      </c>
      <c r="O1623" t="s">
        <v>1097</v>
      </c>
      <c r="P1623">
        <v>892.22400000000005</v>
      </c>
      <c r="Q1623">
        <v>3</v>
      </c>
      <c r="R1623">
        <v>0.2</v>
      </c>
      <c r="S1623">
        <v>89.222399999999993</v>
      </c>
      <c r="T1623" t="s">
        <v>130</v>
      </c>
      <c r="U1623" t="s">
        <v>114</v>
      </c>
    </row>
    <row r="1624" spans="1:21" x14ac:dyDescent="0.25">
      <c r="A1624" t="s">
        <v>3812</v>
      </c>
      <c r="B1624" s="1">
        <v>42444</v>
      </c>
      <c r="C1624" s="1">
        <v>42445</v>
      </c>
      <c r="D1624" t="s">
        <v>88</v>
      </c>
      <c r="E1624" t="s">
        <v>3813</v>
      </c>
      <c r="F1624" t="s">
        <v>3814</v>
      </c>
      <c r="G1624" t="s">
        <v>91</v>
      </c>
      <c r="H1624" t="s">
        <v>26</v>
      </c>
      <c r="I1624" t="s">
        <v>329</v>
      </c>
      <c r="J1624" t="s">
        <v>54</v>
      </c>
      <c r="K1624" t="s">
        <v>55</v>
      </c>
      <c r="L1624" t="s">
        <v>982</v>
      </c>
      <c r="M1624" t="s">
        <v>31</v>
      </c>
      <c r="N1624" t="s">
        <v>37</v>
      </c>
      <c r="O1624" t="s">
        <v>983</v>
      </c>
      <c r="P1624">
        <v>1352.0319999999999</v>
      </c>
      <c r="Q1624">
        <v>4</v>
      </c>
      <c r="R1624">
        <v>0.2</v>
      </c>
      <c r="S1624">
        <v>84.501999999999995</v>
      </c>
      <c r="T1624" t="s">
        <v>124</v>
      </c>
      <c r="U1624" t="s">
        <v>196</v>
      </c>
    </row>
    <row r="1625" spans="1:21" x14ac:dyDescent="0.25">
      <c r="A1625" t="s">
        <v>3815</v>
      </c>
      <c r="B1625" s="1">
        <v>42365</v>
      </c>
      <c r="C1625" s="1">
        <v>42369</v>
      </c>
      <c r="D1625" t="s">
        <v>40</v>
      </c>
      <c r="E1625" t="s">
        <v>2680</v>
      </c>
      <c r="F1625" t="s">
        <v>2681</v>
      </c>
      <c r="G1625" t="s">
        <v>91</v>
      </c>
      <c r="H1625" t="s">
        <v>26</v>
      </c>
      <c r="I1625" t="s">
        <v>1771</v>
      </c>
      <c r="J1625" t="s">
        <v>232</v>
      </c>
      <c r="K1625" t="s">
        <v>68</v>
      </c>
      <c r="L1625" t="s">
        <v>923</v>
      </c>
      <c r="M1625" t="s">
        <v>31</v>
      </c>
      <c r="N1625" t="s">
        <v>46</v>
      </c>
      <c r="O1625" t="s">
        <v>924</v>
      </c>
      <c r="P1625">
        <v>1548.99</v>
      </c>
      <c r="Q1625">
        <v>9</v>
      </c>
      <c r="R1625">
        <v>0.4</v>
      </c>
      <c r="S1625">
        <v>-464.697</v>
      </c>
      <c r="T1625" t="s">
        <v>84</v>
      </c>
      <c r="U1625" t="s">
        <v>97</v>
      </c>
    </row>
    <row r="1626" spans="1:21" x14ac:dyDescent="0.25">
      <c r="A1626" t="s">
        <v>3816</v>
      </c>
      <c r="B1626" s="1">
        <v>42338</v>
      </c>
      <c r="C1626" s="1">
        <v>42340</v>
      </c>
      <c r="D1626" t="s">
        <v>22</v>
      </c>
      <c r="E1626" t="s">
        <v>3817</v>
      </c>
      <c r="F1626" t="s">
        <v>3818</v>
      </c>
      <c r="G1626" t="s">
        <v>25</v>
      </c>
      <c r="H1626" t="s">
        <v>26</v>
      </c>
      <c r="I1626" t="s">
        <v>2420</v>
      </c>
      <c r="J1626" t="s">
        <v>1341</v>
      </c>
      <c r="K1626" t="s">
        <v>55</v>
      </c>
      <c r="L1626" t="s">
        <v>2966</v>
      </c>
      <c r="M1626" t="s">
        <v>31</v>
      </c>
      <c r="N1626" t="s">
        <v>57</v>
      </c>
      <c r="O1626" t="s">
        <v>2967</v>
      </c>
      <c r="P1626">
        <v>80.959999999999994</v>
      </c>
      <c r="Q1626">
        <v>4</v>
      </c>
      <c r="R1626">
        <v>0</v>
      </c>
      <c r="S1626">
        <v>29.145600000000002</v>
      </c>
      <c r="T1626" t="s">
        <v>71</v>
      </c>
      <c r="U1626" t="s">
        <v>35</v>
      </c>
    </row>
    <row r="1627" spans="1:21" x14ac:dyDescent="0.25">
      <c r="A1627" t="s">
        <v>3819</v>
      </c>
      <c r="B1627" s="1">
        <v>41744</v>
      </c>
      <c r="C1627" s="1">
        <v>41744</v>
      </c>
      <c r="D1627" t="s">
        <v>426</v>
      </c>
      <c r="E1627" t="s">
        <v>132</v>
      </c>
      <c r="F1627" t="s">
        <v>133</v>
      </c>
      <c r="G1627" t="s">
        <v>101</v>
      </c>
      <c r="H1627" t="s">
        <v>26</v>
      </c>
      <c r="I1627" t="s">
        <v>53</v>
      </c>
      <c r="J1627" t="s">
        <v>54</v>
      </c>
      <c r="K1627" t="s">
        <v>55</v>
      </c>
      <c r="L1627" t="s">
        <v>355</v>
      </c>
      <c r="M1627" t="s">
        <v>31</v>
      </c>
      <c r="N1627" t="s">
        <v>57</v>
      </c>
      <c r="O1627" t="s">
        <v>356</v>
      </c>
      <c r="P1627">
        <v>187.76</v>
      </c>
      <c r="Q1627">
        <v>4</v>
      </c>
      <c r="R1627">
        <v>0</v>
      </c>
      <c r="S1627">
        <v>76.9816</v>
      </c>
      <c r="T1627" t="s">
        <v>431</v>
      </c>
      <c r="U1627" t="s">
        <v>114</v>
      </c>
    </row>
    <row r="1628" spans="1:21" x14ac:dyDescent="0.25">
      <c r="A1628" t="s">
        <v>3820</v>
      </c>
      <c r="B1628" s="1">
        <v>41646</v>
      </c>
      <c r="C1628" s="1">
        <v>41651</v>
      </c>
      <c r="D1628" t="s">
        <v>40</v>
      </c>
      <c r="E1628" t="s">
        <v>2845</v>
      </c>
      <c r="F1628" t="s">
        <v>2846</v>
      </c>
      <c r="G1628" t="s">
        <v>25</v>
      </c>
      <c r="H1628" t="s">
        <v>26</v>
      </c>
      <c r="I1628" t="s">
        <v>1869</v>
      </c>
      <c r="J1628" t="s">
        <v>93</v>
      </c>
      <c r="K1628" t="s">
        <v>94</v>
      </c>
      <c r="L1628" t="s">
        <v>552</v>
      </c>
      <c r="M1628" t="s">
        <v>31</v>
      </c>
      <c r="N1628" t="s">
        <v>57</v>
      </c>
      <c r="O1628" t="s">
        <v>553</v>
      </c>
      <c r="P1628">
        <v>76.727999999999994</v>
      </c>
      <c r="Q1628">
        <v>3</v>
      </c>
      <c r="R1628">
        <v>0.6</v>
      </c>
      <c r="S1628">
        <v>-53.709600000000002</v>
      </c>
      <c r="T1628" t="s">
        <v>59</v>
      </c>
      <c r="U1628" t="s">
        <v>170</v>
      </c>
    </row>
    <row r="1629" spans="1:21" x14ac:dyDescent="0.25">
      <c r="A1629" t="s">
        <v>3821</v>
      </c>
      <c r="B1629" s="1">
        <v>41934</v>
      </c>
      <c r="C1629" s="1">
        <v>41938</v>
      </c>
      <c r="D1629" t="s">
        <v>40</v>
      </c>
      <c r="E1629" t="s">
        <v>3822</v>
      </c>
      <c r="F1629" t="s">
        <v>3823</v>
      </c>
      <c r="G1629" t="s">
        <v>91</v>
      </c>
      <c r="H1629" t="s">
        <v>26</v>
      </c>
      <c r="I1629" t="s">
        <v>3824</v>
      </c>
      <c r="J1629" t="s">
        <v>1407</v>
      </c>
      <c r="K1629" t="s">
        <v>29</v>
      </c>
      <c r="L1629" t="s">
        <v>2396</v>
      </c>
      <c r="M1629" t="s">
        <v>31</v>
      </c>
      <c r="N1629" t="s">
        <v>57</v>
      </c>
      <c r="O1629" t="s">
        <v>2397</v>
      </c>
      <c r="P1629">
        <v>129.91999999999999</v>
      </c>
      <c r="Q1629">
        <v>4</v>
      </c>
      <c r="R1629">
        <v>0</v>
      </c>
      <c r="S1629">
        <v>10.393599999999999</v>
      </c>
      <c r="T1629" t="s">
        <v>84</v>
      </c>
      <c r="U1629" t="s">
        <v>49</v>
      </c>
    </row>
    <row r="1630" spans="1:21" x14ac:dyDescent="0.25">
      <c r="A1630" t="s">
        <v>3825</v>
      </c>
      <c r="B1630" s="1">
        <v>42335</v>
      </c>
      <c r="C1630" s="1">
        <v>42337</v>
      </c>
      <c r="D1630" t="s">
        <v>22</v>
      </c>
      <c r="E1630" t="s">
        <v>3034</v>
      </c>
      <c r="F1630" t="s">
        <v>3035</v>
      </c>
      <c r="G1630" t="s">
        <v>101</v>
      </c>
      <c r="H1630" t="s">
        <v>26</v>
      </c>
      <c r="I1630" t="s">
        <v>1358</v>
      </c>
      <c r="J1630" t="s">
        <v>435</v>
      </c>
      <c r="K1630" t="s">
        <v>68</v>
      </c>
      <c r="L1630" t="s">
        <v>2401</v>
      </c>
      <c r="M1630" t="s">
        <v>31</v>
      </c>
      <c r="N1630" t="s">
        <v>32</v>
      </c>
      <c r="O1630" t="s">
        <v>2402</v>
      </c>
      <c r="P1630">
        <v>170.98</v>
      </c>
      <c r="Q1630">
        <v>1</v>
      </c>
      <c r="R1630">
        <v>0</v>
      </c>
      <c r="S1630">
        <v>32.486199999999997</v>
      </c>
      <c r="T1630" t="s">
        <v>71</v>
      </c>
      <c r="U1630" t="s">
        <v>35</v>
      </c>
    </row>
    <row r="1631" spans="1:21" x14ac:dyDescent="0.25">
      <c r="A1631" t="s">
        <v>3825</v>
      </c>
      <c r="B1631" s="1">
        <v>42335</v>
      </c>
      <c r="C1631" s="1">
        <v>42337</v>
      </c>
      <c r="D1631" t="s">
        <v>22</v>
      </c>
      <c r="E1631" t="s">
        <v>3034</v>
      </c>
      <c r="F1631" t="s">
        <v>3035</v>
      </c>
      <c r="G1631" t="s">
        <v>101</v>
      </c>
      <c r="H1631" t="s">
        <v>26</v>
      </c>
      <c r="I1631" t="s">
        <v>1358</v>
      </c>
      <c r="J1631" t="s">
        <v>435</v>
      </c>
      <c r="K1631" t="s">
        <v>68</v>
      </c>
      <c r="L1631" t="s">
        <v>3826</v>
      </c>
      <c r="M1631" t="s">
        <v>31</v>
      </c>
      <c r="N1631" t="s">
        <v>57</v>
      </c>
      <c r="O1631" t="s">
        <v>3827</v>
      </c>
      <c r="P1631">
        <v>38.97</v>
      </c>
      <c r="Q1631">
        <v>3</v>
      </c>
      <c r="R1631">
        <v>0</v>
      </c>
      <c r="S1631">
        <v>4.6764000000000001</v>
      </c>
      <c r="T1631" t="s">
        <v>71</v>
      </c>
      <c r="U1631" t="s">
        <v>35</v>
      </c>
    </row>
    <row r="1632" spans="1:21" x14ac:dyDescent="0.25">
      <c r="A1632" t="s">
        <v>3825</v>
      </c>
      <c r="B1632" s="1">
        <v>42335</v>
      </c>
      <c r="C1632" s="1">
        <v>42337</v>
      </c>
      <c r="D1632" t="s">
        <v>22</v>
      </c>
      <c r="E1632" t="s">
        <v>3034</v>
      </c>
      <c r="F1632" t="s">
        <v>3035</v>
      </c>
      <c r="G1632" t="s">
        <v>101</v>
      </c>
      <c r="H1632" t="s">
        <v>26</v>
      </c>
      <c r="I1632" t="s">
        <v>1358</v>
      </c>
      <c r="J1632" t="s">
        <v>435</v>
      </c>
      <c r="K1632" t="s">
        <v>68</v>
      </c>
      <c r="L1632" t="s">
        <v>1135</v>
      </c>
      <c r="M1632" t="s">
        <v>31</v>
      </c>
      <c r="N1632" t="s">
        <v>46</v>
      </c>
      <c r="O1632" t="s">
        <v>1136</v>
      </c>
      <c r="P1632">
        <v>446.06799999999998</v>
      </c>
      <c r="Q1632">
        <v>4</v>
      </c>
      <c r="R1632">
        <v>0.3</v>
      </c>
      <c r="S1632">
        <v>0</v>
      </c>
      <c r="T1632" t="s">
        <v>71</v>
      </c>
      <c r="U1632" t="s">
        <v>35</v>
      </c>
    </row>
    <row r="1633" spans="1:21" x14ac:dyDescent="0.25">
      <c r="A1633" t="s">
        <v>3828</v>
      </c>
      <c r="B1633" s="1">
        <v>42004</v>
      </c>
      <c r="C1633" s="1">
        <v>42011</v>
      </c>
      <c r="D1633" t="s">
        <v>40</v>
      </c>
      <c r="E1633" t="s">
        <v>2296</v>
      </c>
      <c r="F1633" t="s">
        <v>2297</v>
      </c>
      <c r="G1633" t="s">
        <v>101</v>
      </c>
      <c r="H1633" t="s">
        <v>26</v>
      </c>
      <c r="I1633" t="s">
        <v>1645</v>
      </c>
      <c r="J1633" t="s">
        <v>1646</v>
      </c>
      <c r="K1633" t="s">
        <v>68</v>
      </c>
      <c r="L1633" t="s">
        <v>1381</v>
      </c>
      <c r="M1633" t="s">
        <v>31</v>
      </c>
      <c r="N1633" t="s">
        <v>32</v>
      </c>
      <c r="O1633" t="s">
        <v>1382</v>
      </c>
      <c r="P1633">
        <v>341.96</v>
      </c>
      <c r="Q1633">
        <v>2</v>
      </c>
      <c r="R1633">
        <v>0</v>
      </c>
      <c r="S1633">
        <v>78.650800000000004</v>
      </c>
      <c r="T1633" t="s">
        <v>48</v>
      </c>
      <c r="U1633" t="s">
        <v>97</v>
      </c>
    </row>
    <row r="1634" spans="1:21" x14ac:dyDescent="0.25">
      <c r="A1634" t="s">
        <v>3828</v>
      </c>
      <c r="B1634" s="1">
        <v>42004</v>
      </c>
      <c r="C1634" s="1">
        <v>42011</v>
      </c>
      <c r="D1634" t="s">
        <v>40</v>
      </c>
      <c r="E1634" t="s">
        <v>2296</v>
      </c>
      <c r="F1634" t="s">
        <v>2297</v>
      </c>
      <c r="G1634" t="s">
        <v>101</v>
      </c>
      <c r="H1634" t="s">
        <v>26</v>
      </c>
      <c r="I1634" t="s">
        <v>1645</v>
      </c>
      <c r="J1634" t="s">
        <v>1646</v>
      </c>
      <c r="K1634" t="s">
        <v>68</v>
      </c>
      <c r="L1634" t="s">
        <v>105</v>
      </c>
      <c r="M1634" t="s">
        <v>31</v>
      </c>
      <c r="N1634" t="s">
        <v>37</v>
      </c>
      <c r="O1634" t="s">
        <v>106</v>
      </c>
      <c r="P1634">
        <v>605.88</v>
      </c>
      <c r="Q1634">
        <v>6</v>
      </c>
      <c r="R1634">
        <v>0</v>
      </c>
      <c r="S1634">
        <v>151.47</v>
      </c>
      <c r="T1634" t="s">
        <v>48</v>
      </c>
      <c r="U1634" t="s">
        <v>97</v>
      </c>
    </row>
    <row r="1635" spans="1:21" x14ac:dyDescent="0.25">
      <c r="A1635" t="s">
        <v>3829</v>
      </c>
      <c r="B1635" s="1">
        <v>42699</v>
      </c>
      <c r="C1635" s="1">
        <v>42703</v>
      </c>
      <c r="D1635" t="s">
        <v>40</v>
      </c>
      <c r="E1635" t="s">
        <v>1936</v>
      </c>
      <c r="F1635" t="s">
        <v>1937</v>
      </c>
      <c r="G1635" t="s">
        <v>91</v>
      </c>
      <c r="H1635" t="s">
        <v>26</v>
      </c>
      <c r="I1635" t="s">
        <v>478</v>
      </c>
      <c r="J1635" t="s">
        <v>290</v>
      </c>
      <c r="K1635" t="s">
        <v>94</v>
      </c>
      <c r="L1635" t="s">
        <v>785</v>
      </c>
      <c r="M1635" t="s">
        <v>31</v>
      </c>
      <c r="N1635" t="s">
        <v>46</v>
      </c>
      <c r="O1635" t="s">
        <v>786</v>
      </c>
      <c r="P1635">
        <v>1568.61</v>
      </c>
      <c r="Q1635">
        <v>9</v>
      </c>
      <c r="R1635">
        <v>0</v>
      </c>
      <c r="S1635">
        <v>329.40809999999999</v>
      </c>
      <c r="T1635" t="s">
        <v>84</v>
      </c>
      <c r="U1635" t="s">
        <v>35</v>
      </c>
    </row>
    <row r="1636" spans="1:21" x14ac:dyDescent="0.25">
      <c r="A1636" t="s">
        <v>3830</v>
      </c>
      <c r="B1636" s="1">
        <v>42931</v>
      </c>
      <c r="C1636" s="1">
        <v>42933</v>
      </c>
      <c r="D1636" t="s">
        <v>88</v>
      </c>
      <c r="E1636" t="s">
        <v>1810</v>
      </c>
      <c r="F1636" t="s">
        <v>1811</v>
      </c>
      <c r="G1636" t="s">
        <v>91</v>
      </c>
      <c r="H1636" t="s">
        <v>26</v>
      </c>
      <c r="I1636" t="s">
        <v>1482</v>
      </c>
      <c r="J1636" t="s">
        <v>717</v>
      </c>
      <c r="K1636" t="s">
        <v>29</v>
      </c>
      <c r="L1636" t="s">
        <v>411</v>
      </c>
      <c r="M1636" t="s">
        <v>31</v>
      </c>
      <c r="N1636" t="s">
        <v>46</v>
      </c>
      <c r="O1636" t="s">
        <v>412</v>
      </c>
      <c r="P1636">
        <v>872.94</v>
      </c>
      <c r="Q1636">
        <v>3</v>
      </c>
      <c r="R1636">
        <v>0</v>
      </c>
      <c r="S1636">
        <v>157.1292</v>
      </c>
      <c r="T1636" t="s">
        <v>71</v>
      </c>
      <c r="U1636" t="s">
        <v>72</v>
      </c>
    </row>
    <row r="1637" spans="1:21" x14ac:dyDescent="0.25">
      <c r="A1637" t="s">
        <v>3831</v>
      </c>
      <c r="B1637" s="1">
        <v>42451</v>
      </c>
      <c r="C1637" s="1">
        <v>42451</v>
      </c>
      <c r="D1637" t="s">
        <v>426</v>
      </c>
      <c r="E1637" t="s">
        <v>1404</v>
      </c>
      <c r="F1637" t="s">
        <v>1405</v>
      </c>
      <c r="G1637" t="s">
        <v>25</v>
      </c>
      <c r="H1637" t="s">
        <v>26</v>
      </c>
      <c r="I1637" t="s">
        <v>192</v>
      </c>
      <c r="J1637" t="s">
        <v>193</v>
      </c>
      <c r="K1637" t="s">
        <v>55</v>
      </c>
      <c r="L1637" t="s">
        <v>1514</v>
      </c>
      <c r="M1637" t="s">
        <v>31</v>
      </c>
      <c r="N1637" t="s">
        <v>37</v>
      </c>
      <c r="O1637" t="s">
        <v>1515</v>
      </c>
      <c r="P1637">
        <v>167.88800000000001</v>
      </c>
      <c r="Q1637">
        <v>7</v>
      </c>
      <c r="R1637">
        <v>0.2</v>
      </c>
      <c r="S1637">
        <v>14.690200000000001</v>
      </c>
      <c r="T1637" t="s">
        <v>431</v>
      </c>
      <c r="U1637" t="s">
        <v>196</v>
      </c>
    </row>
    <row r="1638" spans="1:21" x14ac:dyDescent="0.25">
      <c r="A1638" t="s">
        <v>3832</v>
      </c>
      <c r="B1638" s="1">
        <v>43083</v>
      </c>
      <c r="C1638" s="1">
        <v>43087</v>
      </c>
      <c r="D1638" t="s">
        <v>40</v>
      </c>
      <c r="E1638" t="s">
        <v>1738</v>
      </c>
      <c r="F1638" t="s">
        <v>1739</v>
      </c>
      <c r="G1638" t="s">
        <v>101</v>
      </c>
      <c r="H1638" t="s">
        <v>26</v>
      </c>
      <c r="I1638" t="s">
        <v>472</v>
      </c>
      <c r="J1638" t="s">
        <v>435</v>
      </c>
      <c r="K1638" t="s">
        <v>68</v>
      </c>
      <c r="L1638" t="s">
        <v>307</v>
      </c>
      <c r="M1638" t="s">
        <v>31</v>
      </c>
      <c r="N1638" t="s">
        <v>46</v>
      </c>
      <c r="O1638" t="s">
        <v>308</v>
      </c>
      <c r="P1638">
        <v>526.58199999999999</v>
      </c>
      <c r="Q1638">
        <v>2</v>
      </c>
      <c r="R1638">
        <v>0.3</v>
      </c>
      <c r="S1638">
        <v>-52.658200000000001</v>
      </c>
      <c r="T1638" t="s">
        <v>84</v>
      </c>
      <c r="U1638" t="s">
        <v>97</v>
      </c>
    </row>
    <row r="1639" spans="1:21" x14ac:dyDescent="0.25">
      <c r="A1639" t="s">
        <v>3833</v>
      </c>
      <c r="B1639" s="1">
        <v>42608</v>
      </c>
      <c r="C1639" s="1">
        <v>42615</v>
      </c>
      <c r="D1639" t="s">
        <v>40</v>
      </c>
      <c r="E1639" t="s">
        <v>1288</v>
      </c>
      <c r="F1639" t="s">
        <v>1289</v>
      </c>
      <c r="G1639" t="s">
        <v>25</v>
      </c>
      <c r="H1639" t="s">
        <v>26</v>
      </c>
      <c r="I1639" t="s">
        <v>289</v>
      </c>
      <c r="J1639" t="s">
        <v>290</v>
      </c>
      <c r="K1639" t="s">
        <v>94</v>
      </c>
      <c r="L1639" t="s">
        <v>1041</v>
      </c>
      <c r="M1639" t="s">
        <v>31</v>
      </c>
      <c r="N1639" t="s">
        <v>46</v>
      </c>
      <c r="O1639" t="s">
        <v>1042</v>
      </c>
      <c r="P1639">
        <v>447.84</v>
      </c>
      <c r="Q1639">
        <v>4</v>
      </c>
      <c r="R1639">
        <v>0</v>
      </c>
      <c r="S1639">
        <v>98.524799999999999</v>
      </c>
      <c r="T1639" t="s">
        <v>48</v>
      </c>
      <c r="U1639" t="s">
        <v>254</v>
      </c>
    </row>
    <row r="1640" spans="1:21" x14ac:dyDescent="0.25">
      <c r="A1640" t="s">
        <v>3834</v>
      </c>
      <c r="B1640" s="1">
        <v>43036</v>
      </c>
      <c r="C1640" s="1">
        <v>43038</v>
      </c>
      <c r="D1640" t="s">
        <v>22</v>
      </c>
      <c r="E1640" t="s">
        <v>2655</v>
      </c>
      <c r="F1640" t="s">
        <v>2656</v>
      </c>
      <c r="G1640" t="s">
        <v>25</v>
      </c>
      <c r="H1640" t="s">
        <v>26</v>
      </c>
      <c r="I1640" t="s">
        <v>1912</v>
      </c>
      <c r="J1640" t="s">
        <v>1037</v>
      </c>
      <c r="K1640" t="s">
        <v>29</v>
      </c>
      <c r="L1640" t="s">
        <v>2056</v>
      </c>
      <c r="M1640" t="s">
        <v>31</v>
      </c>
      <c r="N1640" t="s">
        <v>57</v>
      </c>
      <c r="O1640" t="s">
        <v>2057</v>
      </c>
      <c r="P1640">
        <v>77.951999999999998</v>
      </c>
      <c r="Q1640">
        <v>3</v>
      </c>
      <c r="R1640">
        <v>0.2</v>
      </c>
      <c r="S1640">
        <v>15.590400000000001</v>
      </c>
      <c r="T1640" t="s">
        <v>71</v>
      </c>
      <c r="U1640" t="s">
        <v>49</v>
      </c>
    </row>
    <row r="1641" spans="1:21" x14ac:dyDescent="0.25">
      <c r="A1641" t="s">
        <v>3835</v>
      </c>
      <c r="B1641" s="1">
        <v>42257</v>
      </c>
      <c r="C1641" s="1">
        <v>42261</v>
      </c>
      <c r="D1641" t="s">
        <v>40</v>
      </c>
      <c r="E1641" t="s">
        <v>3734</v>
      </c>
      <c r="F1641" t="s">
        <v>3735</v>
      </c>
      <c r="G1641" t="s">
        <v>91</v>
      </c>
      <c r="H1641" t="s">
        <v>26</v>
      </c>
      <c r="I1641" t="s">
        <v>2331</v>
      </c>
      <c r="J1641" t="s">
        <v>93</v>
      </c>
      <c r="K1641" t="s">
        <v>94</v>
      </c>
      <c r="L1641" t="s">
        <v>1601</v>
      </c>
      <c r="M1641" t="s">
        <v>31</v>
      </c>
      <c r="N1641" t="s">
        <v>37</v>
      </c>
      <c r="O1641" t="s">
        <v>1602</v>
      </c>
      <c r="P1641">
        <v>179.886</v>
      </c>
      <c r="Q1641">
        <v>1</v>
      </c>
      <c r="R1641">
        <v>0.3</v>
      </c>
      <c r="S1641">
        <v>-2.5697999999999999</v>
      </c>
      <c r="T1641" t="s">
        <v>84</v>
      </c>
      <c r="U1641" t="s">
        <v>78</v>
      </c>
    </row>
    <row r="1642" spans="1:21" x14ac:dyDescent="0.25">
      <c r="A1642" t="s">
        <v>3836</v>
      </c>
      <c r="B1642" s="1">
        <v>42899</v>
      </c>
      <c r="C1642" s="1">
        <v>42905</v>
      </c>
      <c r="D1642" t="s">
        <v>40</v>
      </c>
      <c r="E1642" t="s">
        <v>3543</v>
      </c>
      <c r="F1642" t="s">
        <v>3544</v>
      </c>
      <c r="G1642" t="s">
        <v>101</v>
      </c>
      <c r="H1642" t="s">
        <v>26</v>
      </c>
      <c r="I1642" t="s">
        <v>192</v>
      </c>
      <c r="J1642" t="s">
        <v>193</v>
      </c>
      <c r="K1642" t="s">
        <v>55</v>
      </c>
      <c r="L1642" t="s">
        <v>1618</v>
      </c>
      <c r="M1642" t="s">
        <v>31</v>
      </c>
      <c r="N1642" t="s">
        <v>37</v>
      </c>
      <c r="O1642" t="s">
        <v>1619</v>
      </c>
      <c r="P1642">
        <v>291.13600000000002</v>
      </c>
      <c r="Q1642">
        <v>4</v>
      </c>
      <c r="R1642">
        <v>0.2</v>
      </c>
      <c r="S1642">
        <v>-25.474399999999999</v>
      </c>
      <c r="T1642" t="s">
        <v>130</v>
      </c>
      <c r="U1642" t="s">
        <v>60</v>
      </c>
    </row>
    <row r="1643" spans="1:21" x14ac:dyDescent="0.25">
      <c r="A1643" t="s">
        <v>3837</v>
      </c>
      <c r="B1643" s="1">
        <v>42173</v>
      </c>
      <c r="C1643" s="1">
        <v>42179</v>
      </c>
      <c r="D1643" t="s">
        <v>40</v>
      </c>
      <c r="E1643" t="s">
        <v>453</v>
      </c>
      <c r="F1643" t="s">
        <v>454</v>
      </c>
      <c r="G1643" t="s">
        <v>25</v>
      </c>
      <c r="H1643" t="s">
        <v>26</v>
      </c>
      <c r="I1643" t="s">
        <v>690</v>
      </c>
      <c r="J1643" t="s">
        <v>717</v>
      </c>
      <c r="K1643" t="s">
        <v>29</v>
      </c>
      <c r="L1643" t="s">
        <v>2319</v>
      </c>
      <c r="M1643" t="s">
        <v>31</v>
      </c>
      <c r="N1643" t="s">
        <v>57</v>
      </c>
      <c r="O1643" t="s">
        <v>2320</v>
      </c>
      <c r="P1643">
        <v>60.84</v>
      </c>
      <c r="Q1643">
        <v>3</v>
      </c>
      <c r="R1643">
        <v>0</v>
      </c>
      <c r="S1643">
        <v>19.468800000000002</v>
      </c>
      <c r="T1643" t="s">
        <v>130</v>
      </c>
      <c r="U1643" t="s">
        <v>60</v>
      </c>
    </row>
    <row r="1644" spans="1:21" x14ac:dyDescent="0.25">
      <c r="A1644" t="s">
        <v>3838</v>
      </c>
      <c r="B1644" s="1">
        <v>42338</v>
      </c>
      <c r="C1644" s="1">
        <v>42341</v>
      </c>
      <c r="D1644" t="s">
        <v>88</v>
      </c>
      <c r="E1644" t="s">
        <v>1221</v>
      </c>
      <c r="F1644" t="s">
        <v>1222</v>
      </c>
      <c r="G1644" t="s">
        <v>91</v>
      </c>
      <c r="H1644" t="s">
        <v>26</v>
      </c>
      <c r="I1644" t="s">
        <v>607</v>
      </c>
      <c r="J1644" t="s">
        <v>1037</v>
      </c>
      <c r="K1644" t="s">
        <v>29</v>
      </c>
      <c r="L1644" t="s">
        <v>2141</v>
      </c>
      <c r="M1644" t="s">
        <v>31</v>
      </c>
      <c r="N1644" t="s">
        <v>57</v>
      </c>
      <c r="O1644" t="s">
        <v>2142</v>
      </c>
      <c r="P1644">
        <v>17.088000000000001</v>
      </c>
      <c r="Q1644">
        <v>2</v>
      </c>
      <c r="R1644">
        <v>0.2</v>
      </c>
      <c r="S1644">
        <v>1.0680000000000001</v>
      </c>
      <c r="T1644" t="s">
        <v>34</v>
      </c>
      <c r="U1644" t="s">
        <v>35</v>
      </c>
    </row>
    <row r="1645" spans="1:21" x14ac:dyDescent="0.25">
      <c r="A1645" t="s">
        <v>3839</v>
      </c>
      <c r="B1645" s="1">
        <v>43052</v>
      </c>
      <c r="C1645" s="1">
        <v>43055</v>
      </c>
      <c r="D1645" t="s">
        <v>22</v>
      </c>
      <c r="E1645" t="s">
        <v>1112</v>
      </c>
      <c r="F1645" t="s">
        <v>1113</v>
      </c>
      <c r="G1645" t="s">
        <v>91</v>
      </c>
      <c r="H1645" t="s">
        <v>26</v>
      </c>
      <c r="I1645" t="s">
        <v>2955</v>
      </c>
      <c r="J1645" t="s">
        <v>121</v>
      </c>
      <c r="K1645" t="s">
        <v>68</v>
      </c>
      <c r="L1645" t="s">
        <v>2974</v>
      </c>
      <c r="M1645" t="s">
        <v>31</v>
      </c>
      <c r="N1645" t="s">
        <v>57</v>
      </c>
      <c r="O1645" t="s">
        <v>2975</v>
      </c>
      <c r="P1645">
        <v>154.94999999999999</v>
      </c>
      <c r="Q1645">
        <v>3</v>
      </c>
      <c r="R1645">
        <v>0</v>
      </c>
      <c r="S1645">
        <v>30.99</v>
      </c>
      <c r="T1645" t="s">
        <v>34</v>
      </c>
      <c r="U1645" t="s">
        <v>35</v>
      </c>
    </row>
    <row r="1646" spans="1:21" x14ac:dyDescent="0.25">
      <c r="A1646" t="s">
        <v>3840</v>
      </c>
      <c r="B1646" s="1">
        <v>42959</v>
      </c>
      <c r="C1646" s="1">
        <v>42959</v>
      </c>
      <c r="D1646" t="s">
        <v>426</v>
      </c>
      <c r="E1646" t="s">
        <v>1936</v>
      </c>
      <c r="F1646" t="s">
        <v>1937</v>
      </c>
      <c r="G1646" t="s">
        <v>91</v>
      </c>
      <c r="H1646" t="s">
        <v>26</v>
      </c>
      <c r="I1646" t="s">
        <v>158</v>
      </c>
      <c r="J1646" t="s">
        <v>1090</v>
      </c>
      <c r="K1646" t="s">
        <v>68</v>
      </c>
      <c r="L1646" t="s">
        <v>515</v>
      </c>
      <c r="M1646" t="s">
        <v>31</v>
      </c>
      <c r="N1646" t="s">
        <v>37</v>
      </c>
      <c r="O1646" t="s">
        <v>516</v>
      </c>
      <c r="P1646">
        <v>1779.9</v>
      </c>
      <c r="Q1646">
        <v>5</v>
      </c>
      <c r="R1646">
        <v>0</v>
      </c>
      <c r="S1646">
        <v>373.779</v>
      </c>
      <c r="T1646" t="s">
        <v>431</v>
      </c>
      <c r="U1646" t="s">
        <v>254</v>
      </c>
    </row>
    <row r="1647" spans="1:21" x14ac:dyDescent="0.25">
      <c r="A1647" t="s">
        <v>3841</v>
      </c>
      <c r="B1647" s="1">
        <v>42678</v>
      </c>
      <c r="C1647" s="1">
        <v>42680</v>
      </c>
      <c r="D1647" t="s">
        <v>22</v>
      </c>
      <c r="E1647" t="s">
        <v>3842</v>
      </c>
      <c r="F1647" t="s">
        <v>3843</v>
      </c>
      <c r="G1647" t="s">
        <v>91</v>
      </c>
      <c r="H1647" t="s">
        <v>26</v>
      </c>
      <c r="I1647" t="s">
        <v>1528</v>
      </c>
      <c r="J1647" t="s">
        <v>1037</v>
      </c>
      <c r="K1647" t="s">
        <v>29</v>
      </c>
      <c r="L1647" t="s">
        <v>369</v>
      </c>
      <c r="M1647" t="s">
        <v>31</v>
      </c>
      <c r="N1647" t="s">
        <v>46</v>
      </c>
      <c r="O1647" t="s">
        <v>370</v>
      </c>
      <c r="P1647">
        <v>876.3</v>
      </c>
      <c r="Q1647">
        <v>10</v>
      </c>
      <c r="R1647">
        <v>0.4</v>
      </c>
      <c r="S1647">
        <v>-292.10000000000002</v>
      </c>
      <c r="T1647" t="s">
        <v>71</v>
      </c>
      <c r="U1647" t="s">
        <v>35</v>
      </c>
    </row>
    <row r="1648" spans="1:21" x14ac:dyDescent="0.25">
      <c r="A1648" t="s">
        <v>3844</v>
      </c>
      <c r="B1648" s="1">
        <v>42507</v>
      </c>
      <c r="C1648" s="1">
        <v>42510</v>
      </c>
      <c r="D1648" t="s">
        <v>88</v>
      </c>
      <c r="E1648" t="s">
        <v>3845</v>
      </c>
      <c r="F1648" t="s">
        <v>3846</v>
      </c>
      <c r="G1648" t="s">
        <v>25</v>
      </c>
      <c r="H1648" t="s">
        <v>26</v>
      </c>
      <c r="I1648" t="s">
        <v>134</v>
      </c>
      <c r="J1648" t="s">
        <v>135</v>
      </c>
      <c r="K1648" t="s">
        <v>94</v>
      </c>
      <c r="L1648" t="s">
        <v>1543</v>
      </c>
      <c r="M1648" t="s">
        <v>31</v>
      </c>
      <c r="N1648" t="s">
        <v>57</v>
      </c>
      <c r="O1648" t="s">
        <v>1544</v>
      </c>
      <c r="P1648">
        <v>22.608000000000001</v>
      </c>
      <c r="Q1648">
        <v>3</v>
      </c>
      <c r="R1648">
        <v>0.6</v>
      </c>
      <c r="S1648">
        <v>-10.1736</v>
      </c>
      <c r="T1648" t="s">
        <v>34</v>
      </c>
      <c r="U1648" t="s">
        <v>162</v>
      </c>
    </row>
    <row r="1649" spans="1:21" x14ac:dyDescent="0.25">
      <c r="A1649" t="s">
        <v>3847</v>
      </c>
      <c r="B1649" s="1">
        <v>42818</v>
      </c>
      <c r="C1649" s="1">
        <v>42821</v>
      </c>
      <c r="D1649" t="s">
        <v>88</v>
      </c>
      <c r="E1649" t="s">
        <v>2032</v>
      </c>
      <c r="F1649" t="s">
        <v>2033</v>
      </c>
      <c r="G1649" t="s">
        <v>91</v>
      </c>
      <c r="H1649" t="s">
        <v>26</v>
      </c>
      <c r="I1649" t="s">
        <v>174</v>
      </c>
      <c r="J1649" t="s">
        <v>121</v>
      </c>
      <c r="K1649" t="s">
        <v>68</v>
      </c>
      <c r="L1649" t="s">
        <v>489</v>
      </c>
      <c r="M1649" t="s">
        <v>31</v>
      </c>
      <c r="N1649" t="s">
        <v>37</v>
      </c>
      <c r="O1649" t="s">
        <v>490</v>
      </c>
      <c r="P1649">
        <v>207.846</v>
      </c>
      <c r="Q1649">
        <v>3</v>
      </c>
      <c r="R1649">
        <v>0.1</v>
      </c>
      <c r="S1649">
        <v>2.3094000000000001</v>
      </c>
      <c r="T1649" t="s">
        <v>34</v>
      </c>
      <c r="U1649" t="s">
        <v>196</v>
      </c>
    </row>
    <row r="1650" spans="1:21" x14ac:dyDescent="0.25">
      <c r="A1650" t="s">
        <v>3848</v>
      </c>
      <c r="B1650" s="1">
        <v>41722</v>
      </c>
      <c r="C1650" s="1">
        <v>41727</v>
      </c>
      <c r="D1650" t="s">
        <v>22</v>
      </c>
      <c r="E1650" t="s">
        <v>1163</v>
      </c>
      <c r="F1650" t="s">
        <v>1164</v>
      </c>
      <c r="G1650" t="s">
        <v>25</v>
      </c>
      <c r="H1650" t="s">
        <v>26</v>
      </c>
      <c r="I1650" t="s">
        <v>1134</v>
      </c>
      <c r="J1650" t="s">
        <v>54</v>
      </c>
      <c r="K1650" t="s">
        <v>55</v>
      </c>
      <c r="L1650" t="s">
        <v>2966</v>
      </c>
      <c r="M1650" t="s">
        <v>31</v>
      </c>
      <c r="N1650" t="s">
        <v>57</v>
      </c>
      <c r="O1650" t="s">
        <v>2967</v>
      </c>
      <c r="P1650">
        <v>40.479999999999997</v>
      </c>
      <c r="Q1650">
        <v>2</v>
      </c>
      <c r="R1650">
        <v>0</v>
      </c>
      <c r="S1650">
        <v>14.572800000000001</v>
      </c>
      <c r="T1650" t="s">
        <v>59</v>
      </c>
      <c r="U1650" t="s">
        <v>196</v>
      </c>
    </row>
    <row r="1651" spans="1:21" x14ac:dyDescent="0.25">
      <c r="A1651" t="s">
        <v>3849</v>
      </c>
      <c r="B1651" s="1">
        <v>42414</v>
      </c>
      <c r="C1651" s="1">
        <v>42415</v>
      </c>
      <c r="D1651" t="s">
        <v>88</v>
      </c>
      <c r="E1651" t="s">
        <v>190</v>
      </c>
      <c r="F1651" t="s">
        <v>191</v>
      </c>
      <c r="G1651" t="s">
        <v>25</v>
      </c>
      <c r="H1651" t="s">
        <v>26</v>
      </c>
      <c r="I1651" t="s">
        <v>2523</v>
      </c>
      <c r="J1651" t="s">
        <v>1090</v>
      </c>
      <c r="K1651" t="s">
        <v>68</v>
      </c>
      <c r="L1651" t="s">
        <v>916</v>
      </c>
      <c r="M1651" t="s">
        <v>31</v>
      </c>
      <c r="N1651" t="s">
        <v>46</v>
      </c>
      <c r="O1651" t="s">
        <v>917</v>
      </c>
      <c r="P1651">
        <v>550.43100000000004</v>
      </c>
      <c r="Q1651">
        <v>3</v>
      </c>
      <c r="R1651">
        <v>0.3</v>
      </c>
      <c r="S1651">
        <v>-47.1798</v>
      </c>
      <c r="T1651" t="s">
        <v>124</v>
      </c>
      <c r="U1651" t="s">
        <v>298</v>
      </c>
    </row>
    <row r="1652" spans="1:21" x14ac:dyDescent="0.25">
      <c r="A1652" t="s">
        <v>3849</v>
      </c>
      <c r="B1652" s="1">
        <v>42414</v>
      </c>
      <c r="C1652" s="1">
        <v>42415</v>
      </c>
      <c r="D1652" t="s">
        <v>88</v>
      </c>
      <c r="E1652" t="s">
        <v>190</v>
      </c>
      <c r="F1652" t="s">
        <v>191</v>
      </c>
      <c r="G1652" t="s">
        <v>25</v>
      </c>
      <c r="H1652" t="s">
        <v>26</v>
      </c>
      <c r="I1652" t="s">
        <v>2523</v>
      </c>
      <c r="J1652" t="s">
        <v>1090</v>
      </c>
      <c r="K1652" t="s">
        <v>68</v>
      </c>
      <c r="L1652" t="s">
        <v>338</v>
      </c>
      <c r="M1652" t="s">
        <v>31</v>
      </c>
      <c r="N1652" t="s">
        <v>57</v>
      </c>
      <c r="O1652" t="s">
        <v>339</v>
      </c>
      <c r="P1652">
        <v>10.56</v>
      </c>
      <c r="Q1652">
        <v>6</v>
      </c>
      <c r="R1652">
        <v>0</v>
      </c>
      <c r="S1652">
        <v>4.6463999999999999</v>
      </c>
      <c r="T1652" t="s">
        <v>124</v>
      </c>
      <c r="U1652" t="s">
        <v>298</v>
      </c>
    </row>
    <row r="1653" spans="1:21" x14ac:dyDescent="0.25">
      <c r="A1653" t="s">
        <v>3850</v>
      </c>
      <c r="B1653" s="1">
        <v>42894</v>
      </c>
      <c r="C1653" s="1">
        <v>42896</v>
      </c>
      <c r="D1653" t="s">
        <v>88</v>
      </c>
      <c r="E1653" t="s">
        <v>229</v>
      </c>
      <c r="F1653" t="s">
        <v>230</v>
      </c>
      <c r="G1653" t="s">
        <v>101</v>
      </c>
      <c r="H1653" t="s">
        <v>26</v>
      </c>
      <c r="I1653" t="s">
        <v>53</v>
      </c>
      <c r="J1653" t="s">
        <v>54</v>
      </c>
      <c r="K1653" t="s">
        <v>55</v>
      </c>
      <c r="L1653" t="s">
        <v>82</v>
      </c>
      <c r="M1653" t="s">
        <v>31</v>
      </c>
      <c r="N1653" t="s">
        <v>32</v>
      </c>
      <c r="O1653" t="s">
        <v>83</v>
      </c>
      <c r="P1653">
        <v>1497.6659999999999</v>
      </c>
      <c r="Q1653">
        <v>2</v>
      </c>
      <c r="R1653">
        <v>0.15</v>
      </c>
      <c r="S1653">
        <v>140.95679999999999</v>
      </c>
      <c r="T1653" t="s">
        <v>71</v>
      </c>
      <c r="U1653" t="s">
        <v>60</v>
      </c>
    </row>
    <row r="1654" spans="1:21" x14ac:dyDescent="0.25">
      <c r="A1654" t="s">
        <v>3851</v>
      </c>
      <c r="B1654" s="1">
        <v>41775</v>
      </c>
      <c r="C1654" s="1">
        <v>41782</v>
      </c>
      <c r="D1654" t="s">
        <v>40</v>
      </c>
      <c r="E1654" t="s">
        <v>3852</v>
      </c>
      <c r="F1654" t="s">
        <v>3853</v>
      </c>
      <c r="G1654" t="s">
        <v>91</v>
      </c>
      <c r="H1654" t="s">
        <v>26</v>
      </c>
      <c r="I1654" t="s">
        <v>53</v>
      </c>
      <c r="J1654" t="s">
        <v>54</v>
      </c>
      <c r="K1654" t="s">
        <v>55</v>
      </c>
      <c r="L1654" t="s">
        <v>1893</v>
      </c>
      <c r="M1654" t="s">
        <v>31</v>
      </c>
      <c r="N1654" t="s">
        <v>37</v>
      </c>
      <c r="O1654" t="s">
        <v>1894</v>
      </c>
      <c r="P1654">
        <v>232.88</v>
      </c>
      <c r="Q1654">
        <v>5</v>
      </c>
      <c r="R1654">
        <v>0.2</v>
      </c>
      <c r="S1654">
        <v>17.466000000000001</v>
      </c>
      <c r="T1654" t="s">
        <v>48</v>
      </c>
      <c r="U1654" t="s">
        <v>162</v>
      </c>
    </row>
    <row r="1655" spans="1:21" x14ac:dyDescent="0.25">
      <c r="A1655" t="s">
        <v>3854</v>
      </c>
      <c r="B1655" s="1">
        <v>42038</v>
      </c>
      <c r="C1655" s="1">
        <v>42042</v>
      </c>
      <c r="D1655" t="s">
        <v>40</v>
      </c>
      <c r="E1655" t="s">
        <v>3852</v>
      </c>
      <c r="F1655" t="s">
        <v>3853</v>
      </c>
      <c r="G1655" t="s">
        <v>91</v>
      </c>
      <c r="H1655" t="s">
        <v>26</v>
      </c>
      <c r="I1655" t="s">
        <v>2857</v>
      </c>
      <c r="J1655" t="s">
        <v>121</v>
      </c>
      <c r="K1655" t="s">
        <v>68</v>
      </c>
      <c r="L1655" t="s">
        <v>105</v>
      </c>
      <c r="M1655" t="s">
        <v>31</v>
      </c>
      <c r="N1655" t="s">
        <v>37</v>
      </c>
      <c r="O1655" t="s">
        <v>106</v>
      </c>
      <c r="P1655">
        <v>90.882000000000005</v>
      </c>
      <c r="Q1655">
        <v>1</v>
      </c>
      <c r="R1655">
        <v>0.1</v>
      </c>
      <c r="S1655">
        <v>15.147</v>
      </c>
      <c r="T1655" t="s">
        <v>84</v>
      </c>
      <c r="U1655" t="s">
        <v>298</v>
      </c>
    </row>
    <row r="1656" spans="1:21" x14ac:dyDescent="0.25">
      <c r="A1656" t="s">
        <v>3855</v>
      </c>
      <c r="B1656" s="1">
        <v>42120</v>
      </c>
      <c r="C1656" s="1">
        <v>42125</v>
      </c>
      <c r="D1656" t="s">
        <v>40</v>
      </c>
      <c r="E1656" t="s">
        <v>1961</v>
      </c>
      <c r="F1656" t="s">
        <v>1962</v>
      </c>
      <c r="G1656" t="s">
        <v>91</v>
      </c>
      <c r="H1656" t="s">
        <v>26</v>
      </c>
      <c r="I1656" t="s">
        <v>640</v>
      </c>
      <c r="J1656" t="s">
        <v>54</v>
      </c>
      <c r="K1656" t="s">
        <v>55</v>
      </c>
      <c r="L1656" t="s">
        <v>2009</v>
      </c>
      <c r="M1656" t="s">
        <v>31</v>
      </c>
      <c r="N1656" t="s">
        <v>37</v>
      </c>
      <c r="O1656" t="s">
        <v>2010</v>
      </c>
      <c r="P1656">
        <v>63.936</v>
      </c>
      <c r="Q1656">
        <v>3</v>
      </c>
      <c r="R1656">
        <v>0.2</v>
      </c>
      <c r="S1656">
        <v>6.3936000000000002</v>
      </c>
      <c r="T1656" t="s">
        <v>59</v>
      </c>
      <c r="U1656" t="s">
        <v>114</v>
      </c>
    </row>
    <row r="1657" spans="1:21" x14ac:dyDescent="0.25">
      <c r="A1657" t="s">
        <v>3856</v>
      </c>
      <c r="B1657" s="1">
        <v>42107</v>
      </c>
      <c r="C1657" s="1">
        <v>42111</v>
      </c>
      <c r="D1657" t="s">
        <v>22</v>
      </c>
      <c r="E1657" t="s">
        <v>2964</v>
      </c>
      <c r="F1657" t="s">
        <v>2965</v>
      </c>
      <c r="G1657" t="s">
        <v>25</v>
      </c>
      <c r="H1657" t="s">
        <v>26</v>
      </c>
      <c r="I1657" t="s">
        <v>53</v>
      </c>
      <c r="J1657" t="s">
        <v>54</v>
      </c>
      <c r="K1657" t="s">
        <v>55</v>
      </c>
      <c r="L1657" t="s">
        <v>1285</v>
      </c>
      <c r="M1657" t="s">
        <v>31</v>
      </c>
      <c r="N1657" t="s">
        <v>46</v>
      </c>
      <c r="O1657" t="s">
        <v>1286</v>
      </c>
      <c r="P1657">
        <v>241.56800000000001</v>
      </c>
      <c r="Q1657">
        <v>2</v>
      </c>
      <c r="R1657">
        <v>0.2</v>
      </c>
      <c r="S1657">
        <v>-15.098000000000001</v>
      </c>
      <c r="T1657" t="s">
        <v>84</v>
      </c>
      <c r="U1657" t="s">
        <v>114</v>
      </c>
    </row>
    <row r="1658" spans="1:21" x14ac:dyDescent="0.25">
      <c r="A1658" t="s">
        <v>3857</v>
      </c>
      <c r="B1658" s="1">
        <v>42272</v>
      </c>
      <c r="C1658" s="1">
        <v>42277</v>
      </c>
      <c r="D1658" t="s">
        <v>40</v>
      </c>
      <c r="E1658" t="s">
        <v>2025</v>
      </c>
      <c r="F1658" t="s">
        <v>2026</v>
      </c>
      <c r="G1658" t="s">
        <v>91</v>
      </c>
      <c r="H1658" t="s">
        <v>26</v>
      </c>
      <c r="I1658" t="s">
        <v>192</v>
      </c>
      <c r="J1658" t="s">
        <v>193</v>
      </c>
      <c r="K1658" t="s">
        <v>55</v>
      </c>
      <c r="L1658" t="s">
        <v>1280</v>
      </c>
      <c r="M1658" t="s">
        <v>31</v>
      </c>
      <c r="N1658" t="s">
        <v>37</v>
      </c>
      <c r="O1658" t="s">
        <v>1281</v>
      </c>
      <c r="P1658">
        <v>307.13600000000002</v>
      </c>
      <c r="Q1658">
        <v>4</v>
      </c>
      <c r="R1658">
        <v>0.2</v>
      </c>
      <c r="S1658">
        <v>-11.5176</v>
      </c>
      <c r="T1658" t="s">
        <v>59</v>
      </c>
      <c r="U1658" t="s">
        <v>78</v>
      </c>
    </row>
    <row r="1659" spans="1:21" x14ac:dyDescent="0.25">
      <c r="A1659" t="s">
        <v>3858</v>
      </c>
      <c r="B1659" s="1">
        <v>41726</v>
      </c>
      <c r="C1659" s="1">
        <v>41731</v>
      </c>
      <c r="D1659" t="s">
        <v>40</v>
      </c>
      <c r="E1659" t="s">
        <v>3129</v>
      </c>
      <c r="F1659" t="s">
        <v>3130</v>
      </c>
      <c r="G1659" t="s">
        <v>25</v>
      </c>
      <c r="H1659" t="s">
        <v>26</v>
      </c>
      <c r="I1659" t="s">
        <v>801</v>
      </c>
      <c r="J1659" t="s">
        <v>802</v>
      </c>
      <c r="K1659" t="s">
        <v>94</v>
      </c>
      <c r="L1659" t="s">
        <v>1672</v>
      </c>
      <c r="M1659" t="s">
        <v>31</v>
      </c>
      <c r="N1659" t="s">
        <v>46</v>
      </c>
      <c r="O1659" t="s">
        <v>1673</v>
      </c>
      <c r="P1659">
        <v>1184.72</v>
      </c>
      <c r="Q1659">
        <v>4</v>
      </c>
      <c r="R1659">
        <v>0</v>
      </c>
      <c r="S1659">
        <v>106.62479999999999</v>
      </c>
      <c r="T1659" t="s">
        <v>59</v>
      </c>
      <c r="U1659" t="s">
        <v>196</v>
      </c>
    </row>
    <row r="1660" spans="1:21" x14ac:dyDescent="0.25">
      <c r="A1660" t="s">
        <v>3859</v>
      </c>
      <c r="B1660" s="1">
        <v>42937</v>
      </c>
      <c r="C1660" s="1">
        <v>42941</v>
      </c>
      <c r="D1660" t="s">
        <v>40</v>
      </c>
      <c r="E1660" t="s">
        <v>3860</v>
      </c>
      <c r="F1660" t="s">
        <v>3861</v>
      </c>
      <c r="G1660" t="s">
        <v>25</v>
      </c>
      <c r="H1660" t="s">
        <v>26</v>
      </c>
      <c r="I1660" t="s">
        <v>2244</v>
      </c>
      <c r="J1660" t="s">
        <v>93</v>
      </c>
      <c r="K1660" t="s">
        <v>94</v>
      </c>
      <c r="L1660" t="s">
        <v>1250</v>
      </c>
      <c r="M1660" t="s">
        <v>31</v>
      </c>
      <c r="N1660" t="s">
        <v>46</v>
      </c>
      <c r="O1660" t="s">
        <v>1251</v>
      </c>
      <c r="P1660">
        <v>124.404</v>
      </c>
      <c r="Q1660">
        <v>4</v>
      </c>
      <c r="R1660">
        <v>0.3</v>
      </c>
      <c r="S1660">
        <v>-21.3264</v>
      </c>
      <c r="T1660" t="s">
        <v>84</v>
      </c>
      <c r="U1660" t="s">
        <v>72</v>
      </c>
    </row>
    <row r="1661" spans="1:21" x14ac:dyDescent="0.25">
      <c r="A1661" t="s">
        <v>3862</v>
      </c>
      <c r="B1661" s="1">
        <v>42427</v>
      </c>
      <c r="C1661" s="1">
        <v>42431</v>
      </c>
      <c r="D1661" t="s">
        <v>40</v>
      </c>
      <c r="E1661" t="s">
        <v>3863</v>
      </c>
      <c r="F1661" t="s">
        <v>3864</v>
      </c>
      <c r="G1661" t="s">
        <v>25</v>
      </c>
      <c r="H1661" t="s">
        <v>26</v>
      </c>
      <c r="I1661" t="s">
        <v>102</v>
      </c>
      <c r="J1661" t="s">
        <v>93</v>
      </c>
      <c r="K1661" t="s">
        <v>94</v>
      </c>
      <c r="L1661" t="s">
        <v>2796</v>
      </c>
      <c r="M1661" t="s">
        <v>31</v>
      </c>
      <c r="N1661" t="s">
        <v>57</v>
      </c>
      <c r="O1661" t="s">
        <v>2797</v>
      </c>
      <c r="P1661">
        <v>16.192</v>
      </c>
      <c r="Q1661">
        <v>2</v>
      </c>
      <c r="R1661">
        <v>0.6</v>
      </c>
      <c r="S1661">
        <v>-6.8815999999999997</v>
      </c>
      <c r="T1661" t="s">
        <v>84</v>
      </c>
      <c r="U1661" t="s">
        <v>298</v>
      </c>
    </row>
    <row r="1662" spans="1:21" x14ac:dyDescent="0.25">
      <c r="A1662" t="s">
        <v>3865</v>
      </c>
      <c r="B1662" s="1">
        <v>42199</v>
      </c>
      <c r="C1662" s="1">
        <v>42204</v>
      </c>
      <c r="D1662" t="s">
        <v>22</v>
      </c>
      <c r="E1662" t="s">
        <v>3866</v>
      </c>
      <c r="F1662" t="s">
        <v>3867</v>
      </c>
      <c r="G1662" t="s">
        <v>25</v>
      </c>
      <c r="H1662" t="s">
        <v>26</v>
      </c>
      <c r="I1662" t="s">
        <v>915</v>
      </c>
      <c r="J1662" t="s">
        <v>521</v>
      </c>
      <c r="K1662" t="s">
        <v>55</v>
      </c>
      <c r="L1662" t="s">
        <v>247</v>
      </c>
      <c r="M1662" t="s">
        <v>31</v>
      </c>
      <c r="N1662" t="s">
        <v>37</v>
      </c>
      <c r="O1662" t="s">
        <v>248</v>
      </c>
      <c r="P1662">
        <v>441.92</v>
      </c>
      <c r="Q1662">
        <v>2</v>
      </c>
      <c r="R1662">
        <v>0.2</v>
      </c>
      <c r="S1662">
        <v>49.716000000000001</v>
      </c>
      <c r="T1662" t="s">
        <v>59</v>
      </c>
      <c r="U1662" t="s">
        <v>72</v>
      </c>
    </row>
    <row r="1663" spans="1:21" x14ac:dyDescent="0.25">
      <c r="A1663" t="s">
        <v>3865</v>
      </c>
      <c r="B1663" s="1">
        <v>42199</v>
      </c>
      <c r="C1663" s="1">
        <v>42204</v>
      </c>
      <c r="D1663" t="s">
        <v>22</v>
      </c>
      <c r="E1663" t="s">
        <v>3866</v>
      </c>
      <c r="F1663" t="s">
        <v>3867</v>
      </c>
      <c r="G1663" t="s">
        <v>25</v>
      </c>
      <c r="H1663" t="s">
        <v>26</v>
      </c>
      <c r="I1663" t="s">
        <v>915</v>
      </c>
      <c r="J1663" t="s">
        <v>521</v>
      </c>
      <c r="K1663" t="s">
        <v>55</v>
      </c>
      <c r="L1663" t="s">
        <v>2480</v>
      </c>
      <c r="M1663" t="s">
        <v>31</v>
      </c>
      <c r="N1663" t="s">
        <v>32</v>
      </c>
      <c r="O1663" t="s">
        <v>2481</v>
      </c>
      <c r="P1663">
        <v>127.764</v>
      </c>
      <c r="Q1663">
        <v>6</v>
      </c>
      <c r="R1663">
        <v>0.7</v>
      </c>
      <c r="S1663">
        <v>-191.64599999999999</v>
      </c>
      <c r="T1663" t="s">
        <v>59</v>
      </c>
      <c r="U1663" t="s">
        <v>72</v>
      </c>
    </row>
    <row r="1664" spans="1:21" x14ac:dyDescent="0.25">
      <c r="A1664" t="s">
        <v>3868</v>
      </c>
      <c r="B1664" s="1">
        <v>42646</v>
      </c>
      <c r="C1664" s="1">
        <v>42650</v>
      </c>
      <c r="D1664" t="s">
        <v>40</v>
      </c>
      <c r="E1664" t="s">
        <v>2302</v>
      </c>
      <c r="F1664" t="s">
        <v>2303</v>
      </c>
      <c r="G1664" t="s">
        <v>101</v>
      </c>
      <c r="H1664" t="s">
        <v>26</v>
      </c>
      <c r="I1664" t="s">
        <v>3266</v>
      </c>
      <c r="J1664" t="s">
        <v>54</v>
      </c>
      <c r="K1664" t="s">
        <v>55</v>
      </c>
      <c r="L1664" t="s">
        <v>207</v>
      </c>
      <c r="M1664" t="s">
        <v>31</v>
      </c>
      <c r="N1664" t="s">
        <v>37</v>
      </c>
      <c r="O1664" t="s">
        <v>208</v>
      </c>
      <c r="P1664">
        <v>915.13599999999997</v>
      </c>
      <c r="Q1664">
        <v>4</v>
      </c>
      <c r="R1664">
        <v>0.2</v>
      </c>
      <c r="S1664">
        <v>102.9528</v>
      </c>
      <c r="T1664" t="s">
        <v>84</v>
      </c>
      <c r="U1664" t="s">
        <v>49</v>
      </c>
    </row>
    <row r="1665" spans="1:21" x14ac:dyDescent="0.25">
      <c r="A1665" t="s">
        <v>3869</v>
      </c>
      <c r="B1665" s="1">
        <v>42703</v>
      </c>
      <c r="C1665" s="1">
        <v>42708</v>
      </c>
      <c r="D1665" t="s">
        <v>22</v>
      </c>
      <c r="E1665" t="s">
        <v>2114</v>
      </c>
      <c r="F1665" t="s">
        <v>2115</v>
      </c>
      <c r="G1665" t="s">
        <v>101</v>
      </c>
      <c r="H1665" t="s">
        <v>26</v>
      </c>
      <c r="I1665" t="s">
        <v>180</v>
      </c>
      <c r="J1665" t="s">
        <v>135</v>
      </c>
      <c r="K1665" t="s">
        <v>94</v>
      </c>
      <c r="L1665" t="s">
        <v>3677</v>
      </c>
      <c r="M1665" t="s">
        <v>31</v>
      </c>
      <c r="N1665" t="s">
        <v>57</v>
      </c>
      <c r="O1665" t="s">
        <v>3678</v>
      </c>
      <c r="P1665">
        <v>242.17599999999999</v>
      </c>
      <c r="Q1665">
        <v>4</v>
      </c>
      <c r="R1665">
        <v>0.6</v>
      </c>
      <c r="S1665">
        <v>-302.72000000000003</v>
      </c>
      <c r="T1665" t="s">
        <v>59</v>
      </c>
      <c r="U1665" t="s">
        <v>35</v>
      </c>
    </row>
    <row r="1666" spans="1:21" x14ac:dyDescent="0.25">
      <c r="A1666" t="s">
        <v>3870</v>
      </c>
      <c r="B1666" s="1">
        <v>42535</v>
      </c>
      <c r="C1666" s="1">
        <v>42542</v>
      </c>
      <c r="D1666" t="s">
        <v>40</v>
      </c>
      <c r="E1666" t="s">
        <v>3871</v>
      </c>
      <c r="F1666" t="s">
        <v>3872</v>
      </c>
      <c r="G1666" t="s">
        <v>91</v>
      </c>
      <c r="H1666" t="s">
        <v>26</v>
      </c>
      <c r="I1666" t="s">
        <v>66</v>
      </c>
      <c r="J1666" t="s">
        <v>67</v>
      </c>
      <c r="K1666" t="s">
        <v>68</v>
      </c>
      <c r="L1666" t="s">
        <v>2820</v>
      </c>
      <c r="M1666" t="s">
        <v>31</v>
      </c>
      <c r="N1666" t="s">
        <v>46</v>
      </c>
      <c r="O1666" t="s">
        <v>2821</v>
      </c>
      <c r="P1666">
        <v>337.17599999999999</v>
      </c>
      <c r="Q1666">
        <v>2</v>
      </c>
      <c r="R1666">
        <v>0.4</v>
      </c>
      <c r="S1666">
        <v>-118.0116</v>
      </c>
      <c r="T1666" t="s">
        <v>48</v>
      </c>
      <c r="U1666" t="s">
        <v>60</v>
      </c>
    </row>
    <row r="1667" spans="1:21" x14ac:dyDescent="0.25">
      <c r="A1667" t="s">
        <v>3873</v>
      </c>
      <c r="B1667" s="1">
        <v>43072</v>
      </c>
      <c r="C1667" s="1">
        <v>43075</v>
      </c>
      <c r="D1667" t="s">
        <v>22</v>
      </c>
      <c r="E1667" t="s">
        <v>178</v>
      </c>
      <c r="F1667" t="s">
        <v>179</v>
      </c>
      <c r="G1667" t="s">
        <v>25</v>
      </c>
      <c r="H1667" t="s">
        <v>26</v>
      </c>
      <c r="I1667" t="s">
        <v>3874</v>
      </c>
      <c r="J1667" t="s">
        <v>181</v>
      </c>
      <c r="K1667" t="s">
        <v>55</v>
      </c>
      <c r="L1667" t="s">
        <v>316</v>
      </c>
      <c r="M1667" t="s">
        <v>31</v>
      </c>
      <c r="N1667" t="s">
        <v>57</v>
      </c>
      <c r="O1667" t="s">
        <v>317</v>
      </c>
      <c r="P1667">
        <v>23.376000000000001</v>
      </c>
      <c r="Q1667">
        <v>3</v>
      </c>
      <c r="R1667">
        <v>0.2</v>
      </c>
      <c r="S1667">
        <v>7.0128000000000004</v>
      </c>
      <c r="T1667" t="s">
        <v>34</v>
      </c>
      <c r="U1667" t="s">
        <v>97</v>
      </c>
    </row>
    <row r="1668" spans="1:21" x14ac:dyDescent="0.25">
      <c r="A1668" t="s">
        <v>3873</v>
      </c>
      <c r="B1668" s="1">
        <v>43072</v>
      </c>
      <c r="C1668" s="1">
        <v>43075</v>
      </c>
      <c r="D1668" t="s">
        <v>22</v>
      </c>
      <c r="E1668" t="s">
        <v>178</v>
      </c>
      <c r="F1668" t="s">
        <v>179</v>
      </c>
      <c r="G1668" t="s">
        <v>25</v>
      </c>
      <c r="H1668" t="s">
        <v>26</v>
      </c>
      <c r="I1668" t="s">
        <v>3874</v>
      </c>
      <c r="J1668" t="s">
        <v>181</v>
      </c>
      <c r="K1668" t="s">
        <v>55</v>
      </c>
      <c r="L1668" t="s">
        <v>1312</v>
      </c>
      <c r="M1668" t="s">
        <v>31</v>
      </c>
      <c r="N1668" t="s">
        <v>57</v>
      </c>
      <c r="O1668" t="s">
        <v>1313</v>
      </c>
      <c r="P1668">
        <v>16.72</v>
      </c>
      <c r="Q1668">
        <v>5</v>
      </c>
      <c r="R1668">
        <v>0.2</v>
      </c>
      <c r="S1668">
        <v>3.3439999999999999</v>
      </c>
      <c r="T1668" t="s">
        <v>34</v>
      </c>
      <c r="U1668" t="s">
        <v>97</v>
      </c>
    </row>
    <row r="1669" spans="1:21" x14ac:dyDescent="0.25">
      <c r="A1669" t="s">
        <v>3873</v>
      </c>
      <c r="B1669" s="1">
        <v>43072</v>
      </c>
      <c r="C1669" s="1">
        <v>43075</v>
      </c>
      <c r="D1669" t="s">
        <v>22</v>
      </c>
      <c r="E1669" t="s">
        <v>178</v>
      </c>
      <c r="F1669" t="s">
        <v>179</v>
      </c>
      <c r="G1669" t="s">
        <v>25</v>
      </c>
      <c r="H1669" t="s">
        <v>26</v>
      </c>
      <c r="I1669" t="s">
        <v>3874</v>
      </c>
      <c r="J1669" t="s">
        <v>181</v>
      </c>
      <c r="K1669" t="s">
        <v>55</v>
      </c>
      <c r="L1669" t="s">
        <v>2796</v>
      </c>
      <c r="M1669" t="s">
        <v>31</v>
      </c>
      <c r="N1669" t="s">
        <v>57</v>
      </c>
      <c r="O1669" t="s">
        <v>2797</v>
      </c>
      <c r="P1669">
        <v>16.192</v>
      </c>
      <c r="Q1669">
        <v>1</v>
      </c>
      <c r="R1669">
        <v>0.2</v>
      </c>
      <c r="S1669">
        <v>4.6551999999999998</v>
      </c>
      <c r="T1669" t="s">
        <v>34</v>
      </c>
      <c r="U1669" t="s">
        <v>97</v>
      </c>
    </row>
    <row r="1670" spans="1:21" x14ac:dyDescent="0.25">
      <c r="A1670" t="s">
        <v>3875</v>
      </c>
      <c r="B1670" s="1">
        <v>42729</v>
      </c>
      <c r="C1670" s="1">
        <v>42733</v>
      </c>
      <c r="D1670" t="s">
        <v>40</v>
      </c>
      <c r="E1670" t="s">
        <v>3876</v>
      </c>
      <c r="F1670" t="s">
        <v>3877</v>
      </c>
      <c r="G1670" t="s">
        <v>25</v>
      </c>
      <c r="H1670" t="s">
        <v>26</v>
      </c>
      <c r="I1670" t="s">
        <v>1912</v>
      </c>
      <c r="J1670" t="s">
        <v>1059</v>
      </c>
      <c r="K1670" t="s">
        <v>29</v>
      </c>
      <c r="L1670" t="s">
        <v>706</v>
      </c>
      <c r="M1670" t="s">
        <v>31</v>
      </c>
      <c r="N1670" t="s">
        <v>57</v>
      </c>
      <c r="O1670" t="s">
        <v>707</v>
      </c>
      <c r="P1670">
        <v>343.85</v>
      </c>
      <c r="Q1670">
        <v>5</v>
      </c>
      <c r="R1670">
        <v>0</v>
      </c>
      <c r="S1670">
        <v>137.54</v>
      </c>
      <c r="T1670" t="s">
        <v>84</v>
      </c>
      <c r="U1670" t="s">
        <v>97</v>
      </c>
    </row>
    <row r="1671" spans="1:21" x14ac:dyDescent="0.25">
      <c r="A1671" t="s">
        <v>3878</v>
      </c>
      <c r="B1671" s="1">
        <v>42960</v>
      </c>
      <c r="C1671" s="1">
        <v>42965</v>
      </c>
      <c r="D1671" t="s">
        <v>40</v>
      </c>
      <c r="E1671" t="s">
        <v>3879</v>
      </c>
      <c r="F1671" t="s">
        <v>3880</v>
      </c>
      <c r="G1671" t="s">
        <v>25</v>
      </c>
      <c r="H1671" t="s">
        <v>26</v>
      </c>
      <c r="I1671" t="s">
        <v>141</v>
      </c>
      <c r="J1671" t="s">
        <v>142</v>
      </c>
      <c r="K1671" t="s">
        <v>29</v>
      </c>
      <c r="L1671" t="s">
        <v>1124</v>
      </c>
      <c r="M1671" t="s">
        <v>31</v>
      </c>
      <c r="N1671" t="s">
        <v>57</v>
      </c>
      <c r="O1671" t="s">
        <v>1125</v>
      </c>
      <c r="P1671">
        <v>31.984000000000002</v>
      </c>
      <c r="Q1671">
        <v>1</v>
      </c>
      <c r="R1671">
        <v>0.2</v>
      </c>
      <c r="S1671">
        <v>0</v>
      </c>
      <c r="T1671" t="s">
        <v>59</v>
      </c>
      <c r="U1671" t="s">
        <v>254</v>
      </c>
    </row>
    <row r="1672" spans="1:21" x14ac:dyDescent="0.25">
      <c r="A1672" t="s">
        <v>3878</v>
      </c>
      <c r="B1672" s="1">
        <v>42960</v>
      </c>
      <c r="C1672" s="1">
        <v>42965</v>
      </c>
      <c r="D1672" t="s">
        <v>40</v>
      </c>
      <c r="E1672" t="s">
        <v>3879</v>
      </c>
      <c r="F1672" t="s">
        <v>3880</v>
      </c>
      <c r="G1672" t="s">
        <v>25</v>
      </c>
      <c r="H1672" t="s">
        <v>26</v>
      </c>
      <c r="I1672" t="s">
        <v>141</v>
      </c>
      <c r="J1672" t="s">
        <v>142</v>
      </c>
      <c r="K1672" t="s">
        <v>29</v>
      </c>
      <c r="L1672" t="s">
        <v>3592</v>
      </c>
      <c r="M1672" t="s">
        <v>31</v>
      </c>
      <c r="N1672" t="s">
        <v>37</v>
      </c>
      <c r="O1672" t="s">
        <v>3593</v>
      </c>
      <c r="P1672">
        <v>423.64800000000002</v>
      </c>
      <c r="Q1672">
        <v>2</v>
      </c>
      <c r="R1672">
        <v>0.2</v>
      </c>
      <c r="S1672">
        <v>47.660400000000003</v>
      </c>
      <c r="T1672" t="s">
        <v>59</v>
      </c>
      <c r="U1672" t="s">
        <v>254</v>
      </c>
    </row>
    <row r="1673" spans="1:21" x14ac:dyDescent="0.25">
      <c r="A1673" t="s">
        <v>3881</v>
      </c>
      <c r="B1673" s="1">
        <v>42707</v>
      </c>
      <c r="C1673" s="1">
        <v>42711</v>
      </c>
      <c r="D1673" t="s">
        <v>40</v>
      </c>
      <c r="E1673" t="s">
        <v>2854</v>
      </c>
      <c r="F1673" t="s">
        <v>2855</v>
      </c>
      <c r="G1673" t="s">
        <v>25</v>
      </c>
      <c r="H1673" t="s">
        <v>26</v>
      </c>
      <c r="I1673" t="s">
        <v>3882</v>
      </c>
      <c r="J1673" t="s">
        <v>54</v>
      </c>
      <c r="K1673" t="s">
        <v>55</v>
      </c>
      <c r="L1673" t="s">
        <v>1041</v>
      </c>
      <c r="M1673" t="s">
        <v>31</v>
      </c>
      <c r="N1673" t="s">
        <v>46</v>
      </c>
      <c r="O1673" t="s">
        <v>1042</v>
      </c>
      <c r="P1673">
        <v>268.70400000000001</v>
      </c>
      <c r="Q1673">
        <v>3</v>
      </c>
      <c r="R1673">
        <v>0.2</v>
      </c>
      <c r="S1673">
        <v>6.7176</v>
      </c>
      <c r="T1673" t="s">
        <v>84</v>
      </c>
      <c r="U1673" t="s">
        <v>97</v>
      </c>
    </row>
    <row r="1674" spans="1:21" x14ac:dyDescent="0.25">
      <c r="A1674" t="s">
        <v>3881</v>
      </c>
      <c r="B1674" s="1">
        <v>42707</v>
      </c>
      <c r="C1674" s="1">
        <v>42711</v>
      </c>
      <c r="D1674" t="s">
        <v>40</v>
      </c>
      <c r="E1674" t="s">
        <v>2854</v>
      </c>
      <c r="F1674" t="s">
        <v>2855</v>
      </c>
      <c r="G1674" t="s">
        <v>25</v>
      </c>
      <c r="H1674" t="s">
        <v>26</v>
      </c>
      <c r="I1674" t="s">
        <v>3882</v>
      </c>
      <c r="J1674" t="s">
        <v>54</v>
      </c>
      <c r="K1674" t="s">
        <v>55</v>
      </c>
      <c r="L1674" t="s">
        <v>543</v>
      </c>
      <c r="M1674" t="s">
        <v>31</v>
      </c>
      <c r="N1674" t="s">
        <v>32</v>
      </c>
      <c r="O1674" t="s">
        <v>544</v>
      </c>
      <c r="P1674">
        <v>205.666</v>
      </c>
      <c r="Q1674">
        <v>2</v>
      </c>
      <c r="R1674">
        <v>0.15</v>
      </c>
      <c r="S1674">
        <v>-12.098000000000001</v>
      </c>
      <c r="T1674" t="s">
        <v>84</v>
      </c>
      <c r="U1674" t="s">
        <v>97</v>
      </c>
    </row>
    <row r="1675" spans="1:21" x14ac:dyDescent="0.25">
      <c r="A1675" t="s">
        <v>3883</v>
      </c>
      <c r="B1675" s="1">
        <v>42488</v>
      </c>
      <c r="C1675" s="1">
        <v>42490</v>
      </c>
      <c r="D1675" t="s">
        <v>22</v>
      </c>
      <c r="E1675" t="s">
        <v>3790</v>
      </c>
      <c r="F1675" t="s">
        <v>3791</v>
      </c>
      <c r="G1675" t="s">
        <v>25</v>
      </c>
      <c r="H1675" t="s">
        <v>26</v>
      </c>
      <c r="I1675" t="s">
        <v>3658</v>
      </c>
      <c r="J1675" t="s">
        <v>135</v>
      </c>
      <c r="K1675" t="s">
        <v>94</v>
      </c>
      <c r="L1675" t="s">
        <v>968</v>
      </c>
      <c r="M1675" t="s">
        <v>31</v>
      </c>
      <c r="N1675" t="s">
        <v>57</v>
      </c>
      <c r="O1675" t="s">
        <v>969</v>
      </c>
      <c r="P1675">
        <v>30.344000000000001</v>
      </c>
      <c r="Q1675">
        <v>2</v>
      </c>
      <c r="R1675">
        <v>0.6</v>
      </c>
      <c r="S1675">
        <v>-31.8612</v>
      </c>
      <c r="T1675" t="s">
        <v>71</v>
      </c>
      <c r="U1675" t="s">
        <v>114</v>
      </c>
    </row>
    <row r="1676" spans="1:21" x14ac:dyDescent="0.25">
      <c r="A1676" t="s">
        <v>3884</v>
      </c>
      <c r="B1676" s="1">
        <v>42328</v>
      </c>
      <c r="C1676" s="1">
        <v>42332</v>
      </c>
      <c r="D1676" t="s">
        <v>40</v>
      </c>
      <c r="E1676" t="s">
        <v>3885</v>
      </c>
      <c r="F1676" t="s">
        <v>3886</v>
      </c>
      <c r="G1676" t="s">
        <v>101</v>
      </c>
      <c r="H1676" t="s">
        <v>26</v>
      </c>
      <c r="I1676" t="s">
        <v>66</v>
      </c>
      <c r="J1676" t="s">
        <v>67</v>
      </c>
      <c r="K1676" t="s">
        <v>68</v>
      </c>
      <c r="L1676" t="s">
        <v>1029</v>
      </c>
      <c r="M1676" t="s">
        <v>31</v>
      </c>
      <c r="N1676" t="s">
        <v>37</v>
      </c>
      <c r="O1676" t="s">
        <v>1030</v>
      </c>
      <c r="P1676">
        <v>344.37200000000001</v>
      </c>
      <c r="Q1676">
        <v>4</v>
      </c>
      <c r="R1676">
        <v>0.3</v>
      </c>
      <c r="S1676">
        <v>-93.472399999999993</v>
      </c>
      <c r="T1676" t="s">
        <v>84</v>
      </c>
      <c r="U1676" t="s">
        <v>35</v>
      </c>
    </row>
    <row r="1677" spans="1:21" x14ac:dyDescent="0.25">
      <c r="A1677" t="s">
        <v>3887</v>
      </c>
      <c r="B1677" s="1">
        <v>43059</v>
      </c>
      <c r="C1677" s="1">
        <v>43063</v>
      </c>
      <c r="D1677" t="s">
        <v>22</v>
      </c>
      <c r="E1677" t="s">
        <v>1530</v>
      </c>
      <c r="F1677" t="s">
        <v>1531</v>
      </c>
      <c r="G1677" t="s">
        <v>91</v>
      </c>
      <c r="H1677" t="s">
        <v>26</v>
      </c>
      <c r="I1677" t="s">
        <v>174</v>
      </c>
      <c r="J1677" t="s">
        <v>121</v>
      </c>
      <c r="K1677" t="s">
        <v>68</v>
      </c>
      <c r="L1677" t="s">
        <v>3546</v>
      </c>
      <c r="M1677" t="s">
        <v>31</v>
      </c>
      <c r="N1677" t="s">
        <v>57</v>
      </c>
      <c r="O1677" t="s">
        <v>3547</v>
      </c>
      <c r="P1677">
        <v>50.97</v>
      </c>
      <c r="Q1677">
        <v>3</v>
      </c>
      <c r="R1677">
        <v>0</v>
      </c>
      <c r="S1677">
        <v>9.1745999999999999</v>
      </c>
      <c r="T1677" t="s">
        <v>84</v>
      </c>
      <c r="U1677" t="s">
        <v>35</v>
      </c>
    </row>
    <row r="1678" spans="1:21" x14ac:dyDescent="0.25">
      <c r="A1678" t="s">
        <v>3888</v>
      </c>
      <c r="B1678" s="1">
        <v>42941</v>
      </c>
      <c r="C1678" s="1">
        <v>42943</v>
      </c>
      <c r="D1678" t="s">
        <v>88</v>
      </c>
      <c r="E1678" t="s">
        <v>3889</v>
      </c>
      <c r="F1678" t="s">
        <v>3890</v>
      </c>
      <c r="G1678" t="s">
        <v>101</v>
      </c>
      <c r="H1678" t="s">
        <v>26</v>
      </c>
      <c r="I1678" t="s">
        <v>1740</v>
      </c>
      <c r="J1678" t="s">
        <v>93</v>
      </c>
      <c r="K1678" t="s">
        <v>94</v>
      </c>
      <c r="L1678" t="s">
        <v>1568</v>
      </c>
      <c r="M1678" t="s">
        <v>31</v>
      </c>
      <c r="N1678" t="s">
        <v>46</v>
      </c>
      <c r="O1678" t="s">
        <v>1569</v>
      </c>
      <c r="P1678">
        <v>298.11599999999999</v>
      </c>
      <c r="Q1678">
        <v>6</v>
      </c>
      <c r="R1678">
        <v>0.3</v>
      </c>
      <c r="S1678">
        <v>-4.2587999999999999</v>
      </c>
      <c r="T1678" t="s">
        <v>71</v>
      </c>
      <c r="U1678" t="s">
        <v>72</v>
      </c>
    </row>
    <row r="1679" spans="1:21" x14ac:dyDescent="0.25">
      <c r="A1679" t="s">
        <v>3891</v>
      </c>
      <c r="B1679" s="1">
        <v>42566</v>
      </c>
      <c r="C1679" s="1">
        <v>42571</v>
      </c>
      <c r="D1679" t="s">
        <v>40</v>
      </c>
      <c r="E1679" t="s">
        <v>2413</v>
      </c>
      <c r="F1679" t="s">
        <v>2414</v>
      </c>
      <c r="G1679" t="s">
        <v>91</v>
      </c>
      <c r="H1679" t="s">
        <v>26</v>
      </c>
      <c r="I1679" t="s">
        <v>3399</v>
      </c>
      <c r="J1679" t="s">
        <v>1518</v>
      </c>
      <c r="K1679" t="s">
        <v>55</v>
      </c>
      <c r="L1679" t="s">
        <v>467</v>
      </c>
      <c r="M1679" t="s">
        <v>31</v>
      </c>
      <c r="N1679" t="s">
        <v>37</v>
      </c>
      <c r="O1679" t="s">
        <v>468</v>
      </c>
      <c r="P1679">
        <v>230.28</v>
      </c>
      <c r="Q1679">
        <v>3</v>
      </c>
      <c r="R1679">
        <v>0.2</v>
      </c>
      <c r="S1679">
        <v>23.027999999999999</v>
      </c>
      <c r="T1679" t="s">
        <v>59</v>
      </c>
      <c r="U1679" t="s">
        <v>72</v>
      </c>
    </row>
    <row r="1680" spans="1:21" x14ac:dyDescent="0.25">
      <c r="A1680" t="s">
        <v>3892</v>
      </c>
      <c r="B1680" s="1">
        <v>42718</v>
      </c>
      <c r="C1680" s="1">
        <v>42721</v>
      </c>
      <c r="D1680" t="s">
        <v>88</v>
      </c>
      <c r="E1680" t="s">
        <v>287</v>
      </c>
      <c r="F1680" t="s">
        <v>288</v>
      </c>
      <c r="G1680" t="s">
        <v>91</v>
      </c>
      <c r="H1680" t="s">
        <v>26</v>
      </c>
      <c r="I1680" t="s">
        <v>640</v>
      </c>
      <c r="J1680" t="s">
        <v>54</v>
      </c>
      <c r="K1680" t="s">
        <v>55</v>
      </c>
      <c r="L1680" t="s">
        <v>136</v>
      </c>
      <c r="M1680" t="s">
        <v>31</v>
      </c>
      <c r="N1680" t="s">
        <v>37</v>
      </c>
      <c r="O1680" t="s">
        <v>218</v>
      </c>
      <c r="P1680">
        <v>81.424000000000007</v>
      </c>
      <c r="Q1680">
        <v>2</v>
      </c>
      <c r="R1680">
        <v>0.2</v>
      </c>
      <c r="S1680">
        <v>-9.1601999999999997</v>
      </c>
      <c r="T1680" t="s">
        <v>34</v>
      </c>
      <c r="U1680" t="s">
        <v>97</v>
      </c>
    </row>
    <row r="1681" spans="1:21" x14ac:dyDescent="0.25">
      <c r="A1681" t="s">
        <v>3893</v>
      </c>
      <c r="B1681" s="1">
        <v>41699</v>
      </c>
      <c r="C1681" s="1">
        <v>41703</v>
      </c>
      <c r="D1681" t="s">
        <v>40</v>
      </c>
      <c r="E1681" t="s">
        <v>2137</v>
      </c>
      <c r="F1681" t="s">
        <v>2138</v>
      </c>
      <c r="G1681" t="s">
        <v>25</v>
      </c>
      <c r="H1681" t="s">
        <v>26</v>
      </c>
      <c r="I1681" t="s">
        <v>1375</v>
      </c>
      <c r="J1681" t="s">
        <v>93</v>
      </c>
      <c r="K1681" t="s">
        <v>94</v>
      </c>
      <c r="L1681" t="s">
        <v>1091</v>
      </c>
      <c r="M1681" t="s">
        <v>31</v>
      </c>
      <c r="N1681" t="s">
        <v>37</v>
      </c>
      <c r="O1681" t="s">
        <v>1092</v>
      </c>
      <c r="P1681">
        <v>362.25</v>
      </c>
      <c r="Q1681">
        <v>6</v>
      </c>
      <c r="R1681">
        <v>0.3</v>
      </c>
      <c r="S1681">
        <v>0</v>
      </c>
      <c r="T1681" t="s">
        <v>84</v>
      </c>
      <c r="U1681" t="s">
        <v>196</v>
      </c>
    </row>
    <row r="1682" spans="1:21" x14ac:dyDescent="0.25">
      <c r="A1682" t="s">
        <v>3893</v>
      </c>
      <c r="B1682" s="1">
        <v>41699</v>
      </c>
      <c r="C1682" s="1">
        <v>41703</v>
      </c>
      <c r="D1682" t="s">
        <v>40</v>
      </c>
      <c r="E1682" t="s">
        <v>2137</v>
      </c>
      <c r="F1682" t="s">
        <v>2138</v>
      </c>
      <c r="G1682" t="s">
        <v>25</v>
      </c>
      <c r="H1682" t="s">
        <v>26</v>
      </c>
      <c r="I1682" t="s">
        <v>1375</v>
      </c>
      <c r="J1682" t="s">
        <v>93</v>
      </c>
      <c r="K1682" t="s">
        <v>94</v>
      </c>
      <c r="L1682" t="s">
        <v>944</v>
      </c>
      <c r="M1682" t="s">
        <v>31</v>
      </c>
      <c r="N1682" t="s">
        <v>57</v>
      </c>
      <c r="O1682" t="s">
        <v>945</v>
      </c>
      <c r="P1682">
        <v>63.552</v>
      </c>
      <c r="Q1682">
        <v>6</v>
      </c>
      <c r="R1682">
        <v>0.6</v>
      </c>
      <c r="S1682">
        <v>-34.953600000000002</v>
      </c>
      <c r="T1682" t="s">
        <v>84</v>
      </c>
      <c r="U1682" t="s">
        <v>196</v>
      </c>
    </row>
    <row r="1683" spans="1:21" x14ac:dyDescent="0.25">
      <c r="A1683" t="s">
        <v>3894</v>
      </c>
      <c r="B1683" s="1">
        <v>43013</v>
      </c>
      <c r="C1683" s="1">
        <v>43018</v>
      </c>
      <c r="D1683" t="s">
        <v>40</v>
      </c>
      <c r="E1683" t="s">
        <v>1668</v>
      </c>
      <c r="F1683" t="s">
        <v>1669</v>
      </c>
      <c r="G1683" t="s">
        <v>91</v>
      </c>
      <c r="H1683" t="s">
        <v>26</v>
      </c>
      <c r="I1683" t="s">
        <v>3432</v>
      </c>
      <c r="J1683" t="s">
        <v>54</v>
      </c>
      <c r="K1683" t="s">
        <v>55</v>
      </c>
      <c r="L1683" t="s">
        <v>1919</v>
      </c>
      <c r="M1683" t="s">
        <v>31</v>
      </c>
      <c r="N1683" t="s">
        <v>37</v>
      </c>
      <c r="O1683" t="s">
        <v>1920</v>
      </c>
      <c r="P1683">
        <v>435.16800000000001</v>
      </c>
      <c r="Q1683">
        <v>4</v>
      </c>
      <c r="R1683">
        <v>0.2</v>
      </c>
      <c r="S1683">
        <v>-59.835599999999999</v>
      </c>
      <c r="T1683" t="s">
        <v>59</v>
      </c>
      <c r="U1683" t="s">
        <v>49</v>
      </c>
    </row>
    <row r="1684" spans="1:21" x14ac:dyDescent="0.25">
      <c r="A1684" t="s">
        <v>3894</v>
      </c>
      <c r="B1684" s="1">
        <v>43013</v>
      </c>
      <c r="C1684" s="1">
        <v>43018</v>
      </c>
      <c r="D1684" t="s">
        <v>40</v>
      </c>
      <c r="E1684" t="s">
        <v>1668</v>
      </c>
      <c r="F1684" t="s">
        <v>1669</v>
      </c>
      <c r="G1684" t="s">
        <v>91</v>
      </c>
      <c r="H1684" t="s">
        <v>26</v>
      </c>
      <c r="I1684" t="s">
        <v>3432</v>
      </c>
      <c r="J1684" t="s">
        <v>54</v>
      </c>
      <c r="K1684" t="s">
        <v>55</v>
      </c>
      <c r="L1684" t="s">
        <v>2262</v>
      </c>
      <c r="M1684" t="s">
        <v>31</v>
      </c>
      <c r="N1684" t="s">
        <v>57</v>
      </c>
      <c r="O1684" t="s">
        <v>2263</v>
      </c>
      <c r="P1684">
        <v>72.900000000000006</v>
      </c>
      <c r="Q1684">
        <v>5</v>
      </c>
      <c r="R1684">
        <v>0</v>
      </c>
      <c r="S1684">
        <v>26.972999999999999</v>
      </c>
      <c r="T1684" t="s">
        <v>59</v>
      </c>
      <c r="U1684" t="s">
        <v>49</v>
      </c>
    </row>
    <row r="1685" spans="1:21" x14ac:dyDescent="0.25">
      <c r="A1685" t="s">
        <v>3894</v>
      </c>
      <c r="B1685" s="1">
        <v>43013</v>
      </c>
      <c r="C1685" s="1">
        <v>43018</v>
      </c>
      <c r="D1685" t="s">
        <v>40</v>
      </c>
      <c r="E1685" t="s">
        <v>1668</v>
      </c>
      <c r="F1685" t="s">
        <v>1669</v>
      </c>
      <c r="G1685" t="s">
        <v>91</v>
      </c>
      <c r="H1685" t="s">
        <v>26</v>
      </c>
      <c r="I1685" t="s">
        <v>3432</v>
      </c>
      <c r="J1685" t="s">
        <v>54</v>
      </c>
      <c r="K1685" t="s">
        <v>55</v>
      </c>
      <c r="L1685" t="s">
        <v>1063</v>
      </c>
      <c r="M1685" t="s">
        <v>31</v>
      </c>
      <c r="N1685" t="s">
        <v>46</v>
      </c>
      <c r="O1685" t="s">
        <v>1064</v>
      </c>
      <c r="P1685">
        <v>206.352</v>
      </c>
      <c r="Q1685">
        <v>3</v>
      </c>
      <c r="R1685">
        <v>0.2</v>
      </c>
      <c r="S1685">
        <v>5.1588000000000003</v>
      </c>
      <c r="T1685" t="s">
        <v>59</v>
      </c>
      <c r="U1685" t="s">
        <v>49</v>
      </c>
    </row>
    <row r="1686" spans="1:21" x14ac:dyDescent="0.25">
      <c r="A1686" t="s">
        <v>3895</v>
      </c>
      <c r="B1686" s="1">
        <v>42653</v>
      </c>
      <c r="C1686" s="1">
        <v>42655</v>
      </c>
      <c r="D1686" t="s">
        <v>88</v>
      </c>
      <c r="E1686" t="s">
        <v>2465</v>
      </c>
      <c r="F1686" t="s">
        <v>2466</v>
      </c>
      <c r="G1686" t="s">
        <v>91</v>
      </c>
      <c r="H1686" t="s">
        <v>26</v>
      </c>
      <c r="I1686" t="s">
        <v>266</v>
      </c>
      <c r="J1686" t="s">
        <v>181</v>
      </c>
      <c r="K1686" t="s">
        <v>55</v>
      </c>
      <c r="L1686" t="s">
        <v>3896</v>
      </c>
      <c r="M1686" t="s">
        <v>31</v>
      </c>
      <c r="N1686" t="s">
        <v>32</v>
      </c>
      <c r="O1686" t="s">
        <v>3897</v>
      </c>
      <c r="P1686">
        <v>90.882000000000005</v>
      </c>
      <c r="Q1686">
        <v>3</v>
      </c>
      <c r="R1686">
        <v>0.7</v>
      </c>
      <c r="S1686">
        <v>-190.85220000000001</v>
      </c>
      <c r="T1686" t="s">
        <v>71</v>
      </c>
      <c r="U1686" t="s">
        <v>49</v>
      </c>
    </row>
    <row r="1687" spans="1:21" x14ac:dyDescent="0.25">
      <c r="A1687" t="s">
        <v>3895</v>
      </c>
      <c r="B1687" s="1">
        <v>42653</v>
      </c>
      <c r="C1687" s="1">
        <v>42655</v>
      </c>
      <c r="D1687" t="s">
        <v>88</v>
      </c>
      <c r="E1687" t="s">
        <v>2465</v>
      </c>
      <c r="F1687" t="s">
        <v>2466</v>
      </c>
      <c r="G1687" t="s">
        <v>91</v>
      </c>
      <c r="H1687" t="s">
        <v>26</v>
      </c>
      <c r="I1687" t="s">
        <v>266</v>
      </c>
      <c r="J1687" t="s">
        <v>181</v>
      </c>
      <c r="K1687" t="s">
        <v>55</v>
      </c>
      <c r="L1687" t="s">
        <v>657</v>
      </c>
      <c r="M1687" t="s">
        <v>31</v>
      </c>
      <c r="N1687" t="s">
        <v>37</v>
      </c>
      <c r="O1687" t="s">
        <v>658</v>
      </c>
      <c r="P1687">
        <v>120.78400000000001</v>
      </c>
      <c r="Q1687">
        <v>1</v>
      </c>
      <c r="R1687">
        <v>0.2</v>
      </c>
      <c r="S1687">
        <v>13.588200000000001</v>
      </c>
      <c r="T1687" t="s">
        <v>71</v>
      </c>
      <c r="U1687" t="s">
        <v>49</v>
      </c>
    </row>
    <row r="1688" spans="1:21" x14ac:dyDescent="0.25">
      <c r="A1688" t="s">
        <v>3898</v>
      </c>
      <c r="B1688" s="1">
        <v>42232</v>
      </c>
      <c r="C1688" s="1">
        <v>42236</v>
      </c>
      <c r="D1688" t="s">
        <v>40</v>
      </c>
      <c r="E1688" t="s">
        <v>2618</v>
      </c>
      <c r="F1688" t="s">
        <v>2619</v>
      </c>
      <c r="G1688" t="s">
        <v>91</v>
      </c>
      <c r="H1688" t="s">
        <v>26</v>
      </c>
      <c r="I1688" t="s">
        <v>66</v>
      </c>
      <c r="J1688" t="s">
        <v>67</v>
      </c>
      <c r="K1688" t="s">
        <v>68</v>
      </c>
      <c r="L1688" t="s">
        <v>1392</v>
      </c>
      <c r="M1688" t="s">
        <v>31</v>
      </c>
      <c r="N1688" t="s">
        <v>57</v>
      </c>
      <c r="O1688" t="s">
        <v>1393</v>
      </c>
      <c r="P1688">
        <v>254.352</v>
      </c>
      <c r="Q1688">
        <v>3</v>
      </c>
      <c r="R1688">
        <v>0.2</v>
      </c>
      <c r="S1688">
        <v>0</v>
      </c>
      <c r="T1688" t="s">
        <v>84</v>
      </c>
      <c r="U1688" t="s">
        <v>254</v>
      </c>
    </row>
    <row r="1689" spans="1:21" x14ac:dyDescent="0.25">
      <c r="A1689" t="s">
        <v>3899</v>
      </c>
      <c r="B1689" s="1">
        <v>41892</v>
      </c>
      <c r="C1689" s="1">
        <v>41895</v>
      </c>
      <c r="D1689" t="s">
        <v>88</v>
      </c>
      <c r="E1689" t="s">
        <v>64</v>
      </c>
      <c r="F1689" t="s">
        <v>65</v>
      </c>
      <c r="G1689" t="s">
        <v>25</v>
      </c>
      <c r="H1689" t="s">
        <v>26</v>
      </c>
      <c r="I1689" t="s">
        <v>3900</v>
      </c>
      <c r="J1689" t="s">
        <v>363</v>
      </c>
      <c r="K1689" t="s">
        <v>68</v>
      </c>
      <c r="L1689" t="s">
        <v>1538</v>
      </c>
      <c r="M1689" t="s">
        <v>31</v>
      </c>
      <c r="N1689" t="s">
        <v>57</v>
      </c>
      <c r="O1689" t="s">
        <v>1539</v>
      </c>
      <c r="P1689">
        <v>254.9</v>
      </c>
      <c r="Q1689">
        <v>5</v>
      </c>
      <c r="R1689">
        <v>0</v>
      </c>
      <c r="S1689">
        <v>76.47</v>
      </c>
      <c r="T1689" t="s">
        <v>34</v>
      </c>
      <c r="U1689" t="s">
        <v>78</v>
      </c>
    </row>
    <row r="1690" spans="1:21" x14ac:dyDescent="0.25">
      <c r="A1690" t="s">
        <v>3901</v>
      </c>
      <c r="B1690" s="1">
        <v>42328</v>
      </c>
      <c r="C1690" s="1">
        <v>42331</v>
      </c>
      <c r="D1690" t="s">
        <v>22</v>
      </c>
      <c r="E1690" t="s">
        <v>1442</v>
      </c>
      <c r="F1690" t="s">
        <v>1443</v>
      </c>
      <c r="G1690" t="s">
        <v>25</v>
      </c>
      <c r="H1690" t="s">
        <v>26</v>
      </c>
      <c r="I1690" t="s">
        <v>180</v>
      </c>
      <c r="J1690" t="s">
        <v>181</v>
      </c>
      <c r="K1690" t="s">
        <v>55</v>
      </c>
      <c r="L1690" t="s">
        <v>416</v>
      </c>
      <c r="M1690" t="s">
        <v>31</v>
      </c>
      <c r="N1690" t="s">
        <v>32</v>
      </c>
      <c r="O1690" t="s">
        <v>417</v>
      </c>
      <c r="P1690">
        <v>145.76400000000001</v>
      </c>
      <c r="Q1690">
        <v>6</v>
      </c>
      <c r="R1690">
        <v>0.7</v>
      </c>
      <c r="S1690">
        <v>-247.7988</v>
      </c>
      <c r="T1690" t="s">
        <v>34</v>
      </c>
      <c r="U1690" t="s">
        <v>35</v>
      </c>
    </row>
    <row r="1691" spans="1:21" x14ac:dyDescent="0.25">
      <c r="A1691" t="s">
        <v>3902</v>
      </c>
      <c r="B1691" s="1">
        <v>43042</v>
      </c>
      <c r="C1691" s="1">
        <v>43044</v>
      </c>
      <c r="D1691" t="s">
        <v>88</v>
      </c>
      <c r="E1691" t="s">
        <v>3903</v>
      </c>
      <c r="F1691" t="s">
        <v>3904</v>
      </c>
      <c r="G1691" t="s">
        <v>101</v>
      </c>
      <c r="H1691" t="s">
        <v>26</v>
      </c>
      <c r="I1691" t="s">
        <v>640</v>
      </c>
      <c r="J1691" t="s">
        <v>54</v>
      </c>
      <c r="K1691" t="s">
        <v>55</v>
      </c>
      <c r="L1691" t="s">
        <v>785</v>
      </c>
      <c r="M1691" t="s">
        <v>31</v>
      </c>
      <c r="N1691" t="s">
        <v>46</v>
      </c>
      <c r="O1691" t="s">
        <v>786</v>
      </c>
      <c r="P1691">
        <v>1673.184</v>
      </c>
      <c r="Q1691">
        <v>12</v>
      </c>
      <c r="R1691">
        <v>0.2</v>
      </c>
      <c r="S1691">
        <v>20.9148</v>
      </c>
      <c r="T1691" t="s">
        <v>71</v>
      </c>
      <c r="U1691" t="s">
        <v>35</v>
      </c>
    </row>
    <row r="1692" spans="1:21" x14ac:dyDescent="0.25">
      <c r="A1692" t="s">
        <v>3905</v>
      </c>
      <c r="B1692" s="1">
        <v>41763</v>
      </c>
      <c r="C1692" s="1">
        <v>41766</v>
      </c>
      <c r="D1692" t="s">
        <v>88</v>
      </c>
      <c r="E1692" t="s">
        <v>2760</v>
      </c>
      <c r="F1692" t="s">
        <v>2761</v>
      </c>
      <c r="G1692" t="s">
        <v>91</v>
      </c>
      <c r="H1692" t="s">
        <v>26</v>
      </c>
      <c r="I1692" t="s">
        <v>192</v>
      </c>
      <c r="J1692" t="s">
        <v>193</v>
      </c>
      <c r="K1692" t="s">
        <v>55</v>
      </c>
      <c r="L1692" t="s">
        <v>1072</v>
      </c>
      <c r="M1692" t="s">
        <v>31</v>
      </c>
      <c r="N1692" t="s">
        <v>57</v>
      </c>
      <c r="O1692" t="s">
        <v>1073</v>
      </c>
      <c r="P1692">
        <v>12.18</v>
      </c>
      <c r="Q1692">
        <v>7</v>
      </c>
      <c r="R1692">
        <v>0</v>
      </c>
      <c r="S1692">
        <v>3.8976000000000002</v>
      </c>
      <c r="T1692" t="s">
        <v>34</v>
      </c>
      <c r="U1692" t="s">
        <v>162</v>
      </c>
    </row>
    <row r="1693" spans="1:21" x14ac:dyDescent="0.25">
      <c r="A1693" t="s">
        <v>3906</v>
      </c>
      <c r="B1693" s="1">
        <v>41974</v>
      </c>
      <c r="C1693" s="1">
        <v>41976</v>
      </c>
      <c r="D1693" t="s">
        <v>88</v>
      </c>
      <c r="E1693" t="s">
        <v>2694</v>
      </c>
      <c r="F1693" t="s">
        <v>2695</v>
      </c>
      <c r="G1693" t="s">
        <v>25</v>
      </c>
      <c r="H1693" t="s">
        <v>26</v>
      </c>
      <c r="I1693" t="s">
        <v>2044</v>
      </c>
      <c r="J1693" t="s">
        <v>435</v>
      </c>
      <c r="K1693" t="s">
        <v>68</v>
      </c>
      <c r="L1693" t="s">
        <v>871</v>
      </c>
      <c r="M1693" t="s">
        <v>31</v>
      </c>
      <c r="N1693" t="s">
        <v>57</v>
      </c>
      <c r="O1693" t="s">
        <v>872</v>
      </c>
      <c r="P1693">
        <v>45.84</v>
      </c>
      <c r="Q1693">
        <v>3</v>
      </c>
      <c r="R1693">
        <v>0</v>
      </c>
      <c r="S1693">
        <v>15.585599999999999</v>
      </c>
      <c r="T1693" t="s">
        <v>71</v>
      </c>
      <c r="U1693" t="s">
        <v>97</v>
      </c>
    </row>
    <row r="1694" spans="1:21" x14ac:dyDescent="0.25">
      <c r="A1694" t="s">
        <v>3906</v>
      </c>
      <c r="B1694" s="1">
        <v>41974</v>
      </c>
      <c r="C1694" s="1">
        <v>41976</v>
      </c>
      <c r="D1694" t="s">
        <v>88</v>
      </c>
      <c r="E1694" t="s">
        <v>2694</v>
      </c>
      <c r="F1694" t="s">
        <v>2695</v>
      </c>
      <c r="G1694" t="s">
        <v>25</v>
      </c>
      <c r="H1694" t="s">
        <v>26</v>
      </c>
      <c r="I1694" t="s">
        <v>2044</v>
      </c>
      <c r="J1694" t="s">
        <v>435</v>
      </c>
      <c r="K1694" t="s">
        <v>68</v>
      </c>
      <c r="L1694" t="s">
        <v>1100</v>
      </c>
      <c r="M1694" t="s">
        <v>31</v>
      </c>
      <c r="N1694" t="s">
        <v>57</v>
      </c>
      <c r="O1694" t="s">
        <v>1101</v>
      </c>
      <c r="P1694">
        <v>9.82</v>
      </c>
      <c r="Q1694">
        <v>2</v>
      </c>
      <c r="R1694">
        <v>0</v>
      </c>
      <c r="S1694">
        <v>3.2406000000000001</v>
      </c>
      <c r="T1694" t="s">
        <v>71</v>
      </c>
      <c r="U1694" t="s">
        <v>97</v>
      </c>
    </row>
    <row r="1695" spans="1:21" x14ac:dyDescent="0.25">
      <c r="A1695" t="s">
        <v>3907</v>
      </c>
      <c r="B1695" s="1">
        <v>42325</v>
      </c>
      <c r="C1695" s="1">
        <v>42332</v>
      </c>
      <c r="D1695" t="s">
        <v>40</v>
      </c>
      <c r="E1695" t="s">
        <v>2694</v>
      </c>
      <c r="F1695" t="s">
        <v>2695</v>
      </c>
      <c r="G1695" t="s">
        <v>25</v>
      </c>
      <c r="H1695" t="s">
        <v>26</v>
      </c>
      <c r="I1695" t="s">
        <v>3017</v>
      </c>
      <c r="J1695" t="s">
        <v>1523</v>
      </c>
      <c r="K1695" t="s">
        <v>94</v>
      </c>
      <c r="L1695" t="s">
        <v>3592</v>
      </c>
      <c r="M1695" t="s">
        <v>31</v>
      </c>
      <c r="N1695" t="s">
        <v>37</v>
      </c>
      <c r="O1695" t="s">
        <v>3593</v>
      </c>
      <c r="P1695">
        <v>1323.9</v>
      </c>
      <c r="Q1695">
        <v>5</v>
      </c>
      <c r="R1695">
        <v>0</v>
      </c>
      <c r="S1695">
        <v>383.93099999999998</v>
      </c>
      <c r="T1695" t="s">
        <v>48</v>
      </c>
      <c r="U1695" t="s">
        <v>35</v>
      </c>
    </row>
    <row r="1696" spans="1:21" x14ac:dyDescent="0.25">
      <c r="A1696" t="s">
        <v>3908</v>
      </c>
      <c r="B1696" s="1">
        <v>42880</v>
      </c>
      <c r="C1696" s="1">
        <v>42880</v>
      </c>
      <c r="D1696" t="s">
        <v>426</v>
      </c>
      <c r="E1696" t="s">
        <v>1716</v>
      </c>
      <c r="F1696" t="s">
        <v>1717</v>
      </c>
      <c r="G1696" t="s">
        <v>25</v>
      </c>
      <c r="H1696" t="s">
        <v>26</v>
      </c>
      <c r="I1696" t="s">
        <v>174</v>
      </c>
      <c r="J1696" t="s">
        <v>121</v>
      </c>
      <c r="K1696" t="s">
        <v>68</v>
      </c>
      <c r="L1696" t="s">
        <v>678</v>
      </c>
      <c r="M1696" t="s">
        <v>31</v>
      </c>
      <c r="N1696" t="s">
        <v>57</v>
      </c>
      <c r="O1696" t="s">
        <v>679</v>
      </c>
      <c r="P1696">
        <v>18.84</v>
      </c>
      <c r="Q1696">
        <v>3</v>
      </c>
      <c r="R1696">
        <v>0</v>
      </c>
      <c r="S1696">
        <v>6.0288000000000004</v>
      </c>
      <c r="T1696" t="s">
        <v>431</v>
      </c>
      <c r="U1696" t="s">
        <v>162</v>
      </c>
    </row>
    <row r="1697" spans="1:21" x14ac:dyDescent="0.25">
      <c r="A1697" t="s">
        <v>3909</v>
      </c>
      <c r="B1697" s="1">
        <v>41891</v>
      </c>
      <c r="C1697" s="1">
        <v>41893</v>
      </c>
      <c r="D1697" t="s">
        <v>88</v>
      </c>
      <c r="E1697" t="s">
        <v>1016</v>
      </c>
      <c r="F1697" t="s">
        <v>1017</v>
      </c>
      <c r="G1697" t="s">
        <v>101</v>
      </c>
      <c r="H1697" t="s">
        <v>26</v>
      </c>
      <c r="I1697" t="s">
        <v>816</v>
      </c>
      <c r="J1697" t="s">
        <v>232</v>
      </c>
      <c r="K1697" t="s">
        <v>68</v>
      </c>
      <c r="L1697" t="s">
        <v>1835</v>
      </c>
      <c r="M1697" t="s">
        <v>31</v>
      </c>
      <c r="N1697" t="s">
        <v>57</v>
      </c>
      <c r="O1697" t="s">
        <v>1836</v>
      </c>
      <c r="P1697">
        <v>60.671999999999997</v>
      </c>
      <c r="Q1697">
        <v>6</v>
      </c>
      <c r="R1697">
        <v>0.2</v>
      </c>
      <c r="S1697">
        <v>12.892799999999999</v>
      </c>
      <c r="T1697" t="s">
        <v>71</v>
      </c>
      <c r="U1697" t="s">
        <v>78</v>
      </c>
    </row>
    <row r="1698" spans="1:21" x14ac:dyDescent="0.25">
      <c r="A1698" t="s">
        <v>3910</v>
      </c>
      <c r="B1698" s="1">
        <v>41841</v>
      </c>
      <c r="C1698" s="1">
        <v>41845</v>
      </c>
      <c r="D1698" t="s">
        <v>40</v>
      </c>
      <c r="E1698" t="s">
        <v>1867</v>
      </c>
      <c r="F1698" t="s">
        <v>1868</v>
      </c>
      <c r="G1698" t="s">
        <v>91</v>
      </c>
      <c r="H1698" t="s">
        <v>26</v>
      </c>
      <c r="I1698" t="s">
        <v>1740</v>
      </c>
      <c r="J1698" t="s">
        <v>93</v>
      </c>
      <c r="K1698" t="s">
        <v>94</v>
      </c>
      <c r="L1698" t="s">
        <v>626</v>
      </c>
      <c r="M1698" t="s">
        <v>31</v>
      </c>
      <c r="N1698" t="s">
        <v>37</v>
      </c>
      <c r="O1698" t="s">
        <v>627</v>
      </c>
      <c r="P1698">
        <v>657.93</v>
      </c>
      <c r="Q1698">
        <v>5</v>
      </c>
      <c r="R1698">
        <v>0.3</v>
      </c>
      <c r="S1698">
        <v>-93.99</v>
      </c>
      <c r="T1698" t="s">
        <v>84</v>
      </c>
      <c r="U1698" t="s">
        <v>72</v>
      </c>
    </row>
    <row r="1699" spans="1:21" x14ac:dyDescent="0.25">
      <c r="A1699" t="s">
        <v>3911</v>
      </c>
      <c r="B1699" s="1">
        <v>42258</v>
      </c>
      <c r="C1699" s="1">
        <v>42262</v>
      </c>
      <c r="D1699" t="s">
        <v>22</v>
      </c>
      <c r="E1699" t="s">
        <v>3155</v>
      </c>
      <c r="F1699" t="s">
        <v>3156</v>
      </c>
      <c r="G1699" t="s">
        <v>91</v>
      </c>
      <c r="H1699" t="s">
        <v>26</v>
      </c>
      <c r="I1699" t="s">
        <v>174</v>
      </c>
      <c r="J1699" t="s">
        <v>121</v>
      </c>
      <c r="K1699" t="s">
        <v>68</v>
      </c>
      <c r="L1699" t="s">
        <v>3618</v>
      </c>
      <c r="M1699" t="s">
        <v>31</v>
      </c>
      <c r="N1699" t="s">
        <v>57</v>
      </c>
      <c r="O1699" t="s">
        <v>3619</v>
      </c>
      <c r="P1699">
        <v>210.68</v>
      </c>
      <c r="Q1699">
        <v>2</v>
      </c>
      <c r="R1699">
        <v>0</v>
      </c>
      <c r="S1699">
        <v>50.563200000000002</v>
      </c>
      <c r="T1699" t="s">
        <v>84</v>
      </c>
      <c r="U1699" t="s">
        <v>78</v>
      </c>
    </row>
    <row r="1700" spans="1:21" x14ac:dyDescent="0.25">
      <c r="A1700" t="s">
        <v>3912</v>
      </c>
      <c r="B1700" s="1">
        <v>42376</v>
      </c>
      <c r="C1700" s="1">
        <v>42380</v>
      </c>
      <c r="D1700" t="s">
        <v>40</v>
      </c>
      <c r="E1700" t="s">
        <v>1310</v>
      </c>
      <c r="F1700" t="s">
        <v>1311</v>
      </c>
      <c r="G1700" t="s">
        <v>25</v>
      </c>
      <c r="H1700" t="s">
        <v>26</v>
      </c>
      <c r="I1700" t="s">
        <v>529</v>
      </c>
      <c r="J1700" t="s">
        <v>93</v>
      </c>
      <c r="K1700" t="s">
        <v>94</v>
      </c>
      <c r="L1700" t="s">
        <v>1312</v>
      </c>
      <c r="M1700" t="s">
        <v>31</v>
      </c>
      <c r="N1700" t="s">
        <v>57</v>
      </c>
      <c r="O1700" t="s">
        <v>2023</v>
      </c>
      <c r="P1700">
        <v>23.076000000000001</v>
      </c>
      <c r="Q1700">
        <v>3</v>
      </c>
      <c r="R1700">
        <v>0.6</v>
      </c>
      <c r="S1700">
        <v>-10.9611</v>
      </c>
      <c r="T1700" t="s">
        <v>84</v>
      </c>
      <c r="U1700" t="s">
        <v>170</v>
      </c>
    </row>
    <row r="1701" spans="1:21" x14ac:dyDescent="0.25">
      <c r="A1701" t="s">
        <v>3913</v>
      </c>
      <c r="B1701" s="1">
        <v>42180</v>
      </c>
      <c r="C1701" s="1">
        <v>42183</v>
      </c>
      <c r="D1701" t="s">
        <v>88</v>
      </c>
      <c r="E1701" t="s">
        <v>1792</v>
      </c>
      <c r="F1701" t="s">
        <v>1793</v>
      </c>
      <c r="G1701" t="s">
        <v>25</v>
      </c>
      <c r="H1701" t="s">
        <v>26</v>
      </c>
      <c r="I1701" t="s">
        <v>102</v>
      </c>
      <c r="J1701" t="s">
        <v>93</v>
      </c>
      <c r="K1701" t="s">
        <v>94</v>
      </c>
      <c r="L1701" t="s">
        <v>1979</v>
      </c>
      <c r="M1701" t="s">
        <v>31</v>
      </c>
      <c r="N1701" t="s">
        <v>57</v>
      </c>
      <c r="O1701" t="s">
        <v>1980</v>
      </c>
      <c r="P1701">
        <v>75.384</v>
      </c>
      <c r="Q1701">
        <v>9</v>
      </c>
      <c r="R1701">
        <v>0.6</v>
      </c>
      <c r="S1701">
        <v>-20.730599999999999</v>
      </c>
      <c r="T1701" t="s">
        <v>34</v>
      </c>
      <c r="U1701" t="s">
        <v>60</v>
      </c>
    </row>
    <row r="1702" spans="1:21" x14ac:dyDescent="0.25">
      <c r="A1702" t="s">
        <v>3914</v>
      </c>
      <c r="B1702" s="1">
        <v>42916</v>
      </c>
      <c r="C1702" s="1">
        <v>42918</v>
      </c>
      <c r="D1702" t="s">
        <v>22</v>
      </c>
      <c r="E1702" t="s">
        <v>2507</v>
      </c>
      <c r="F1702" t="s">
        <v>2508</v>
      </c>
      <c r="G1702" t="s">
        <v>25</v>
      </c>
      <c r="H1702" t="s">
        <v>26</v>
      </c>
      <c r="I1702" t="s">
        <v>53</v>
      </c>
      <c r="J1702" t="s">
        <v>54</v>
      </c>
      <c r="K1702" t="s">
        <v>55</v>
      </c>
      <c r="L1702" t="s">
        <v>1457</v>
      </c>
      <c r="M1702" t="s">
        <v>31</v>
      </c>
      <c r="N1702" t="s">
        <v>32</v>
      </c>
      <c r="O1702" t="s">
        <v>1458</v>
      </c>
      <c r="P1702">
        <v>435.99900000000002</v>
      </c>
      <c r="Q1702">
        <v>3</v>
      </c>
      <c r="R1702">
        <v>0.15</v>
      </c>
      <c r="S1702">
        <v>5.1294000000000004</v>
      </c>
      <c r="T1702" t="s">
        <v>71</v>
      </c>
      <c r="U1702" t="s">
        <v>60</v>
      </c>
    </row>
    <row r="1703" spans="1:21" x14ac:dyDescent="0.25">
      <c r="A1703" t="s">
        <v>3915</v>
      </c>
      <c r="B1703" s="1">
        <v>42968</v>
      </c>
      <c r="C1703" s="1">
        <v>42972</v>
      </c>
      <c r="D1703" t="s">
        <v>22</v>
      </c>
      <c r="E1703" t="s">
        <v>3916</v>
      </c>
      <c r="F1703" t="s">
        <v>3917</v>
      </c>
      <c r="G1703" t="s">
        <v>91</v>
      </c>
      <c r="H1703" t="s">
        <v>26</v>
      </c>
      <c r="I1703" t="s">
        <v>192</v>
      </c>
      <c r="J1703" t="s">
        <v>193</v>
      </c>
      <c r="K1703" t="s">
        <v>55</v>
      </c>
      <c r="L1703" t="s">
        <v>256</v>
      </c>
      <c r="M1703" t="s">
        <v>31</v>
      </c>
      <c r="N1703" t="s">
        <v>37</v>
      </c>
      <c r="O1703" t="s">
        <v>257</v>
      </c>
      <c r="P1703">
        <v>388.70400000000001</v>
      </c>
      <c r="Q1703">
        <v>6</v>
      </c>
      <c r="R1703">
        <v>0.2</v>
      </c>
      <c r="S1703">
        <v>38.870399999999997</v>
      </c>
      <c r="T1703" t="s">
        <v>84</v>
      </c>
      <c r="U1703" t="s">
        <v>254</v>
      </c>
    </row>
    <row r="1704" spans="1:21" x14ac:dyDescent="0.25">
      <c r="A1704" t="s">
        <v>3918</v>
      </c>
      <c r="B1704" s="1">
        <v>42805</v>
      </c>
      <c r="C1704" s="1">
        <v>42809</v>
      </c>
      <c r="D1704" t="s">
        <v>40</v>
      </c>
      <c r="E1704" t="s">
        <v>1044</v>
      </c>
      <c r="F1704" t="s">
        <v>1045</v>
      </c>
      <c r="G1704" t="s">
        <v>101</v>
      </c>
      <c r="H1704" t="s">
        <v>26</v>
      </c>
      <c r="I1704" t="s">
        <v>3919</v>
      </c>
      <c r="J1704" t="s">
        <v>435</v>
      </c>
      <c r="K1704" t="s">
        <v>68</v>
      </c>
      <c r="L1704" t="s">
        <v>3920</v>
      </c>
      <c r="M1704" t="s">
        <v>31</v>
      </c>
      <c r="N1704" t="s">
        <v>57</v>
      </c>
      <c r="O1704" t="s">
        <v>3921</v>
      </c>
      <c r="P1704">
        <v>26.72</v>
      </c>
      <c r="Q1704">
        <v>1</v>
      </c>
      <c r="R1704">
        <v>0</v>
      </c>
      <c r="S1704">
        <v>11.7568</v>
      </c>
      <c r="T1704" t="s">
        <v>84</v>
      </c>
      <c r="U1704" t="s">
        <v>196</v>
      </c>
    </row>
    <row r="1705" spans="1:21" x14ac:dyDescent="0.25">
      <c r="A1705" t="s">
        <v>3922</v>
      </c>
      <c r="B1705" s="1">
        <v>41908</v>
      </c>
      <c r="C1705" s="1">
        <v>41912</v>
      </c>
      <c r="D1705" t="s">
        <v>40</v>
      </c>
      <c r="E1705" t="s">
        <v>3923</v>
      </c>
      <c r="F1705" t="s">
        <v>3924</v>
      </c>
      <c r="G1705" t="s">
        <v>91</v>
      </c>
      <c r="H1705" t="s">
        <v>26</v>
      </c>
      <c r="I1705" t="s">
        <v>66</v>
      </c>
      <c r="J1705" t="s">
        <v>67</v>
      </c>
      <c r="K1705" t="s">
        <v>68</v>
      </c>
      <c r="L1705" t="s">
        <v>944</v>
      </c>
      <c r="M1705" t="s">
        <v>31</v>
      </c>
      <c r="N1705" t="s">
        <v>57</v>
      </c>
      <c r="O1705" t="s">
        <v>945</v>
      </c>
      <c r="P1705">
        <v>21.184000000000001</v>
      </c>
      <c r="Q1705">
        <v>1</v>
      </c>
      <c r="R1705">
        <v>0.2</v>
      </c>
      <c r="S1705">
        <v>4.7664</v>
      </c>
      <c r="T1705" t="s">
        <v>84</v>
      </c>
      <c r="U1705" t="s">
        <v>78</v>
      </c>
    </row>
    <row r="1706" spans="1:21" x14ac:dyDescent="0.25">
      <c r="A1706" t="s">
        <v>3925</v>
      </c>
      <c r="B1706" s="1">
        <v>42244</v>
      </c>
      <c r="C1706" s="1">
        <v>42251</v>
      </c>
      <c r="D1706" t="s">
        <v>40</v>
      </c>
      <c r="E1706" t="s">
        <v>688</v>
      </c>
      <c r="F1706" t="s">
        <v>689</v>
      </c>
      <c r="G1706" t="s">
        <v>25</v>
      </c>
      <c r="H1706" t="s">
        <v>26</v>
      </c>
      <c r="I1706" t="s">
        <v>53</v>
      </c>
      <c r="J1706" t="s">
        <v>54</v>
      </c>
      <c r="K1706" t="s">
        <v>55</v>
      </c>
      <c r="L1706" t="s">
        <v>278</v>
      </c>
      <c r="M1706" t="s">
        <v>31</v>
      </c>
      <c r="N1706" t="s">
        <v>32</v>
      </c>
      <c r="O1706" t="s">
        <v>279</v>
      </c>
      <c r="P1706">
        <v>307.666</v>
      </c>
      <c r="Q1706">
        <v>2</v>
      </c>
      <c r="R1706">
        <v>0.15</v>
      </c>
      <c r="S1706">
        <v>28.956800000000001</v>
      </c>
      <c r="T1706" t="s">
        <v>48</v>
      </c>
      <c r="U1706" t="s">
        <v>254</v>
      </c>
    </row>
    <row r="1707" spans="1:21" x14ac:dyDescent="0.25">
      <c r="A1707" t="s">
        <v>3925</v>
      </c>
      <c r="B1707" s="1">
        <v>42244</v>
      </c>
      <c r="C1707" s="1">
        <v>42251</v>
      </c>
      <c r="D1707" t="s">
        <v>40</v>
      </c>
      <c r="E1707" t="s">
        <v>688</v>
      </c>
      <c r="F1707" t="s">
        <v>689</v>
      </c>
      <c r="G1707" t="s">
        <v>25</v>
      </c>
      <c r="H1707" t="s">
        <v>26</v>
      </c>
      <c r="I1707" t="s">
        <v>53</v>
      </c>
      <c r="J1707" t="s">
        <v>54</v>
      </c>
      <c r="K1707" t="s">
        <v>55</v>
      </c>
      <c r="L1707" t="s">
        <v>1362</v>
      </c>
      <c r="M1707" t="s">
        <v>31</v>
      </c>
      <c r="N1707" t="s">
        <v>57</v>
      </c>
      <c r="O1707" t="s">
        <v>424</v>
      </c>
      <c r="P1707">
        <v>4.16</v>
      </c>
      <c r="Q1707">
        <v>2</v>
      </c>
      <c r="R1707">
        <v>0</v>
      </c>
      <c r="S1707">
        <v>1.7472000000000001</v>
      </c>
      <c r="T1707" t="s">
        <v>48</v>
      </c>
      <c r="U1707" t="s">
        <v>254</v>
      </c>
    </row>
    <row r="1708" spans="1:21" x14ac:dyDescent="0.25">
      <c r="A1708" t="s">
        <v>3926</v>
      </c>
      <c r="B1708" s="1">
        <v>42297</v>
      </c>
      <c r="C1708" s="1">
        <v>42301</v>
      </c>
      <c r="D1708" t="s">
        <v>40</v>
      </c>
      <c r="E1708" t="s">
        <v>1039</v>
      </c>
      <c r="F1708" t="s">
        <v>1040</v>
      </c>
      <c r="G1708" t="s">
        <v>91</v>
      </c>
      <c r="H1708" t="s">
        <v>26</v>
      </c>
      <c r="I1708" t="s">
        <v>329</v>
      </c>
      <c r="J1708" t="s">
        <v>54</v>
      </c>
      <c r="K1708" t="s">
        <v>55</v>
      </c>
      <c r="L1708" t="s">
        <v>2514</v>
      </c>
      <c r="M1708" t="s">
        <v>31</v>
      </c>
      <c r="N1708" t="s">
        <v>57</v>
      </c>
      <c r="O1708" t="s">
        <v>2515</v>
      </c>
      <c r="P1708">
        <v>16.02</v>
      </c>
      <c r="Q1708">
        <v>6</v>
      </c>
      <c r="R1708">
        <v>0</v>
      </c>
      <c r="S1708">
        <v>6.0876000000000001</v>
      </c>
      <c r="T1708" t="s">
        <v>84</v>
      </c>
      <c r="U1708" t="s">
        <v>49</v>
      </c>
    </row>
    <row r="1709" spans="1:21" x14ac:dyDescent="0.25">
      <c r="A1709" t="s">
        <v>3927</v>
      </c>
      <c r="B1709" s="1">
        <v>42736</v>
      </c>
      <c r="C1709" s="1">
        <v>42740</v>
      </c>
      <c r="D1709" t="s">
        <v>40</v>
      </c>
      <c r="E1709" t="s">
        <v>2655</v>
      </c>
      <c r="F1709" t="s">
        <v>2656</v>
      </c>
      <c r="G1709" t="s">
        <v>25</v>
      </c>
      <c r="H1709" t="s">
        <v>26</v>
      </c>
      <c r="I1709" t="s">
        <v>1869</v>
      </c>
      <c r="J1709" t="s">
        <v>93</v>
      </c>
      <c r="K1709" t="s">
        <v>94</v>
      </c>
      <c r="L1709" t="s">
        <v>2170</v>
      </c>
      <c r="M1709" t="s">
        <v>31</v>
      </c>
      <c r="N1709" t="s">
        <v>57</v>
      </c>
      <c r="O1709" t="s">
        <v>2171</v>
      </c>
      <c r="P1709">
        <v>141.41999999999999</v>
      </c>
      <c r="Q1709">
        <v>5</v>
      </c>
      <c r="R1709">
        <v>0.6</v>
      </c>
      <c r="S1709">
        <v>-187.38149999999999</v>
      </c>
      <c r="T1709" t="s">
        <v>84</v>
      </c>
      <c r="U1709" t="s">
        <v>170</v>
      </c>
    </row>
    <row r="1710" spans="1:21" x14ac:dyDescent="0.25">
      <c r="A1710" t="s">
        <v>3927</v>
      </c>
      <c r="B1710" s="1">
        <v>42736</v>
      </c>
      <c r="C1710" s="1">
        <v>42740</v>
      </c>
      <c r="D1710" t="s">
        <v>40</v>
      </c>
      <c r="E1710" t="s">
        <v>2655</v>
      </c>
      <c r="F1710" t="s">
        <v>2656</v>
      </c>
      <c r="G1710" t="s">
        <v>25</v>
      </c>
      <c r="H1710" t="s">
        <v>26</v>
      </c>
      <c r="I1710" t="s">
        <v>1869</v>
      </c>
      <c r="J1710" t="s">
        <v>93</v>
      </c>
      <c r="K1710" t="s">
        <v>94</v>
      </c>
      <c r="L1710" t="s">
        <v>822</v>
      </c>
      <c r="M1710" t="s">
        <v>31</v>
      </c>
      <c r="N1710" t="s">
        <v>37</v>
      </c>
      <c r="O1710" t="s">
        <v>823</v>
      </c>
      <c r="P1710">
        <v>310.74400000000003</v>
      </c>
      <c r="Q1710">
        <v>4</v>
      </c>
      <c r="R1710">
        <v>0.3</v>
      </c>
      <c r="S1710">
        <v>-26.635200000000001</v>
      </c>
      <c r="T1710" t="s">
        <v>84</v>
      </c>
      <c r="U1710" t="s">
        <v>170</v>
      </c>
    </row>
    <row r="1711" spans="1:21" x14ac:dyDescent="0.25">
      <c r="A1711" t="s">
        <v>3928</v>
      </c>
      <c r="B1711" s="1">
        <v>42178</v>
      </c>
      <c r="C1711" s="1">
        <v>42184</v>
      </c>
      <c r="D1711" t="s">
        <v>40</v>
      </c>
      <c r="E1711" t="s">
        <v>1713</v>
      </c>
      <c r="F1711" t="s">
        <v>1714</v>
      </c>
      <c r="G1711" t="s">
        <v>91</v>
      </c>
      <c r="H1711" t="s">
        <v>26</v>
      </c>
      <c r="I1711" t="s">
        <v>3929</v>
      </c>
      <c r="J1711" t="s">
        <v>668</v>
      </c>
      <c r="K1711" t="s">
        <v>29</v>
      </c>
      <c r="L1711" t="s">
        <v>836</v>
      </c>
      <c r="M1711" t="s">
        <v>31</v>
      </c>
      <c r="N1711" t="s">
        <v>57</v>
      </c>
      <c r="O1711" t="s">
        <v>837</v>
      </c>
      <c r="P1711">
        <v>27.42</v>
      </c>
      <c r="Q1711">
        <v>3</v>
      </c>
      <c r="R1711">
        <v>0</v>
      </c>
      <c r="S1711">
        <v>9.3228000000000009</v>
      </c>
      <c r="T1711" t="s">
        <v>130</v>
      </c>
      <c r="U1711" t="s">
        <v>60</v>
      </c>
    </row>
    <row r="1712" spans="1:21" x14ac:dyDescent="0.25">
      <c r="A1712" t="s">
        <v>3930</v>
      </c>
      <c r="B1712" s="1">
        <v>42663</v>
      </c>
      <c r="C1712" s="1">
        <v>42669</v>
      </c>
      <c r="D1712" t="s">
        <v>40</v>
      </c>
      <c r="E1712" t="s">
        <v>3931</v>
      </c>
      <c r="F1712" t="s">
        <v>3932</v>
      </c>
      <c r="G1712" t="s">
        <v>101</v>
      </c>
      <c r="H1712" t="s">
        <v>26</v>
      </c>
      <c r="I1712" t="s">
        <v>690</v>
      </c>
      <c r="J1712" t="s">
        <v>717</v>
      </c>
      <c r="K1712" t="s">
        <v>29</v>
      </c>
      <c r="L1712" t="s">
        <v>494</v>
      </c>
      <c r="M1712" t="s">
        <v>31</v>
      </c>
      <c r="N1712" t="s">
        <v>57</v>
      </c>
      <c r="O1712" t="s">
        <v>495</v>
      </c>
      <c r="P1712">
        <v>61.1</v>
      </c>
      <c r="Q1712">
        <v>5</v>
      </c>
      <c r="R1712">
        <v>0</v>
      </c>
      <c r="S1712">
        <v>18.329999999999998</v>
      </c>
      <c r="T1712" t="s">
        <v>130</v>
      </c>
      <c r="U1712" t="s">
        <v>49</v>
      </c>
    </row>
    <row r="1713" spans="1:21" x14ac:dyDescent="0.25">
      <c r="A1713" t="s">
        <v>3933</v>
      </c>
      <c r="B1713" s="1">
        <v>42943</v>
      </c>
      <c r="C1713" s="1">
        <v>42948</v>
      </c>
      <c r="D1713" t="s">
        <v>22</v>
      </c>
      <c r="E1713" t="s">
        <v>1769</v>
      </c>
      <c r="F1713" t="s">
        <v>1770</v>
      </c>
      <c r="G1713" t="s">
        <v>25</v>
      </c>
      <c r="H1713" t="s">
        <v>26</v>
      </c>
      <c r="I1713" t="s">
        <v>192</v>
      </c>
      <c r="J1713" t="s">
        <v>193</v>
      </c>
      <c r="K1713" t="s">
        <v>55</v>
      </c>
      <c r="L1713" t="s">
        <v>928</v>
      </c>
      <c r="M1713" t="s">
        <v>31</v>
      </c>
      <c r="N1713" t="s">
        <v>57</v>
      </c>
      <c r="O1713" t="s">
        <v>317</v>
      </c>
      <c r="P1713">
        <v>23.88</v>
      </c>
      <c r="Q1713">
        <v>3</v>
      </c>
      <c r="R1713">
        <v>0</v>
      </c>
      <c r="S1713">
        <v>10.507199999999999</v>
      </c>
      <c r="T1713" t="s">
        <v>59</v>
      </c>
      <c r="U1713" t="s">
        <v>72</v>
      </c>
    </row>
    <row r="1714" spans="1:21" x14ac:dyDescent="0.25">
      <c r="A1714" t="s">
        <v>3934</v>
      </c>
      <c r="B1714" s="1">
        <v>42783</v>
      </c>
      <c r="C1714" s="1">
        <v>42785</v>
      </c>
      <c r="D1714" t="s">
        <v>88</v>
      </c>
      <c r="E1714" t="s">
        <v>3935</v>
      </c>
      <c r="F1714" t="s">
        <v>3936</v>
      </c>
      <c r="G1714" t="s">
        <v>101</v>
      </c>
      <c r="H1714" t="s">
        <v>26</v>
      </c>
      <c r="I1714" t="s">
        <v>102</v>
      </c>
      <c r="J1714" t="s">
        <v>93</v>
      </c>
      <c r="K1714" t="s">
        <v>94</v>
      </c>
      <c r="L1714" t="s">
        <v>535</v>
      </c>
      <c r="M1714" t="s">
        <v>31</v>
      </c>
      <c r="N1714" t="s">
        <v>32</v>
      </c>
      <c r="O1714" t="s">
        <v>536</v>
      </c>
      <c r="P1714">
        <v>89.066400000000002</v>
      </c>
      <c r="Q1714">
        <v>1</v>
      </c>
      <c r="R1714">
        <v>0.32</v>
      </c>
      <c r="S1714">
        <v>-17.0274</v>
      </c>
      <c r="T1714" t="s">
        <v>71</v>
      </c>
      <c r="U1714" t="s">
        <v>298</v>
      </c>
    </row>
    <row r="1715" spans="1:21" x14ac:dyDescent="0.25">
      <c r="A1715" t="s">
        <v>3937</v>
      </c>
      <c r="B1715" s="1">
        <v>43077</v>
      </c>
      <c r="C1715" s="1">
        <v>43084</v>
      </c>
      <c r="D1715" t="s">
        <v>40</v>
      </c>
      <c r="E1715" t="s">
        <v>760</v>
      </c>
      <c r="F1715" t="s">
        <v>761</v>
      </c>
      <c r="G1715" t="s">
        <v>25</v>
      </c>
      <c r="H1715" t="s">
        <v>26</v>
      </c>
      <c r="I1715" t="s">
        <v>66</v>
      </c>
      <c r="J1715" t="s">
        <v>67</v>
      </c>
      <c r="K1715" t="s">
        <v>68</v>
      </c>
      <c r="L1715" t="s">
        <v>489</v>
      </c>
      <c r="M1715" t="s">
        <v>31</v>
      </c>
      <c r="N1715" t="s">
        <v>37</v>
      </c>
      <c r="O1715" t="s">
        <v>490</v>
      </c>
      <c r="P1715">
        <v>215.54400000000001</v>
      </c>
      <c r="Q1715">
        <v>4</v>
      </c>
      <c r="R1715">
        <v>0.3</v>
      </c>
      <c r="S1715">
        <v>-58.504800000000003</v>
      </c>
      <c r="T1715" t="s">
        <v>48</v>
      </c>
      <c r="U1715" t="s">
        <v>97</v>
      </c>
    </row>
    <row r="1716" spans="1:21" x14ac:dyDescent="0.25">
      <c r="A1716" t="s">
        <v>3938</v>
      </c>
      <c r="B1716" s="1">
        <v>43057</v>
      </c>
      <c r="C1716" s="1">
        <v>43062</v>
      </c>
      <c r="D1716" t="s">
        <v>40</v>
      </c>
      <c r="E1716" t="s">
        <v>3939</v>
      </c>
      <c r="F1716" t="s">
        <v>3940</v>
      </c>
      <c r="G1716" t="s">
        <v>25</v>
      </c>
      <c r="H1716" t="s">
        <v>26</v>
      </c>
      <c r="I1716" t="s">
        <v>134</v>
      </c>
      <c r="J1716" t="s">
        <v>135</v>
      </c>
      <c r="K1716" t="s">
        <v>94</v>
      </c>
      <c r="L1716" t="s">
        <v>2181</v>
      </c>
      <c r="M1716" t="s">
        <v>31</v>
      </c>
      <c r="N1716" t="s">
        <v>37</v>
      </c>
      <c r="O1716" t="s">
        <v>2182</v>
      </c>
      <c r="P1716">
        <v>127.386</v>
      </c>
      <c r="Q1716">
        <v>2</v>
      </c>
      <c r="R1716">
        <v>0.3</v>
      </c>
      <c r="S1716">
        <v>-25.4772</v>
      </c>
      <c r="T1716" t="s">
        <v>59</v>
      </c>
      <c r="U1716" t="s">
        <v>35</v>
      </c>
    </row>
    <row r="1717" spans="1:21" x14ac:dyDescent="0.25">
      <c r="A1717" t="s">
        <v>3941</v>
      </c>
      <c r="B1717" s="1">
        <v>42705</v>
      </c>
      <c r="C1717" s="1">
        <v>42707</v>
      </c>
      <c r="D1717" t="s">
        <v>22</v>
      </c>
      <c r="E1717" t="s">
        <v>3817</v>
      </c>
      <c r="F1717" t="s">
        <v>3818</v>
      </c>
      <c r="G1717" t="s">
        <v>25</v>
      </c>
      <c r="H1717" t="s">
        <v>26</v>
      </c>
      <c r="I1717" t="s">
        <v>1746</v>
      </c>
      <c r="J1717" t="s">
        <v>93</v>
      </c>
      <c r="K1717" t="s">
        <v>94</v>
      </c>
      <c r="L1717" t="s">
        <v>591</v>
      </c>
      <c r="M1717" t="s">
        <v>31</v>
      </c>
      <c r="N1717" t="s">
        <v>37</v>
      </c>
      <c r="O1717" t="s">
        <v>592</v>
      </c>
      <c r="P1717">
        <v>248.43</v>
      </c>
      <c r="Q1717">
        <v>5</v>
      </c>
      <c r="R1717">
        <v>0.3</v>
      </c>
      <c r="S1717">
        <v>-17.745000000000001</v>
      </c>
      <c r="T1717" t="s">
        <v>71</v>
      </c>
      <c r="U1717" t="s">
        <v>97</v>
      </c>
    </row>
    <row r="1718" spans="1:21" x14ac:dyDescent="0.25">
      <c r="A1718" t="s">
        <v>3941</v>
      </c>
      <c r="B1718" s="1">
        <v>42705</v>
      </c>
      <c r="C1718" s="1">
        <v>42707</v>
      </c>
      <c r="D1718" t="s">
        <v>22</v>
      </c>
      <c r="E1718" t="s">
        <v>3817</v>
      </c>
      <c r="F1718" t="s">
        <v>3818</v>
      </c>
      <c r="G1718" t="s">
        <v>25</v>
      </c>
      <c r="H1718" t="s">
        <v>26</v>
      </c>
      <c r="I1718" t="s">
        <v>1746</v>
      </c>
      <c r="J1718" t="s">
        <v>93</v>
      </c>
      <c r="K1718" t="s">
        <v>94</v>
      </c>
      <c r="L1718" t="s">
        <v>299</v>
      </c>
      <c r="M1718" t="s">
        <v>31</v>
      </c>
      <c r="N1718" t="s">
        <v>37</v>
      </c>
      <c r="O1718" t="s">
        <v>300</v>
      </c>
      <c r="P1718">
        <v>85.245999999999995</v>
      </c>
      <c r="Q1718">
        <v>2</v>
      </c>
      <c r="R1718">
        <v>0.3</v>
      </c>
      <c r="S1718">
        <v>-1.2178</v>
      </c>
      <c r="T1718" t="s">
        <v>71</v>
      </c>
      <c r="U1718" t="s">
        <v>97</v>
      </c>
    </row>
    <row r="1719" spans="1:21" x14ac:dyDescent="0.25">
      <c r="A1719" t="s">
        <v>3942</v>
      </c>
      <c r="B1719" s="1">
        <v>42976</v>
      </c>
      <c r="C1719" s="1">
        <v>42982</v>
      </c>
      <c r="D1719" t="s">
        <v>40</v>
      </c>
      <c r="E1719" t="s">
        <v>1589</v>
      </c>
      <c r="F1719" t="s">
        <v>1590</v>
      </c>
      <c r="G1719" t="s">
        <v>91</v>
      </c>
      <c r="H1719" t="s">
        <v>26</v>
      </c>
      <c r="I1719" t="s">
        <v>53</v>
      </c>
      <c r="J1719" t="s">
        <v>54</v>
      </c>
      <c r="K1719" t="s">
        <v>55</v>
      </c>
      <c r="L1719" t="s">
        <v>3695</v>
      </c>
      <c r="M1719" t="s">
        <v>31</v>
      </c>
      <c r="N1719" t="s">
        <v>57</v>
      </c>
      <c r="O1719" t="s">
        <v>3696</v>
      </c>
      <c r="P1719">
        <v>148.02000000000001</v>
      </c>
      <c r="Q1719">
        <v>3</v>
      </c>
      <c r="R1719">
        <v>0</v>
      </c>
      <c r="S1719">
        <v>41.445599999999999</v>
      </c>
      <c r="T1719" t="s">
        <v>130</v>
      </c>
      <c r="U1719" t="s">
        <v>254</v>
      </c>
    </row>
    <row r="1720" spans="1:21" x14ac:dyDescent="0.25">
      <c r="A1720" t="s">
        <v>3943</v>
      </c>
      <c r="B1720" s="1">
        <v>42938</v>
      </c>
      <c r="C1720" s="1">
        <v>42943</v>
      </c>
      <c r="D1720" t="s">
        <v>40</v>
      </c>
      <c r="E1720" t="s">
        <v>2658</v>
      </c>
      <c r="F1720" t="s">
        <v>2659</v>
      </c>
      <c r="G1720" t="s">
        <v>25</v>
      </c>
      <c r="H1720" t="s">
        <v>26</v>
      </c>
      <c r="I1720" t="s">
        <v>134</v>
      </c>
      <c r="J1720" t="s">
        <v>135</v>
      </c>
      <c r="K1720" t="s">
        <v>94</v>
      </c>
      <c r="L1720" t="s">
        <v>626</v>
      </c>
      <c r="M1720" t="s">
        <v>31</v>
      </c>
      <c r="N1720" t="s">
        <v>37</v>
      </c>
      <c r="O1720" t="s">
        <v>627</v>
      </c>
      <c r="P1720">
        <v>526.34400000000005</v>
      </c>
      <c r="Q1720">
        <v>4</v>
      </c>
      <c r="R1720">
        <v>0.3</v>
      </c>
      <c r="S1720">
        <v>-75.191999999999993</v>
      </c>
      <c r="T1720" t="s">
        <v>59</v>
      </c>
      <c r="U1720" t="s">
        <v>72</v>
      </c>
    </row>
    <row r="1721" spans="1:21" x14ac:dyDescent="0.25">
      <c r="A1721" t="s">
        <v>3944</v>
      </c>
      <c r="B1721" s="1">
        <v>42685</v>
      </c>
      <c r="C1721" s="1">
        <v>42690</v>
      </c>
      <c r="D1721" t="s">
        <v>40</v>
      </c>
      <c r="E1721" t="s">
        <v>616</v>
      </c>
      <c r="F1721" t="s">
        <v>617</v>
      </c>
      <c r="G1721" t="s">
        <v>25</v>
      </c>
      <c r="H1721" t="s">
        <v>26</v>
      </c>
      <c r="I1721" t="s">
        <v>329</v>
      </c>
      <c r="J1721" t="s">
        <v>54</v>
      </c>
      <c r="K1721" t="s">
        <v>55</v>
      </c>
      <c r="L1721" t="s">
        <v>187</v>
      </c>
      <c r="M1721" t="s">
        <v>31</v>
      </c>
      <c r="N1721" t="s">
        <v>57</v>
      </c>
      <c r="O1721" t="s">
        <v>188</v>
      </c>
      <c r="P1721">
        <v>41.96</v>
      </c>
      <c r="Q1721">
        <v>2</v>
      </c>
      <c r="R1721">
        <v>0</v>
      </c>
      <c r="S1721">
        <v>10.909599999999999</v>
      </c>
      <c r="T1721" t="s">
        <v>59</v>
      </c>
      <c r="U1721" t="s">
        <v>35</v>
      </c>
    </row>
    <row r="1722" spans="1:21" x14ac:dyDescent="0.25">
      <c r="A1722" t="s">
        <v>3944</v>
      </c>
      <c r="B1722" s="1">
        <v>42685</v>
      </c>
      <c r="C1722" s="1">
        <v>42690</v>
      </c>
      <c r="D1722" t="s">
        <v>40</v>
      </c>
      <c r="E1722" t="s">
        <v>616</v>
      </c>
      <c r="F1722" t="s">
        <v>617</v>
      </c>
      <c r="G1722" t="s">
        <v>25</v>
      </c>
      <c r="H1722" t="s">
        <v>26</v>
      </c>
      <c r="I1722" t="s">
        <v>329</v>
      </c>
      <c r="J1722" t="s">
        <v>54</v>
      </c>
      <c r="K1722" t="s">
        <v>55</v>
      </c>
      <c r="L1722" t="s">
        <v>626</v>
      </c>
      <c r="M1722" t="s">
        <v>31</v>
      </c>
      <c r="N1722" t="s">
        <v>37</v>
      </c>
      <c r="O1722" t="s">
        <v>627</v>
      </c>
      <c r="P1722">
        <v>451.15199999999999</v>
      </c>
      <c r="Q1722">
        <v>3</v>
      </c>
      <c r="R1722">
        <v>0.2</v>
      </c>
      <c r="S1722">
        <v>0</v>
      </c>
      <c r="T1722" t="s">
        <v>59</v>
      </c>
      <c r="U1722" t="s">
        <v>35</v>
      </c>
    </row>
    <row r="1723" spans="1:21" x14ac:dyDescent="0.25">
      <c r="A1723" t="s">
        <v>3945</v>
      </c>
      <c r="B1723" s="1">
        <v>42985</v>
      </c>
      <c r="C1723" s="1">
        <v>42990</v>
      </c>
      <c r="D1723" t="s">
        <v>40</v>
      </c>
      <c r="E1723" t="s">
        <v>1876</v>
      </c>
      <c r="F1723" t="s">
        <v>1877</v>
      </c>
      <c r="G1723" t="s">
        <v>25</v>
      </c>
      <c r="H1723" t="s">
        <v>26</v>
      </c>
      <c r="I1723" t="s">
        <v>3946</v>
      </c>
      <c r="J1723" t="s">
        <v>54</v>
      </c>
      <c r="K1723" t="s">
        <v>55</v>
      </c>
      <c r="L1723" t="s">
        <v>296</v>
      </c>
      <c r="M1723" t="s">
        <v>31</v>
      </c>
      <c r="N1723" t="s">
        <v>37</v>
      </c>
      <c r="O1723" t="s">
        <v>297</v>
      </c>
      <c r="P1723">
        <v>161.56800000000001</v>
      </c>
      <c r="Q1723">
        <v>2</v>
      </c>
      <c r="R1723">
        <v>0.2</v>
      </c>
      <c r="S1723">
        <v>-28.2744</v>
      </c>
      <c r="T1723" t="s">
        <v>59</v>
      </c>
      <c r="U1723" t="s">
        <v>78</v>
      </c>
    </row>
    <row r="1724" spans="1:21" x14ac:dyDescent="0.25">
      <c r="A1724" t="s">
        <v>3947</v>
      </c>
      <c r="B1724" s="1">
        <v>42973</v>
      </c>
      <c r="C1724" s="1">
        <v>42979</v>
      </c>
      <c r="D1724" t="s">
        <v>40</v>
      </c>
      <c r="E1724" t="s">
        <v>108</v>
      </c>
      <c r="F1724" t="s">
        <v>109</v>
      </c>
      <c r="G1724" t="s">
        <v>25</v>
      </c>
      <c r="H1724" t="s">
        <v>26</v>
      </c>
      <c r="I1724" t="s">
        <v>134</v>
      </c>
      <c r="J1724" t="s">
        <v>135</v>
      </c>
      <c r="K1724" t="s">
        <v>94</v>
      </c>
      <c r="L1724" t="s">
        <v>757</v>
      </c>
      <c r="M1724" t="s">
        <v>31</v>
      </c>
      <c r="N1724" t="s">
        <v>57</v>
      </c>
      <c r="O1724" t="s">
        <v>758</v>
      </c>
      <c r="P1724">
        <v>64.959999999999994</v>
      </c>
      <c r="Q1724">
        <v>5</v>
      </c>
      <c r="R1724">
        <v>0.6</v>
      </c>
      <c r="S1724">
        <v>-43.847999999999999</v>
      </c>
      <c r="T1724" t="s">
        <v>130</v>
      </c>
      <c r="U1724" t="s">
        <v>254</v>
      </c>
    </row>
    <row r="1725" spans="1:21" x14ac:dyDescent="0.25">
      <c r="A1725" t="s">
        <v>3948</v>
      </c>
      <c r="B1725" s="1">
        <v>42285</v>
      </c>
      <c r="C1725" s="1">
        <v>42290</v>
      </c>
      <c r="D1725" t="s">
        <v>40</v>
      </c>
      <c r="E1725" t="s">
        <v>89</v>
      </c>
      <c r="F1725" t="s">
        <v>90</v>
      </c>
      <c r="G1725" t="s">
        <v>91</v>
      </c>
      <c r="H1725" t="s">
        <v>26</v>
      </c>
      <c r="I1725" t="s">
        <v>1740</v>
      </c>
      <c r="J1725" t="s">
        <v>93</v>
      </c>
      <c r="K1725" t="s">
        <v>94</v>
      </c>
      <c r="L1725" t="s">
        <v>145</v>
      </c>
      <c r="M1725" t="s">
        <v>31</v>
      </c>
      <c r="N1725" t="s">
        <v>57</v>
      </c>
      <c r="O1725" t="s">
        <v>146</v>
      </c>
      <c r="P1725">
        <v>72.78</v>
      </c>
      <c r="Q1725">
        <v>3</v>
      </c>
      <c r="R1725">
        <v>0.6</v>
      </c>
      <c r="S1725">
        <v>-70.960499999999996</v>
      </c>
      <c r="T1725" t="s">
        <v>59</v>
      </c>
      <c r="U1725" t="s">
        <v>49</v>
      </c>
    </row>
    <row r="1726" spans="1:21" x14ac:dyDescent="0.25">
      <c r="A1726" t="s">
        <v>3949</v>
      </c>
      <c r="B1726" s="1">
        <v>42594</v>
      </c>
      <c r="C1726" s="1">
        <v>42598</v>
      </c>
      <c r="D1726" t="s">
        <v>40</v>
      </c>
      <c r="E1726" t="s">
        <v>3950</v>
      </c>
      <c r="F1726" t="s">
        <v>3951</v>
      </c>
      <c r="G1726" t="s">
        <v>91</v>
      </c>
      <c r="H1726" t="s">
        <v>26</v>
      </c>
      <c r="I1726" t="s">
        <v>575</v>
      </c>
      <c r="J1726" t="s">
        <v>44</v>
      </c>
      <c r="K1726" t="s">
        <v>29</v>
      </c>
      <c r="L1726" t="s">
        <v>369</v>
      </c>
      <c r="M1726" t="s">
        <v>31</v>
      </c>
      <c r="N1726" t="s">
        <v>46</v>
      </c>
      <c r="O1726" t="s">
        <v>370</v>
      </c>
      <c r="P1726">
        <v>562.29250000000002</v>
      </c>
      <c r="Q1726">
        <v>7</v>
      </c>
      <c r="R1726">
        <v>0.45</v>
      </c>
      <c r="S1726">
        <v>-255.58750000000001</v>
      </c>
      <c r="T1726" t="s">
        <v>84</v>
      </c>
      <c r="U1726" t="s">
        <v>254</v>
      </c>
    </row>
    <row r="1727" spans="1:21" x14ac:dyDescent="0.25">
      <c r="A1727" t="s">
        <v>3952</v>
      </c>
      <c r="B1727" s="1">
        <v>41952</v>
      </c>
      <c r="C1727" s="1">
        <v>41956</v>
      </c>
      <c r="D1727" t="s">
        <v>40</v>
      </c>
      <c r="E1727" t="s">
        <v>3364</v>
      </c>
      <c r="F1727" t="s">
        <v>3365</v>
      </c>
      <c r="G1727" t="s">
        <v>101</v>
      </c>
      <c r="H1727" t="s">
        <v>26</v>
      </c>
      <c r="I1727" t="s">
        <v>174</v>
      </c>
      <c r="J1727" t="s">
        <v>121</v>
      </c>
      <c r="K1727" t="s">
        <v>68</v>
      </c>
      <c r="L1727" t="s">
        <v>355</v>
      </c>
      <c r="M1727" t="s">
        <v>31</v>
      </c>
      <c r="N1727" t="s">
        <v>57</v>
      </c>
      <c r="O1727" t="s">
        <v>1244</v>
      </c>
      <c r="P1727">
        <v>56.52</v>
      </c>
      <c r="Q1727">
        <v>9</v>
      </c>
      <c r="R1727">
        <v>0</v>
      </c>
      <c r="S1727">
        <v>21.477599999999999</v>
      </c>
      <c r="T1727" t="s">
        <v>84</v>
      </c>
      <c r="U1727" t="s">
        <v>35</v>
      </c>
    </row>
    <row r="1728" spans="1:21" x14ac:dyDescent="0.25">
      <c r="A1728" t="s">
        <v>3953</v>
      </c>
      <c r="B1728" s="1">
        <v>42405</v>
      </c>
      <c r="C1728" s="1">
        <v>42410</v>
      </c>
      <c r="D1728" t="s">
        <v>40</v>
      </c>
      <c r="E1728" t="s">
        <v>1891</v>
      </c>
      <c r="F1728" t="s">
        <v>1892</v>
      </c>
      <c r="G1728" t="s">
        <v>25</v>
      </c>
      <c r="H1728" t="s">
        <v>26</v>
      </c>
      <c r="I1728" t="s">
        <v>640</v>
      </c>
      <c r="J1728" t="s">
        <v>54</v>
      </c>
      <c r="K1728" t="s">
        <v>55</v>
      </c>
      <c r="L1728" t="s">
        <v>785</v>
      </c>
      <c r="M1728" t="s">
        <v>31</v>
      </c>
      <c r="N1728" t="s">
        <v>46</v>
      </c>
      <c r="O1728" t="s">
        <v>786</v>
      </c>
      <c r="P1728">
        <v>557.72799999999995</v>
      </c>
      <c r="Q1728">
        <v>4</v>
      </c>
      <c r="R1728">
        <v>0.2</v>
      </c>
      <c r="S1728">
        <v>6.9715999999999996</v>
      </c>
      <c r="T1728" t="s">
        <v>59</v>
      </c>
      <c r="U1728" t="s">
        <v>298</v>
      </c>
    </row>
    <row r="1729" spans="1:21" x14ac:dyDescent="0.25">
      <c r="A1729" t="s">
        <v>3954</v>
      </c>
      <c r="B1729" s="1">
        <v>41665</v>
      </c>
      <c r="C1729" s="1">
        <v>41668</v>
      </c>
      <c r="D1729" t="s">
        <v>88</v>
      </c>
      <c r="E1729" t="s">
        <v>2775</v>
      </c>
      <c r="F1729" t="s">
        <v>2776</v>
      </c>
      <c r="G1729" t="s">
        <v>91</v>
      </c>
      <c r="H1729" t="s">
        <v>26</v>
      </c>
      <c r="I1729" t="s">
        <v>3955</v>
      </c>
      <c r="J1729" t="s">
        <v>1827</v>
      </c>
      <c r="K1729" t="s">
        <v>94</v>
      </c>
      <c r="L1729" t="s">
        <v>811</v>
      </c>
      <c r="M1729" t="s">
        <v>31</v>
      </c>
      <c r="N1729" t="s">
        <v>32</v>
      </c>
      <c r="O1729" t="s">
        <v>812</v>
      </c>
      <c r="P1729">
        <v>141.96</v>
      </c>
      <c r="Q1729">
        <v>2</v>
      </c>
      <c r="R1729">
        <v>0</v>
      </c>
      <c r="S1729">
        <v>39.748800000000003</v>
      </c>
      <c r="T1729" t="s">
        <v>34</v>
      </c>
      <c r="U1729" t="s">
        <v>170</v>
      </c>
    </row>
    <row r="1730" spans="1:21" x14ac:dyDescent="0.25">
      <c r="A1730" t="s">
        <v>3956</v>
      </c>
      <c r="B1730" s="1">
        <v>42647</v>
      </c>
      <c r="C1730" s="1">
        <v>42652</v>
      </c>
      <c r="D1730" t="s">
        <v>40</v>
      </c>
      <c r="E1730" t="s">
        <v>780</v>
      </c>
      <c r="F1730" t="s">
        <v>781</v>
      </c>
      <c r="G1730" t="s">
        <v>25</v>
      </c>
      <c r="H1730" t="s">
        <v>26</v>
      </c>
      <c r="I1730" t="s">
        <v>2755</v>
      </c>
      <c r="J1730" t="s">
        <v>1090</v>
      </c>
      <c r="K1730" t="s">
        <v>68</v>
      </c>
      <c r="L1730" t="s">
        <v>1255</v>
      </c>
      <c r="M1730" t="s">
        <v>31</v>
      </c>
      <c r="N1730" t="s">
        <v>46</v>
      </c>
      <c r="O1730" t="s">
        <v>1256</v>
      </c>
      <c r="P1730">
        <v>239.37200000000001</v>
      </c>
      <c r="Q1730">
        <v>2</v>
      </c>
      <c r="R1730">
        <v>0.3</v>
      </c>
      <c r="S1730">
        <v>-23.937200000000001</v>
      </c>
      <c r="T1730" t="s">
        <v>59</v>
      </c>
      <c r="U1730" t="s">
        <v>49</v>
      </c>
    </row>
    <row r="1731" spans="1:21" x14ac:dyDescent="0.25">
      <c r="A1731" t="s">
        <v>3957</v>
      </c>
      <c r="B1731" s="1">
        <v>42416</v>
      </c>
      <c r="C1731" s="1">
        <v>42420</v>
      </c>
      <c r="D1731" t="s">
        <v>40</v>
      </c>
      <c r="E1731" t="s">
        <v>3958</v>
      </c>
      <c r="F1731" t="s">
        <v>3959</v>
      </c>
      <c r="G1731" t="s">
        <v>25</v>
      </c>
      <c r="H1731" t="s">
        <v>26</v>
      </c>
      <c r="I1731" t="s">
        <v>362</v>
      </c>
      <c r="J1731" t="s">
        <v>363</v>
      </c>
      <c r="K1731" t="s">
        <v>68</v>
      </c>
      <c r="L1731" t="s">
        <v>3217</v>
      </c>
      <c r="M1731" t="s">
        <v>31</v>
      </c>
      <c r="N1731" t="s">
        <v>37</v>
      </c>
      <c r="O1731" t="s">
        <v>3218</v>
      </c>
      <c r="P1731">
        <v>227.96</v>
      </c>
      <c r="Q1731">
        <v>2</v>
      </c>
      <c r="R1731">
        <v>0</v>
      </c>
      <c r="S1731">
        <v>36.473599999999998</v>
      </c>
      <c r="T1731" t="s">
        <v>84</v>
      </c>
      <c r="U1731" t="s">
        <v>298</v>
      </c>
    </row>
    <row r="1732" spans="1:21" x14ac:dyDescent="0.25">
      <c r="A1732" t="s">
        <v>3960</v>
      </c>
      <c r="B1732" s="1">
        <v>42310</v>
      </c>
      <c r="C1732" s="1">
        <v>42314</v>
      </c>
      <c r="D1732" t="s">
        <v>40</v>
      </c>
      <c r="E1732" t="s">
        <v>814</v>
      </c>
      <c r="F1732" t="s">
        <v>815</v>
      </c>
      <c r="G1732" t="s">
        <v>25</v>
      </c>
      <c r="H1732" t="s">
        <v>26</v>
      </c>
      <c r="I1732" t="s">
        <v>640</v>
      </c>
      <c r="J1732" t="s">
        <v>54</v>
      </c>
      <c r="K1732" t="s">
        <v>55</v>
      </c>
      <c r="L1732" t="s">
        <v>1963</v>
      </c>
      <c r="M1732" t="s">
        <v>31</v>
      </c>
      <c r="N1732" t="s">
        <v>57</v>
      </c>
      <c r="O1732" t="s">
        <v>1964</v>
      </c>
      <c r="P1732">
        <v>96.96</v>
      </c>
      <c r="Q1732">
        <v>6</v>
      </c>
      <c r="R1732">
        <v>0</v>
      </c>
      <c r="S1732">
        <v>33.936</v>
      </c>
      <c r="T1732" t="s">
        <v>84</v>
      </c>
      <c r="U1732" t="s">
        <v>35</v>
      </c>
    </row>
    <row r="1733" spans="1:21" x14ac:dyDescent="0.25">
      <c r="A1733" t="s">
        <v>3960</v>
      </c>
      <c r="B1733" s="1">
        <v>42310</v>
      </c>
      <c r="C1733" s="1">
        <v>42314</v>
      </c>
      <c r="D1733" t="s">
        <v>40</v>
      </c>
      <c r="E1733" t="s">
        <v>814</v>
      </c>
      <c r="F1733" t="s">
        <v>815</v>
      </c>
      <c r="G1733" t="s">
        <v>25</v>
      </c>
      <c r="H1733" t="s">
        <v>26</v>
      </c>
      <c r="I1733" t="s">
        <v>640</v>
      </c>
      <c r="J1733" t="s">
        <v>54</v>
      </c>
      <c r="K1733" t="s">
        <v>55</v>
      </c>
      <c r="L1733" t="s">
        <v>1968</v>
      </c>
      <c r="M1733" t="s">
        <v>31</v>
      </c>
      <c r="N1733" t="s">
        <v>32</v>
      </c>
      <c r="O1733" t="s">
        <v>1969</v>
      </c>
      <c r="P1733">
        <v>512.49900000000002</v>
      </c>
      <c r="Q1733">
        <v>3</v>
      </c>
      <c r="R1733">
        <v>0.15</v>
      </c>
      <c r="S1733">
        <v>-30.146999999999998</v>
      </c>
      <c r="T1733" t="s">
        <v>84</v>
      </c>
      <c r="U1733" t="s">
        <v>35</v>
      </c>
    </row>
    <row r="1734" spans="1:21" x14ac:dyDescent="0.25">
      <c r="A1734" t="s">
        <v>3961</v>
      </c>
      <c r="B1734" s="1">
        <v>42582</v>
      </c>
      <c r="C1734" s="1">
        <v>42587</v>
      </c>
      <c r="D1734" t="s">
        <v>40</v>
      </c>
      <c r="E1734" t="s">
        <v>2577</v>
      </c>
      <c r="F1734" t="s">
        <v>2578</v>
      </c>
      <c r="G1734" t="s">
        <v>91</v>
      </c>
      <c r="H1734" t="s">
        <v>26</v>
      </c>
      <c r="I1734" t="s">
        <v>329</v>
      </c>
      <c r="J1734" t="s">
        <v>54</v>
      </c>
      <c r="K1734" t="s">
        <v>55</v>
      </c>
      <c r="L1734" t="s">
        <v>732</v>
      </c>
      <c r="M1734" t="s">
        <v>31</v>
      </c>
      <c r="N1734" t="s">
        <v>46</v>
      </c>
      <c r="O1734" t="s">
        <v>733</v>
      </c>
      <c r="P1734">
        <v>863.12800000000004</v>
      </c>
      <c r="Q1734">
        <v>7</v>
      </c>
      <c r="R1734">
        <v>0.2</v>
      </c>
      <c r="S1734">
        <v>-32.3673</v>
      </c>
      <c r="T1734" t="s">
        <v>59</v>
      </c>
      <c r="U1734" t="s">
        <v>72</v>
      </c>
    </row>
    <row r="1735" spans="1:21" x14ac:dyDescent="0.25">
      <c r="A1735" t="s">
        <v>3962</v>
      </c>
      <c r="B1735" s="1">
        <v>43045</v>
      </c>
      <c r="C1735" s="1">
        <v>43052</v>
      </c>
      <c r="D1735" t="s">
        <v>40</v>
      </c>
      <c r="E1735" t="s">
        <v>1845</v>
      </c>
      <c r="F1735" t="s">
        <v>1846</v>
      </c>
      <c r="G1735" t="s">
        <v>101</v>
      </c>
      <c r="H1735" t="s">
        <v>26</v>
      </c>
      <c r="I1735" t="s">
        <v>192</v>
      </c>
      <c r="J1735" t="s">
        <v>193</v>
      </c>
      <c r="K1735" t="s">
        <v>55</v>
      </c>
      <c r="L1735" t="s">
        <v>411</v>
      </c>
      <c r="M1735" t="s">
        <v>31</v>
      </c>
      <c r="N1735" t="s">
        <v>46</v>
      </c>
      <c r="O1735" t="s">
        <v>412</v>
      </c>
      <c r="P1735">
        <v>2036.86</v>
      </c>
      <c r="Q1735">
        <v>7</v>
      </c>
      <c r="R1735">
        <v>0</v>
      </c>
      <c r="S1735">
        <v>366.63479999999998</v>
      </c>
      <c r="T1735" t="s">
        <v>48</v>
      </c>
      <c r="U1735" t="s">
        <v>35</v>
      </c>
    </row>
    <row r="1736" spans="1:21" x14ac:dyDescent="0.25">
      <c r="A1736" t="s">
        <v>3962</v>
      </c>
      <c r="B1736" s="1">
        <v>43045</v>
      </c>
      <c r="C1736" s="1">
        <v>43052</v>
      </c>
      <c r="D1736" t="s">
        <v>40</v>
      </c>
      <c r="E1736" t="s">
        <v>1845</v>
      </c>
      <c r="F1736" t="s">
        <v>1846</v>
      </c>
      <c r="G1736" t="s">
        <v>101</v>
      </c>
      <c r="H1736" t="s">
        <v>26</v>
      </c>
      <c r="I1736" t="s">
        <v>192</v>
      </c>
      <c r="J1736" t="s">
        <v>193</v>
      </c>
      <c r="K1736" t="s">
        <v>55</v>
      </c>
      <c r="L1736" t="s">
        <v>406</v>
      </c>
      <c r="M1736" t="s">
        <v>31</v>
      </c>
      <c r="N1736" t="s">
        <v>37</v>
      </c>
      <c r="O1736" t="s">
        <v>407</v>
      </c>
      <c r="P1736">
        <v>449.56799999999998</v>
      </c>
      <c r="Q1736">
        <v>2</v>
      </c>
      <c r="R1736">
        <v>0.2</v>
      </c>
      <c r="S1736">
        <v>-73.0548</v>
      </c>
      <c r="T1736" t="s">
        <v>48</v>
      </c>
      <c r="U1736" t="s">
        <v>35</v>
      </c>
    </row>
    <row r="1737" spans="1:21" x14ac:dyDescent="0.25">
      <c r="A1737" t="s">
        <v>3963</v>
      </c>
      <c r="B1737" s="1">
        <v>42218</v>
      </c>
      <c r="C1737" s="1">
        <v>42222</v>
      </c>
      <c r="D1737" t="s">
        <v>40</v>
      </c>
      <c r="E1737" t="s">
        <v>589</v>
      </c>
      <c r="F1737" t="s">
        <v>590</v>
      </c>
      <c r="G1737" t="s">
        <v>25</v>
      </c>
      <c r="H1737" t="s">
        <v>26</v>
      </c>
      <c r="I1737" t="s">
        <v>879</v>
      </c>
      <c r="J1737" t="s">
        <v>1518</v>
      </c>
      <c r="K1737" t="s">
        <v>55</v>
      </c>
      <c r="L1737" t="s">
        <v>2567</v>
      </c>
      <c r="M1737" t="s">
        <v>31</v>
      </c>
      <c r="N1737" t="s">
        <v>46</v>
      </c>
      <c r="O1737" t="s">
        <v>2568</v>
      </c>
      <c r="P1737">
        <v>277.5</v>
      </c>
      <c r="Q1737">
        <v>4</v>
      </c>
      <c r="R1737">
        <v>0.5</v>
      </c>
      <c r="S1737">
        <v>-188.7</v>
      </c>
      <c r="T1737" t="s">
        <v>84</v>
      </c>
      <c r="U1737" t="s">
        <v>254</v>
      </c>
    </row>
    <row r="1738" spans="1:21" x14ac:dyDescent="0.25">
      <c r="A1738" t="s">
        <v>3964</v>
      </c>
      <c r="B1738" s="1">
        <v>42329</v>
      </c>
      <c r="C1738" s="1">
        <v>42333</v>
      </c>
      <c r="D1738" t="s">
        <v>40</v>
      </c>
      <c r="E1738" t="s">
        <v>3013</v>
      </c>
      <c r="F1738" t="s">
        <v>3014</v>
      </c>
      <c r="G1738" t="s">
        <v>25</v>
      </c>
      <c r="H1738" t="s">
        <v>26</v>
      </c>
      <c r="I1738" t="s">
        <v>66</v>
      </c>
      <c r="J1738" t="s">
        <v>67</v>
      </c>
      <c r="K1738" t="s">
        <v>68</v>
      </c>
      <c r="L1738" t="s">
        <v>1248</v>
      </c>
      <c r="M1738" t="s">
        <v>31</v>
      </c>
      <c r="N1738" t="s">
        <v>46</v>
      </c>
      <c r="O1738" t="s">
        <v>1249</v>
      </c>
      <c r="P1738">
        <v>1252.704</v>
      </c>
      <c r="Q1738">
        <v>8</v>
      </c>
      <c r="R1738">
        <v>0.4</v>
      </c>
      <c r="S1738">
        <v>-480.20319999999998</v>
      </c>
      <c r="T1738" t="s">
        <v>84</v>
      </c>
      <c r="U1738" t="s">
        <v>35</v>
      </c>
    </row>
    <row r="1739" spans="1:21" x14ac:dyDescent="0.25">
      <c r="A1739" t="s">
        <v>3965</v>
      </c>
      <c r="B1739" s="1">
        <v>42873</v>
      </c>
      <c r="C1739" s="1">
        <v>42877</v>
      </c>
      <c r="D1739" t="s">
        <v>40</v>
      </c>
      <c r="E1739" t="s">
        <v>1829</v>
      </c>
      <c r="F1739" t="s">
        <v>1830</v>
      </c>
      <c r="G1739" t="s">
        <v>91</v>
      </c>
      <c r="H1739" t="s">
        <v>26</v>
      </c>
      <c r="I1739" t="s">
        <v>134</v>
      </c>
      <c r="J1739" t="s">
        <v>135</v>
      </c>
      <c r="K1739" t="s">
        <v>94</v>
      </c>
      <c r="L1739" t="s">
        <v>1543</v>
      </c>
      <c r="M1739" t="s">
        <v>31</v>
      </c>
      <c r="N1739" t="s">
        <v>57</v>
      </c>
      <c r="O1739" t="s">
        <v>1544</v>
      </c>
      <c r="P1739">
        <v>22.608000000000001</v>
      </c>
      <c r="Q1739">
        <v>3</v>
      </c>
      <c r="R1739">
        <v>0.6</v>
      </c>
      <c r="S1739">
        <v>-10.1736</v>
      </c>
      <c r="T1739" t="s">
        <v>84</v>
      </c>
      <c r="U1739" t="s">
        <v>162</v>
      </c>
    </row>
    <row r="1740" spans="1:21" x14ac:dyDescent="0.25">
      <c r="A1740" t="s">
        <v>3965</v>
      </c>
      <c r="B1740" s="1">
        <v>42873</v>
      </c>
      <c r="C1740" s="1">
        <v>42877</v>
      </c>
      <c r="D1740" t="s">
        <v>40</v>
      </c>
      <c r="E1740" t="s">
        <v>1829</v>
      </c>
      <c r="F1740" t="s">
        <v>1830</v>
      </c>
      <c r="G1740" t="s">
        <v>91</v>
      </c>
      <c r="H1740" t="s">
        <v>26</v>
      </c>
      <c r="I1740" t="s">
        <v>134</v>
      </c>
      <c r="J1740" t="s">
        <v>135</v>
      </c>
      <c r="K1740" t="s">
        <v>94</v>
      </c>
      <c r="L1740" t="s">
        <v>380</v>
      </c>
      <c r="M1740" t="s">
        <v>31</v>
      </c>
      <c r="N1740" t="s">
        <v>57</v>
      </c>
      <c r="O1740" t="s">
        <v>381</v>
      </c>
      <c r="P1740">
        <v>1.8919999999999999</v>
      </c>
      <c r="Q1740">
        <v>1</v>
      </c>
      <c r="R1740">
        <v>0.6</v>
      </c>
      <c r="S1740">
        <v>-0.99329999999999996</v>
      </c>
      <c r="T1740" t="s">
        <v>84</v>
      </c>
      <c r="U1740" t="s">
        <v>162</v>
      </c>
    </row>
    <row r="1741" spans="1:21" x14ac:dyDescent="0.25">
      <c r="A1741" t="s">
        <v>3966</v>
      </c>
      <c r="B1741" s="1">
        <v>42260</v>
      </c>
      <c r="C1741" s="1">
        <v>42264</v>
      </c>
      <c r="D1741" t="s">
        <v>22</v>
      </c>
      <c r="E1741" t="s">
        <v>1473</v>
      </c>
      <c r="F1741" t="s">
        <v>1474</v>
      </c>
      <c r="G1741" t="s">
        <v>25</v>
      </c>
      <c r="H1741" t="s">
        <v>26</v>
      </c>
      <c r="I1741" t="s">
        <v>134</v>
      </c>
      <c r="J1741" t="s">
        <v>135</v>
      </c>
      <c r="K1741" t="s">
        <v>94</v>
      </c>
      <c r="L1741" t="s">
        <v>252</v>
      </c>
      <c r="M1741" t="s">
        <v>31</v>
      </c>
      <c r="N1741" t="s">
        <v>37</v>
      </c>
      <c r="O1741" t="s">
        <v>253</v>
      </c>
      <c r="P1741">
        <v>170.072</v>
      </c>
      <c r="Q1741">
        <v>4</v>
      </c>
      <c r="R1741">
        <v>0.3</v>
      </c>
      <c r="S1741">
        <v>-12.148</v>
      </c>
      <c r="T1741" t="s">
        <v>84</v>
      </c>
      <c r="U1741" t="s">
        <v>78</v>
      </c>
    </row>
    <row r="1742" spans="1:21" x14ac:dyDescent="0.25">
      <c r="A1742" t="s">
        <v>3967</v>
      </c>
      <c r="B1742" s="1">
        <v>43056</v>
      </c>
      <c r="C1742" s="1">
        <v>43060</v>
      </c>
      <c r="D1742" t="s">
        <v>40</v>
      </c>
      <c r="E1742" t="s">
        <v>2134</v>
      </c>
      <c r="F1742" t="s">
        <v>2135</v>
      </c>
      <c r="G1742" t="s">
        <v>25</v>
      </c>
      <c r="H1742" t="s">
        <v>26</v>
      </c>
      <c r="I1742" t="s">
        <v>174</v>
      </c>
      <c r="J1742" t="s">
        <v>121</v>
      </c>
      <c r="K1742" t="s">
        <v>68</v>
      </c>
      <c r="L1742" t="s">
        <v>355</v>
      </c>
      <c r="M1742" t="s">
        <v>31</v>
      </c>
      <c r="N1742" t="s">
        <v>57</v>
      </c>
      <c r="O1742" t="s">
        <v>356</v>
      </c>
      <c r="P1742">
        <v>187.76</v>
      </c>
      <c r="Q1742">
        <v>4</v>
      </c>
      <c r="R1742">
        <v>0</v>
      </c>
      <c r="S1742">
        <v>76.9816</v>
      </c>
      <c r="T1742" t="s">
        <v>84</v>
      </c>
      <c r="U1742" t="s">
        <v>35</v>
      </c>
    </row>
    <row r="1743" spans="1:21" x14ac:dyDescent="0.25">
      <c r="A1743" t="s">
        <v>3968</v>
      </c>
      <c r="B1743" s="1">
        <v>42338</v>
      </c>
      <c r="C1743" s="1">
        <v>42341</v>
      </c>
      <c r="D1743" t="s">
        <v>88</v>
      </c>
      <c r="E1743" t="s">
        <v>638</v>
      </c>
      <c r="F1743" t="s">
        <v>639</v>
      </c>
      <c r="G1743" t="s">
        <v>25</v>
      </c>
      <c r="H1743" t="s">
        <v>26</v>
      </c>
      <c r="I1743" t="s">
        <v>3969</v>
      </c>
      <c r="J1743" t="s">
        <v>1037</v>
      </c>
      <c r="K1743" t="s">
        <v>29</v>
      </c>
      <c r="L1743" t="s">
        <v>314</v>
      </c>
      <c r="M1743" t="s">
        <v>31</v>
      </c>
      <c r="N1743" t="s">
        <v>57</v>
      </c>
      <c r="O1743" t="s">
        <v>315</v>
      </c>
      <c r="P1743">
        <v>335.74400000000003</v>
      </c>
      <c r="Q1743">
        <v>2</v>
      </c>
      <c r="R1743">
        <v>0.2</v>
      </c>
      <c r="S1743">
        <v>25.180800000000001</v>
      </c>
      <c r="T1743" t="s">
        <v>34</v>
      </c>
      <c r="U1743" t="s">
        <v>35</v>
      </c>
    </row>
    <row r="1744" spans="1:21" x14ac:dyDescent="0.25">
      <c r="A1744" t="s">
        <v>3970</v>
      </c>
      <c r="B1744" s="1">
        <v>42316</v>
      </c>
      <c r="C1744" s="1">
        <v>42316</v>
      </c>
      <c r="D1744" t="s">
        <v>426</v>
      </c>
      <c r="E1744" t="s">
        <v>2498</v>
      </c>
      <c r="F1744" t="s">
        <v>2499</v>
      </c>
      <c r="G1744" t="s">
        <v>91</v>
      </c>
      <c r="H1744" t="s">
        <v>26</v>
      </c>
      <c r="I1744" t="s">
        <v>174</v>
      </c>
      <c r="J1744" t="s">
        <v>121</v>
      </c>
      <c r="K1744" t="s">
        <v>68</v>
      </c>
      <c r="L1744" t="s">
        <v>3576</v>
      </c>
      <c r="M1744" t="s">
        <v>31</v>
      </c>
      <c r="N1744" t="s">
        <v>57</v>
      </c>
      <c r="O1744" t="s">
        <v>3577</v>
      </c>
      <c r="P1744">
        <v>11.82</v>
      </c>
      <c r="Q1744">
        <v>3</v>
      </c>
      <c r="R1744">
        <v>0</v>
      </c>
      <c r="S1744">
        <v>4.7279999999999998</v>
      </c>
      <c r="T1744" t="s">
        <v>431</v>
      </c>
      <c r="U1744" t="s">
        <v>35</v>
      </c>
    </row>
    <row r="1745" spans="1:21" x14ac:dyDescent="0.25">
      <c r="A1745" t="s">
        <v>3970</v>
      </c>
      <c r="B1745" s="1">
        <v>42316</v>
      </c>
      <c r="C1745" s="1">
        <v>42316</v>
      </c>
      <c r="D1745" t="s">
        <v>426</v>
      </c>
      <c r="E1745" t="s">
        <v>2498</v>
      </c>
      <c r="F1745" t="s">
        <v>2499</v>
      </c>
      <c r="G1745" t="s">
        <v>91</v>
      </c>
      <c r="H1745" t="s">
        <v>26</v>
      </c>
      <c r="I1745" t="s">
        <v>174</v>
      </c>
      <c r="J1745" t="s">
        <v>121</v>
      </c>
      <c r="K1745" t="s">
        <v>68</v>
      </c>
      <c r="L1745" t="s">
        <v>796</v>
      </c>
      <c r="M1745" t="s">
        <v>31</v>
      </c>
      <c r="N1745" t="s">
        <v>37</v>
      </c>
      <c r="O1745" t="s">
        <v>797</v>
      </c>
      <c r="P1745">
        <v>577.76400000000001</v>
      </c>
      <c r="Q1745">
        <v>2</v>
      </c>
      <c r="R1745">
        <v>0.1</v>
      </c>
      <c r="S1745">
        <v>115.5528</v>
      </c>
      <c r="T1745" t="s">
        <v>431</v>
      </c>
      <c r="U1745" t="s">
        <v>35</v>
      </c>
    </row>
    <row r="1746" spans="1:21" x14ac:dyDescent="0.25">
      <c r="A1746" t="s">
        <v>3971</v>
      </c>
      <c r="B1746" s="1">
        <v>42120</v>
      </c>
      <c r="C1746" s="1">
        <v>42124</v>
      </c>
      <c r="D1746" t="s">
        <v>40</v>
      </c>
      <c r="E1746" t="s">
        <v>820</v>
      </c>
      <c r="F1746" t="s">
        <v>821</v>
      </c>
      <c r="G1746" t="s">
        <v>25</v>
      </c>
      <c r="H1746" t="s">
        <v>26</v>
      </c>
      <c r="I1746" t="s">
        <v>3972</v>
      </c>
      <c r="J1746" t="s">
        <v>44</v>
      </c>
      <c r="K1746" t="s">
        <v>29</v>
      </c>
      <c r="L1746" t="s">
        <v>45</v>
      </c>
      <c r="M1746" t="s">
        <v>31</v>
      </c>
      <c r="N1746" t="s">
        <v>46</v>
      </c>
      <c r="O1746" t="s">
        <v>47</v>
      </c>
      <c r="P1746">
        <v>191.5155</v>
      </c>
      <c r="Q1746">
        <v>1</v>
      </c>
      <c r="R1746">
        <v>0.45</v>
      </c>
      <c r="S1746">
        <v>-76.606200000000001</v>
      </c>
      <c r="T1746" t="s">
        <v>84</v>
      </c>
      <c r="U1746" t="s">
        <v>114</v>
      </c>
    </row>
    <row r="1747" spans="1:21" x14ac:dyDescent="0.25">
      <c r="A1747" t="s">
        <v>3973</v>
      </c>
      <c r="B1747" s="1">
        <v>42681</v>
      </c>
      <c r="C1747" s="1">
        <v>42686</v>
      </c>
      <c r="D1747" t="s">
        <v>40</v>
      </c>
      <c r="E1747" t="s">
        <v>1338</v>
      </c>
      <c r="F1747" t="s">
        <v>1339</v>
      </c>
      <c r="G1747" t="s">
        <v>25</v>
      </c>
      <c r="H1747" t="s">
        <v>26</v>
      </c>
      <c r="I1747" t="s">
        <v>1740</v>
      </c>
      <c r="J1747" t="s">
        <v>93</v>
      </c>
      <c r="K1747" t="s">
        <v>94</v>
      </c>
      <c r="L1747" t="s">
        <v>3974</v>
      </c>
      <c r="M1747" t="s">
        <v>31</v>
      </c>
      <c r="N1747" t="s">
        <v>57</v>
      </c>
      <c r="O1747" t="s">
        <v>3975</v>
      </c>
      <c r="P1747">
        <v>44.46</v>
      </c>
      <c r="Q1747">
        <v>5</v>
      </c>
      <c r="R1747">
        <v>0.6</v>
      </c>
      <c r="S1747">
        <v>-17.783999999999999</v>
      </c>
      <c r="T1747" t="s">
        <v>59</v>
      </c>
      <c r="U1747" t="s">
        <v>35</v>
      </c>
    </row>
    <row r="1748" spans="1:21" x14ac:dyDescent="0.25">
      <c r="A1748" t="s">
        <v>3976</v>
      </c>
      <c r="B1748" s="1">
        <v>41915</v>
      </c>
      <c r="C1748" s="1">
        <v>41919</v>
      </c>
      <c r="D1748" t="s">
        <v>40</v>
      </c>
      <c r="E1748" t="s">
        <v>3939</v>
      </c>
      <c r="F1748" t="s">
        <v>3940</v>
      </c>
      <c r="G1748" t="s">
        <v>25</v>
      </c>
      <c r="H1748" t="s">
        <v>26</v>
      </c>
      <c r="I1748" t="s">
        <v>1740</v>
      </c>
      <c r="J1748" t="s">
        <v>93</v>
      </c>
      <c r="K1748" t="s">
        <v>94</v>
      </c>
      <c r="L1748" t="s">
        <v>1422</v>
      </c>
      <c r="M1748" t="s">
        <v>31</v>
      </c>
      <c r="N1748" t="s">
        <v>57</v>
      </c>
      <c r="O1748" t="s">
        <v>1423</v>
      </c>
      <c r="P1748">
        <v>31.776</v>
      </c>
      <c r="Q1748">
        <v>3</v>
      </c>
      <c r="R1748">
        <v>0.6</v>
      </c>
      <c r="S1748">
        <v>-19.0656</v>
      </c>
      <c r="T1748" t="s">
        <v>84</v>
      </c>
      <c r="U1748" t="s">
        <v>49</v>
      </c>
    </row>
    <row r="1749" spans="1:21" x14ac:dyDescent="0.25">
      <c r="A1749" t="s">
        <v>3977</v>
      </c>
      <c r="B1749" s="1">
        <v>42464</v>
      </c>
      <c r="C1749" s="1">
        <v>42468</v>
      </c>
      <c r="D1749" t="s">
        <v>22</v>
      </c>
      <c r="E1749" t="s">
        <v>1821</v>
      </c>
      <c r="F1749" t="s">
        <v>1822</v>
      </c>
      <c r="G1749" t="s">
        <v>101</v>
      </c>
      <c r="H1749" t="s">
        <v>26</v>
      </c>
      <c r="I1749" t="s">
        <v>120</v>
      </c>
      <c r="J1749" t="s">
        <v>121</v>
      </c>
      <c r="K1749" t="s">
        <v>68</v>
      </c>
      <c r="L1749" t="s">
        <v>597</v>
      </c>
      <c r="M1749" t="s">
        <v>31</v>
      </c>
      <c r="N1749" t="s">
        <v>57</v>
      </c>
      <c r="O1749" t="s">
        <v>598</v>
      </c>
      <c r="P1749">
        <v>82.64</v>
      </c>
      <c r="Q1749">
        <v>2</v>
      </c>
      <c r="R1749">
        <v>0</v>
      </c>
      <c r="S1749">
        <v>7.4375999999999998</v>
      </c>
      <c r="T1749" t="s">
        <v>84</v>
      </c>
      <c r="U1749" t="s">
        <v>114</v>
      </c>
    </row>
    <row r="1750" spans="1:21" x14ac:dyDescent="0.25">
      <c r="A1750" t="s">
        <v>3978</v>
      </c>
      <c r="B1750" s="1">
        <v>42551</v>
      </c>
      <c r="C1750" s="1">
        <v>42553</v>
      </c>
      <c r="D1750" t="s">
        <v>22</v>
      </c>
      <c r="E1750" t="s">
        <v>210</v>
      </c>
      <c r="F1750" t="s">
        <v>211</v>
      </c>
      <c r="G1750" t="s">
        <v>25</v>
      </c>
      <c r="H1750" t="s">
        <v>26</v>
      </c>
      <c r="I1750" t="s">
        <v>2815</v>
      </c>
      <c r="J1750" t="s">
        <v>668</v>
      </c>
      <c r="K1750" t="s">
        <v>29</v>
      </c>
      <c r="L1750" t="s">
        <v>278</v>
      </c>
      <c r="M1750" t="s">
        <v>31</v>
      </c>
      <c r="N1750" t="s">
        <v>32</v>
      </c>
      <c r="O1750" t="s">
        <v>279</v>
      </c>
      <c r="P1750">
        <v>1266.8599999999999</v>
      </c>
      <c r="Q1750">
        <v>7</v>
      </c>
      <c r="R1750">
        <v>0</v>
      </c>
      <c r="S1750">
        <v>291.37779999999998</v>
      </c>
      <c r="T1750" t="s">
        <v>71</v>
      </c>
      <c r="U1750" t="s">
        <v>60</v>
      </c>
    </row>
    <row r="1751" spans="1:21" x14ac:dyDescent="0.25">
      <c r="A1751" t="s">
        <v>3979</v>
      </c>
      <c r="B1751" s="1">
        <v>42856</v>
      </c>
      <c r="C1751" s="1">
        <v>42861</v>
      </c>
      <c r="D1751" t="s">
        <v>40</v>
      </c>
      <c r="E1751" t="s">
        <v>1346</v>
      </c>
      <c r="F1751" t="s">
        <v>1347</v>
      </c>
      <c r="G1751" t="s">
        <v>25</v>
      </c>
      <c r="H1751" t="s">
        <v>26</v>
      </c>
      <c r="I1751" t="s">
        <v>607</v>
      </c>
      <c r="J1751" t="s">
        <v>44</v>
      </c>
      <c r="K1751" t="s">
        <v>29</v>
      </c>
      <c r="L1751" t="s">
        <v>522</v>
      </c>
      <c r="M1751" t="s">
        <v>31</v>
      </c>
      <c r="N1751" t="s">
        <v>46</v>
      </c>
      <c r="O1751" t="s">
        <v>523</v>
      </c>
      <c r="P1751">
        <v>933.26199999999994</v>
      </c>
      <c r="Q1751">
        <v>4</v>
      </c>
      <c r="R1751">
        <v>0.45</v>
      </c>
      <c r="S1751">
        <v>-458.14679999999998</v>
      </c>
      <c r="T1751" t="s">
        <v>59</v>
      </c>
      <c r="U1751" t="s">
        <v>162</v>
      </c>
    </row>
    <row r="1752" spans="1:21" x14ac:dyDescent="0.25">
      <c r="A1752" t="s">
        <v>3979</v>
      </c>
      <c r="B1752" s="1">
        <v>42856</v>
      </c>
      <c r="C1752" s="1">
        <v>42861</v>
      </c>
      <c r="D1752" t="s">
        <v>40</v>
      </c>
      <c r="E1752" t="s">
        <v>1346</v>
      </c>
      <c r="F1752" t="s">
        <v>1347</v>
      </c>
      <c r="G1752" t="s">
        <v>25</v>
      </c>
      <c r="H1752" t="s">
        <v>26</v>
      </c>
      <c r="I1752" t="s">
        <v>607</v>
      </c>
      <c r="J1752" t="s">
        <v>44</v>
      </c>
      <c r="K1752" t="s">
        <v>29</v>
      </c>
      <c r="L1752" t="s">
        <v>602</v>
      </c>
      <c r="M1752" t="s">
        <v>31</v>
      </c>
      <c r="N1752" t="s">
        <v>37</v>
      </c>
      <c r="O1752" t="s">
        <v>603</v>
      </c>
      <c r="P1752">
        <v>2803.92</v>
      </c>
      <c r="Q1752">
        <v>5</v>
      </c>
      <c r="R1752">
        <v>0.2</v>
      </c>
      <c r="S1752">
        <v>0</v>
      </c>
      <c r="T1752" t="s">
        <v>59</v>
      </c>
      <c r="U1752" t="s">
        <v>162</v>
      </c>
    </row>
    <row r="1753" spans="1:21" x14ac:dyDescent="0.25">
      <c r="A1753" t="s">
        <v>3980</v>
      </c>
      <c r="B1753" s="1">
        <v>43028</v>
      </c>
      <c r="C1753" s="1">
        <v>43028</v>
      </c>
      <c r="D1753" t="s">
        <v>426</v>
      </c>
      <c r="E1753" t="s">
        <v>3981</v>
      </c>
      <c r="F1753" t="s">
        <v>3982</v>
      </c>
      <c r="G1753" t="s">
        <v>25</v>
      </c>
      <c r="H1753" t="s">
        <v>26</v>
      </c>
      <c r="I1753" t="s">
        <v>607</v>
      </c>
      <c r="J1753" t="s">
        <v>44</v>
      </c>
      <c r="K1753" t="s">
        <v>29</v>
      </c>
      <c r="L1753" t="s">
        <v>2788</v>
      </c>
      <c r="M1753" t="s">
        <v>31</v>
      </c>
      <c r="N1753" t="s">
        <v>57</v>
      </c>
      <c r="O1753" t="s">
        <v>2789</v>
      </c>
      <c r="P1753">
        <v>43.936</v>
      </c>
      <c r="Q1753">
        <v>4</v>
      </c>
      <c r="R1753">
        <v>0.2</v>
      </c>
      <c r="S1753">
        <v>6.0411999999999999</v>
      </c>
      <c r="T1753" t="s">
        <v>431</v>
      </c>
      <c r="U1753" t="s">
        <v>49</v>
      </c>
    </row>
    <row r="1754" spans="1:21" x14ac:dyDescent="0.25">
      <c r="A1754" t="s">
        <v>3983</v>
      </c>
      <c r="B1754" s="1">
        <v>41863</v>
      </c>
      <c r="C1754" s="1">
        <v>41867</v>
      </c>
      <c r="D1754" t="s">
        <v>40</v>
      </c>
      <c r="E1754" t="s">
        <v>2849</v>
      </c>
      <c r="F1754" t="s">
        <v>2850</v>
      </c>
      <c r="G1754" t="s">
        <v>25</v>
      </c>
      <c r="H1754" t="s">
        <v>26</v>
      </c>
      <c r="I1754" t="s">
        <v>329</v>
      </c>
      <c r="J1754" t="s">
        <v>54</v>
      </c>
      <c r="K1754" t="s">
        <v>55</v>
      </c>
      <c r="L1754" t="s">
        <v>1519</v>
      </c>
      <c r="M1754" t="s">
        <v>31</v>
      </c>
      <c r="N1754" t="s">
        <v>57</v>
      </c>
      <c r="O1754" t="s">
        <v>1520</v>
      </c>
      <c r="P1754">
        <v>85.44</v>
      </c>
      <c r="Q1754">
        <v>3</v>
      </c>
      <c r="R1754">
        <v>0</v>
      </c>
      <c r="S1754">
        <v>31.6128</v>
      </c>
      <c r="T1754" t="s">
        <v>84</v>
      </c>
      <c r="U1754" t="s">
        <v>254</v>
      </c>
    </row>
    <row r="1755" spans="1:21" x14ac:dyDescent="0.25">
      <c r="A1755" t="s">
        <v>3984</v>
      </c>
      <c r="B1755" s="1">
        <v>42068</v>
      </c>
      <c r="C1755" s="1">
        <v>42072</v>
      </c>
      <c r="D1755" t="s">
        <v>22</v>
      </c>
      <c r="E1755" t="s">
        <v>1682</v>
      </c>
      <c r="F1755" t="s">
        <v>1683</v>
      </c>
      <c r="G1755" t="s">
        <v>25</v>
      </c>
      <c r="H1755" t="s">
        <v>26</v>
      </c>
      <c r="I1755" t="s">
        <v>134</v>
      </c>
      <c r="J1755" t="s">
        <v>135</v>
      </c>
      <c r="K1755" t="s">
        <v>94</v>
      </c>
      <c r="L1755" t="s">
        <v>423</v>
      </c>
      <c r="M1755" t="s">
        <v>31</v>
      </c>
      <c r="N1755" t="s">
        <v>57</v>
      </c>
      <c r="O1755" t="s">
        <v>424</v>
      </c>
      <c r="P1755">
        <v>4.7119999999999997</v>
      </c>
      <c r="Q1755">
        <v>2</v>
      </c>
      <c r="R1755">
        <v>0.6</v>
      </c>
      <c r="S1755">
        <v>-1.8848</v>
      </c>
      <c r="T1755" t="s">
        <v>84</v>
      </c>
      <c r="U1755" t="s">
        <v>196</v>
      </c>
    </row>
    <row r="1756" spans="1:21" x14ac:dyDescent="0.25">
      <c r="A1756" t="s">
        <v>3985</v>
      </c>
      <c r="B1756" s="1">
        <v>42765</v>
      </c>
      <c r="C1756" s="1">
        <v>42772</v>
      </c>
      <c r="D1756" t="s">
        <v>40</v>
      </c>
      <c r="E1756" t="s">
        <v>3986</v>
      </c>
      <c r="F1756" t="s">
        <v>3987</v>
      </c>
      <c r="G1756" t="s">
        <v>25</v>
      </c>
      <c r="H1756" t="s">
        <v>26</v>
      </c>
      <c r="I1756" t="s">
        <v>180</v>
      </c>
      <c r="J1756" t="s">
        <v>135</v>
      </c>
      <c r="K1756" t="s">
        <v>94</v>
      </c>
      <c r="L1756" t="s">
        <v>2567</v>
      </c>
      <c r="M1756" t="s">
        <v>31</v>
      </c>
      <c r="N1756" t="s">
        <v>46</v>
      </c>
      <c r="O1756" t="s">
        <v>2568</v>
      </c>
      <c r="P1756">
        <v>69.375</v>
      </c>
      <c r="Q1756">
        <v>1</v>
      </c>
      <c r="R1756">
        <v>0.5</v>
      </c>
      <c r="S1756">
        <v>-47.174999999999997</v>
      </c>
      <c r="T1756" t="s">
        <v>48</v>
      </c>
      <c r="U1756" t="s">
        <v>170</v>
      </c>
    </row>
    <row r="1757" spans="1:21" x14ac:dyDescent="0.25">
      <c r="A1757" t="s">
        <v>3988</v>
      </c>
      <c r="B1757" s="1">
        <v>42729</v>
      </c>
      <c r="C1757" s="1">
        <v>42735</v>
      </c>
      <c r="D1757" t="s">
        <v>40</v>
      </c>
      <c r="E1757" t="s">
        <v>1610</v>
      </c>
      <c r="F1757" t="s">
        <v>1611</v>
      </c>
      <c r="G1757" t="s">
        <v>25</v>
      </c>
      <c r="H1757" t="s">
        <v>26</v>
      </c>
      <c r="I1757" t="s">
        <v>174</v>
      </c>
      <c r="J1757" t="s">
        <v>121</v>
      </c>
      <c r="K1757" t="s">
        <v>68</v>
      </c>
      <c r="L1757" t="s">
        <v>515</v>
      </c>
      <c r="M1757" t="s">
        <v>31</v>
      </c>
      <c r="N1757" t="s">
        <v>37</v>
      </c>
      <c r="O1757" t="s">
        <v>516</v>
      </c>
      <c r="P1757">
        <v>2563.056</v>
      </c>
      <c r="Q1757">
        <v>8</v>
      </c>
      <c r="R1757">
        <v>0.1</v>
      </c>
      <c r="S1757">
        <v>313.26240000000001</v>
      </c>
      <c r="T1757" t="s">
        <v>130</v>
      </c>
      <c r="U1757" t="s">
        <v>97</v>
      </c>
    </row>
    <row r="1758" spans="1:21" x14ac:dyDescent="0.25">
      <c r="A1758" t="s">
        <v>3989</v>
      </c>
      <c r="B1758" s="1">
        <v>42663</v>
      </c>
      <c r="C1758" s="1">
        <v>42668</v>
      </c>
      <c r="D1758" t="s">
        <v>40</v>
      </c>
      <c r="E1758" t="s">
        <v>2589</v>
      </c>
      <c r="F1758" t="s">
        <v>2590</v>
      </c>
      <c r="G1758" t="s">
        <v>91</v>
      </c>
      <c r="H1758" t="s">
        <v>26</v>
      </c>
      <c r="I1758" t="s">
        <v>3595</v>
      </c>
      <c r="J1758" t="s">
        <v>54</v>
      </c>
      <c r="K1758" t="s">
        <v>55</v>
      </c>
      <c r="L1758" t="s">
        <v>2989</v>
      </c>
      <c r="M1758" t="s">
        <v>31</v>
      </c>
      <c r="N1758" t="s">
        <v>37</v>
      </c>
      <c r="O1758" t="s">
        <v>2990</v>
      </c>
      <c r="P1758">
        <v>387.13600000000002</v>
      </c>
      <c r="Q1758">
        <v>4</v>
      </c>
      <c r="R1758">
        <v>0.2</v>
      </c>
      <c r="S1758">
        <v>4.8391999999999999</v>
      </c>
      <c r="T1758" t="s">
        <v>59</v>
      </c>
      <c r="U1758" t="s">
        <v>49</v>
      </c>
    </row>
    <row r="1759" spans="1:21" x14ac:dyDescent="0.25">
      <c r="A1759" t="s">
        <v>3990</v>
      </c>
      <c r="B1759" s="1">
        <v>42864</v>
      </c>
      <c r="C1759" s="1">
        <v>42865</v>
      </c>
      <c r="D1759" t="s">
        <v>88</v>
      </c>
      <c r="E1759" t="s">
        <v>570</v>
      </c>
      <c r="F1759" t="s">
        <v>571</v>
      </c>
      <c r="G1759" t="s">
        <v>91</v>
      </c>
      <c r="H1759" t="s">
        <v>26</v>
      </c>
      <c r="I1759" t="s">
        <v>607</v>
      </c>
      <c r="J1759" t="s">
        <v>1037</v>
      </c>
      <c r="K1759" t="s">
        <v>29</v>
      </c>
      <c r="L1759" t="s">
        <v>1091</v>
      </c>
      <c r="M1759" t="s">
        <v>31</v>
      </c>
      <c r="N1759" t="s">
        <v>37</v>
      </c>
      <c r="O1759" t="s">
        <v>1092</v>
      </c>
      <c r="P1759">
        <v>207</v>
      </c>
      <c r="Q1759">
        <v>3</v>
      </c>
      <c r="R1759">
        <v>0.2</v>
      </c>
      <c r="S1759">
        <v>25.875</v>
      </c>
      <c r="T1759" t="s">
        <v>124</v>
      </c>
      <c r="U1759" t="s">
        <v>162</v>
      </c>
    </row>
    <row r="1760" spans="1:21" x14ac:dyDescent="0.25">
      <c r="A1760" t="s">
        <v>3991</v>
      </c>
      <c r="B1760" s="1">
        <v>42359</v>
      </c>
      <c r="C1760" s="1">
        <v>42364</v>
      </c>
      <c r="D1760" t="s">
        <v>22</v>
      </c>
      <c r="E1760" t="s">
        <v>1225</v>
      </c>
      <c r="F1760" t="s">
        <v>1226</v>
      </c>
      <c r="G1760" t="s">
        <v>101</v>
      </c>
      <c r="H1760" t="s">
        <v>26</v>
      </c>
      <c r="I1760" t="s">
        <v>3658</v>
      </c>
      <c r="J1760" t="s">
        <v>135</v>
      </c>
      <c r="K1760" t="s">
        <v>94</v>
      </c>
      <c r="L1760" t="s">
        <v>608</v>
      </c>
      <c r="M1760" t="s">
        <v>31</v>
      </c>
      <c r="N1760" t="s">
        <v>57</v>
      </c>
      <c r="O1760" t="s">
        <v>609</v>
      </c>
      <c r="P1760">
        <v>51.756</v>
      </c>
      <c r="Q1760">
        <v>3</v>
      </c>
      <c r="R1760">
        <v>0.6</v>
      </c>
      <c r="S1760">
        <v>-33.641399999999997</v>
      </c>
      <c r="T1760" t="s">
        <v>59</v>
      </c>
      <c r="U1760" t="s">
        <v>97</v>
      </c>
    </row>
    <row r="1761" spans="1:21" x14ac:dyDescent="0.25">
      <c r="A1761" t="s">
        <v>3992</v>
      </c>
      <c r="B1761" s="1">
        <v>42190</v>
      </c>
      <c r="C1761" s="1">
        <v>42196</v>
      </c>
      <c r="D1761" t="s">
        <v>40</v>
      </c>
      <c r="E1761" t="s">
        <v>2536</v>
      </c>
      <c r="F1761" t="s">
        <v>2537</v>
      </c>
      <c r="G1761" t="s">
        <v>91</v>
      </c>
      <c r="H1761" t="s">
        <v>26</v>
      </c>
      <c r="I1761" t="s">
        <v>1528</v>
      </c>
      <c r="J1761" t="s">
        <v>1037</v>
      </c>
      <c r="K1761" t="s">
        <v>29</v>
      </c>
      <c r="L1761" t="s">
        <v>2012</v>
      </c>
      <c r="M1761" t="s">
        <v>31</v>
      </c>
      <c r="N1761" t="s">
        <v>57</v>
      </c>
      <c r="O1761" t="s">
        <v>2013</v>
      </c>
      <c r="P1761">
        <v>4.9279999999999999</v>
      </c>
      <c r="Q1761">
        <v>2</v>
      </c>
      <c r="R1761">
        <v>0.2</v>
      </c>
      <c r="S1761">
        <v>0.73919999999999997</v>
      </c>
      <c r="T1761" t="s">
        <v>130</v>
      </c>
      <c r="U1761" t="s">
        <v>72</v>
      </c>
    </row>
    <row r="1762" spans="1:21" x14ac:dyDescent="0.25">
      <c r="A1762" t="s">
        <v>3993</v>
      </c>
      <c r="B1762" s="1">
        <v>42942</v>
      </c>
      <c r="C1762" s="1">
        <v>42948</v>
      </c>
      <c r="D1762" t="s">
        <v>40</v>
      </c>
      <c r="E1762" t="s">
        <v>3994</v>
      </c>
      <c r="F1762" t="s">
        <v>3995</v>
      </c>
      <c r="G1762" t="s">
        <v>91</v>
      </c>
      <c r="H1762" t="s">
        <v>26</v>
      </c>
      <c r="I1762" t="s">
        <v>53</v>
      </c>
      <c r="J1762" t="s">
        <v>54</v>
      </c>
      <c r="K1762" t="s">
        <v>55</v>
      </c>
      <c r="L1762" t="s">
        <v>856</v>
      </c>
      <c r="M1762" t="s">
        <v>31</v>
      </c>
      <c r="N1762" t="s">
        <v>37</v>
      </c>
      <c r="O1762" t="s">
        <v>857</v>
      </c>
      <c r="P1762">
        <v>362.35199999999998</v>
      </c>
      <c r="Q1762">
        <v>3</v>
      </c>
      <c r="R1762">
        <v>0.2</v>
      </c>
      <c r="S1762">
        <v>45.293999999999997</v>
      </c>
      <c r="T1762" t="s">
        <v>130</v>
      </c>
      <c r="U1762" t="s">
        <v>72</v>
      </c>
    </row>
    <row r="1763" spans="1:21" x14ac:dyDescent="0.25">
      <c r="A1763" t="s">
        <v>3996</v>
      </c>
      <c r="B1763" s="1">
        <v>43042</v>
      </c>
      <c r="C1763" s="1">
        <v>43048</v>
      </c>
      <c r="D1763" t="s">
        <v>40</v>
      </c>
      <c r="E1763" t="s">
        <v>2364</v>
      </c>
      <c r="F1763" t="s">
        <v>2365</v>
      </c>
      <c r="G1763" t="s">
        <v>25</v>
      </c>
      <c r="H1763" t="s">
        <v>26</v>
      </c>
      <c r="I1763" t="s">
        <v>2086</v>
      </c>
      <c r="J1763" t="s">
        <v>54</v>
      </c>
      <c r="K1763" t="s">
        <v>55</v>
      </c>
      <c r="L1763" t="s">
        <v>3190</v>
      </c>
      <c r="M1763" t="s">
        <v>31</v>
      </c>
      <c r="N1763" t="s">
        <v>46</v>
      </c>
      <c r="O1763" t="s">
        <v>3191</v>
      </c>
      <c r="P1763">
        <v>486.36799999999999</v>
      </c>
      <c r="Q1763">
        <v>4</v>
      </c>
      <c r="R1763">
        <v>0.2</v>
      </c>
      <c r="S1763">
        <v>36.477600000000002</v>
      </c>
      <c r="T1763" t="s">
        <v>130</v>
      </c>
      <c r="U1763" t="s">
        <v>35</v>
      </c>
    </row>
    <row r="1764" spans="1:21" x14ac:dyDescent="0.25">
      <c r="A1764" t="s">
        <v>3997</v>
      </c>
      <c r="B1764" s="1">
        <v>41699</v>
      </c>
      <c r="C1764" s="1">
        <v>41705</v>
      </c>
      <c r="D1764" t="s">
        <v>40</v>
      </c>
      <c r="E1764" t="s">
        <v>3998</v>
      </c>
      <c r="F1764" t="s">
        <v>3999</v>
      </c>
      <c r="G1764" t="s">
        <v>25</v>
      </c>
      <c r="H1764" t="s">
        <v>26</v>
      </c>
      <c r="I1764" t="s">
        <v>102</v>
      </c>
      <c r="J1764" t="s">
        <v>93</v>
      </c>
      <c r="K1764" t="s">
        <v>94</v>
      </c>
      <c r="L1764" t="s">
        <v>1800</v>
      </c>
      <c r="M1764" t="s">
        <v>31</v>
      </c>
      <c r="N1764" t="s">
        <v>46</v>
      </c>
      <c r="O1764" t="s">
        <v>1801</v>
      </c>
      <c r="P1764">
        <v>376.50900000000001</v>
      </c>
      <c r="Q1764">
        <v>3</v>
      </c>
      <c r="R1764">
        <v>0.3</v>
      </c>
      <c r="S1764">
        <v>-43.029600000000002</v>
      </c>
      <c r="T1764" t="s">
        <v>130</v>
      </c>
      <c r="U1764" t="s">
        <v>196</v>
      </c>
    </row>
    <row r="1765" spans="1:21" x14ac:dyDescent="0.25">
      <c r="A1765" t="s">
        <v>4000</v>
      </c>
      <c r="B1765" s="1">
        <v>42761</v>
      </c>
      <c r="C1765" s="1">
        <v>42766</v>
      </c>
      <c r="D1765" t="s">
        <v>40</v>
      </c>
      <c r="E1765" t="s">
        <v>3038</v>
      </c>
      <c r="F1765" t="s">
        <v>3039</v>
      </c>
      <c r="G1765" t="s">
        <v>25</v>
      </c>
      <c r="H1765" t="s">
        <v>26</v>
      </c>
      <c r="I1765" t="s">
        <v>348</v>
      </c>
      <c r="J1765" t="s">
        <v>668</v>
      </c>
      <c r="K1765" t="s">
        <v>29</v>
      </c>
      <c r="L1765" t="s">
        <v>202</v>
      </c>
      <c r="M1765" t="s">
        <v>31</v>
      </c>
      <c r="N1765" t="s">
        <v>57</v>
      </c>
      <c r="O1765" t="s">
        <v>203</v>
      </c>
      <c r="P1765">
        <v>62.72</v>
      </c>
      <c r="Q1765">
        <v>4</v>
      </c>
      <c r="R1765">
        <v>0</v>
      </c>
      <c r="S1765">
        <v>24.460799999999999</v>
      </c>
      <c r="T1765" t="s">
        <v>59</v>
      </c>
      <c r="U1765" t="s">
        <v>170</v>
      </c>
    </row>
    <row r="1766" spans="1:21" x14ac:dyDescent="0.25">
      <c r="A1766" t="s">
        <v>4001</v>
      </c>
      <c r="B1766" s="1">
        <v>41832</v>
      </c>
      <c r="C1766" s="1">
        <v>41836</v>
      </c>
      <c r="D1766" t="s">
        <v>40</v>
      </c>
      <c r="E1766" t="s">
        <v>1044</v>
      </c>
      <c r="F1766" t="s">
        <v>1045</v>
      </c>
      <c r="G1766" t="s">
        <v>101</v>
      </c>
      <c r="H1766" t="s">
        <v>26</v>
      </c>
      <c r="I1766" t="s">
        <v>2988</v>
      </c>
      <c r="J1766" t="s">
        <v>93</v>
      </c>
      <c r="K1766" t="s">
        <v>94</v>
      </c>
      <c r="L1766" t="s">
        <v>1083</v>
      </c>
      <c r="M1766" t="s">
        <v>31</v>
      </c>
      <c r="N1766" t="s">
        <v>37</v>
      </c>
      <c r="O1766" t="s">
        <v>1084</v>
      </c>
      <c r="P1766">
        <v>512.35799999999995</v>
      </c>
      <c r="Q1766">
        <v>3</v>
      </c>
      <c r="R1766">
        <v>0.3</v>
      </c>
      <c r="S1766">
        <v>-14.6388</v>
      </c>
      <c r="T1766" t="s">
        <v>84</v>
      </c>
      <c r="U1766" t="s">
        <v>72</v>
      </c>
    </row>
    <row r="1767" spans="1:21" x14ac:dyDescent="0.25">
      <c r="A1767" t="s">
        <v>4002</v>
      </c>
      <c r="B1767" s="1">
        <v>42438</v>
      </c>
      <c r="C1767" s="1">
        <v>42441</v>
      </c>
      <c r="D1767" t="s">
        <v>88</v>
      </c>
      <c r="E1767" t="s">
        <v>3581</v>
      </c>
      <c r="F1767" t="s">
        <v>3582</v>
      </c>
      <c r="G1767" t="s">
        <v>25</v>
      </c>
      <c r="H1767" t="s">
        <v>26</v>
      </c>
      <c r="I1767" t="s">
        <v>4003</v>
      </c>
      <c r="J1767" t="s">
        <v>435</v>
      </c>
      <c r="K1767" t="s">
        <v>68</v>
      </c>
      <c r="L1767" t="s">
        <v>591</v>
      </c>
      <c r="M1767" t="s">
        <v>31</v>
      </c>
      <c r="N1767" t="s">
        <v>37</v>
      </c>
      <c r="O1767" t="s">
        <v>592</v>
      </c>
      <c r="P1767">
        <v>354.9</v>
      </c>
      <c r="Q1767">
        <v>5</v>
      </c>
      <c r="R1767">
        <v>0</v>
      </c>
      <c r="S1767">
        <v>88.724999999999994</v>
      </c>
      <c r="T1767" t="s">
        <v>34</v>
      </c>
      <c r="U1767" t="s">
        <v>196</v>
      </c>
    </row>
    <row r="1768" spans="1:21" x14ac:dyDescent="0.25">
      <c r="A1768" t="s">
        <v>4004</v>
      </c>
      <c r="B1768" s="1">
        <v>42838</v>
      </c>
      <c r="C1768" s="1">
        <v>42842</v>
      </c>
      <c r="D1768" t="s">
        <v>40</v>
      </c>
      <c r="E1768" t="s">
        <v>3407</v>
      </c>
      <c r="F1768" t="s">
        <v>3408</v>
      </c>
      <c r="G1768" t="s">
        <v>91</v>
      </c>
      <c r="H1768" t="s">
        <v>26</v>
      </c>
      <c r="I1768" t="s">
        <v>2027</v>
      </c>
      <c r="J1768" t="s">
        <v>54</v>
      </c>
      <c r="K1768" t="s">
        <v>55</v>
      </c>
      <c r="L1768" t="s">
        <v>1618</v>
      </c>
      <c r="M1768" t="s">
        <v>31</v>
      </c>
      <c r="N1768" t="s">
        <v>37</v>
      </c>
      <c r="O1768" t="s">
        <v>1619</v>
      </c>
      <c r="P1768">
        <v>436.70400000000001</v>
      </c>
      <c r="Q1768">
        <v>6</v>
      </c>
      <c r="R1768">
        <v>0.2</v>
      </c>
      <c r="S1768">
        <v>-38.211599999999997</v>
      </c>
      <c r="T1768" t="s">
        <v>84</v>
      </c>
      <c r="U1768" t="s">
        <v>114</v>
      </c>
    </row>
    <row r="1769" spans="1:21" x14ac:dyDescent="0.25">
      <c r="A1769" t="s">
        <v>4005</v>
      </c>
      <c r="B1769" s="1">
        <v>41719</v>
      </c>
      <c r="C1769" s="1">
        <v>41723</v>
      </c>
      <c r="D1769" t="s">
        <v>40</v>
      </c>
      <c r="E1769" t="s">
        <v>834</v>
      </c>
      <c r="F1769" t="s">
        <v>835</v>
      </c>
      <c r="G1769" t="s">
        <v>25</v>
      </c>
      <c r="H1769" t="s">
        <v>26</v>
      </c>
      <c r="I1769" t="s">
        <v>3125</v>
      </c>
      <c r="J1769" t="s">
        <v>142</v>
      </c>
      <c r="K1769" t="s">
        <v>29</v>
      </c>
      <c r="L1769" t="s">
        <v>1291</v>
      </c>
      <c r="M1769" t="s">
        <v>31</v>
      </c>
      <c r="N1769" t="s">
        <v>57</v>
      </c>
      <c r="O1769" t="s">
        <v>1292</v>
      </c>
      <c r="P1769">
        <v>32.951999999999998</v>
      </c>
      <c r="Q1769">
        <v>3</v>
      </c>
      <c r="R1769">
        <v>0.2</v>
      </c>
      <c r="S1769">
        <v>6.5903999999999998</v>
      </c>
      <c r="T1769" t="s">
        <v>84</v>
      </c>
      <c r="U1769" t="s">
        <v>196</v>
      </c>
    </row>
    <row r="1770" spans="1:21" x14ac:dyDescent="0.25">
      <c r="A1770" t="s">
        <v>4005</v>
      </c>
      <c r="B1770" s="1">
        <v>41719</v>
      </c>
      <c r="C1770" s="1">
        <v>41723</v>
      </c>
      <c r="D1770" t="s">
        <v>40</v>
      </c>
      <c r="E1770" t="s">
        <v>834</v>
      </c>
      <c r="F1770" t="s">
        <v>835</v>
      </c>
      <c r="G1770" t="s">
        <v>25</v>
      </c>
      <c r="H1770" t="s">
        <v>26</v>
      </c>
      <c r="I1770" t="s">
        <v>3125</v>
      </c>
      <c r="J1770" t="s">
        <v>142</v>
      </c>
      <c r="K1770" t="s">
        <v>29</v>
      </c>
      <c r="L1770" t="s">
        <v>2181</v>
      </c>
      <c r="M1770" t="s">
        <v>31</v>
      </c>
      <c r="N1770" t="s">
        <v>37</v>
      </c>
      <c r="O1770" t="s">
        <v>2182</v>
      </c>
      <c r="P1770">
        <v>218.376</v>
      </c>
      <c r="Q1770">
        <v>3</v>
      </c>
      <c r="R1770">
        <v>0.2</v>
      </c>
      <c r="S1770">
        <v>-10.918799999999999</v>
      </c>
      <c r="T1770" t="s">
        <v>84</v>
      </c>
      <c r="U1770" t="s">
        <v>196</v>
      </c>
    </row>
    <row r="1771" spans="1:21" x14ac:dyDescent="0.25">
      <c r="A1771" t="s">
        <v>4006</v>
      </c>
      <c r="B1771" s="1">
        <v>42124</v>
      </c>
      <c r="C1771" s="1">
        <v>42128</v>
      </c>
      <c r="D1771" t="s">
        <v>40</v>
      </c>
      <c r="E1771" t="s">
        <v>1321</v>
      </c>
      <c r="F1771" t="s">
        <v>1322</v>
      </c>
      <c r="G1771" t="s">
        <v>91</v>
      </c>
      <c r="H1771" t="s">
        <v>26</v>
      </c>
      <c r="I1771" t="s">
        <v>472</v>
      </c>
      <c r="J1771" t="s">
        <v>435</v>
      </c>
      <c r="K1771" t="s">
        <v>68</v>
      </c>
      <c r="L1771" t="s">
        <v>272</v>
      </c>
      <c r="M1771" t="s">
        <v>31</v>
      </c>
      <c r="N1771" t="s">
        <v>57</v>
      </c>
      <c r="O1771" t="s">
        <v>273</v>
      </c>
      <c r="P1771">
        <v>31.4</v>
      </c>
      <c r="Q1771">
        <v>5</v>
      </c>
      <c r="R1771">
        <v>0</v>
      </c>
      <c r="S1771">
        <v>13.188000000000001</v>
      </c>
      <c r="T1771" t="s">
        <v>84</v>
      </c>
      <c r="U1771" t="s">
        <v>114</v>
      </c>
    </row>
    <row r="1772" spans="1:21" x14ac:dyDescent="0.25">
      <c r="A1772" t="s">
        <v>4006</v>
      </c>
      <c r="B1772" s="1">
        <v>42124</v>
      </c>
      <c r="C1772" s="1">
        <v>42128</v>
      </c>
      <c r="D1772" t="s">
        <v>40</v>
      </c>
      <c r="E1772" t="s">
        <v>1321</v>
      </c>
      <c r="F1772" t="s">
        <v>1322</v>
      </c>
      <c r="G1772" t="s">
        <v>91</v>
      </c>
      <c r="H1772" t="s">
        <v>26</v>
      </c>
      <c r="I1772" t="s">
        <v>472</v>
      </c>
      <c r="J1772" t="s">
        <v>435</v>
      </c>
      <c r="K1772" t="s">
        <v>68</v>
      </c>
      <c r="L1772" t="s">
        <v>2205</v>
      </c>
      <c r="M1772" t="s">
        <v>31</v>
      </c>
      <c r="N1772" t="s">
        <v>57</v>
      </c>
      <c r="O1772" t="s">
        <v>2206</v>
      </c>
      <c r="P1772">
        <v>9.48</v>
      </c>
      <c r="Q1772">
        <v>1</v>
      </c>
      <c r="R1772">
        <v>0</v>
      </c>
      <c r="S1772">
        <v>3.7919999999999998</v>
      </c>
      <c r="T1772" t="s">
        <v>84</v>
      </c>
      <c r="U1772" t="s">
        <v>114</v>
      </c>
    </row>
    <row r="1773" spans="1:21" x14ac:dyDescent="0.25">
      <c r="A1773" t="s">
        <v>4006</v>
      </c>
      <c r="B1773" s="1">
        <v>42124</v>
      </c>
      <c r="C1773" s="1">
        <v>42128</v>
      </c>
      <c r="D1773" t="s">
        <v>40</v>
      </c>
      <c r="E1773" t="s">
        <v>1321</v>
      </c>
      <c r="F1773" t="s">
        <v>1322</v>
      </c>
      <c r="G1773" t="s">
        <v>91</v>
      </c>
      <c r="H1773" t="s">
        <v>26</v>
      </c>
      <c r="I1773" t="s">
        <v>472</v>
      </c>
      <c r="J1773" t="s">
        <v>435</v>
      </c>
      <c r="K1773" t="s">
        <v>68</v>
      </c>
      <c r="L1773" t="s">
        <v>3044</v>
      </c>
      <c r="M1773" t="s">
        <v>31</v>
      </c>
      <c r="N1773" t="s">
        <v>57</v>
      </c>
      <c r="O1773" t="s">
        <v>3045</v>
      </c>
      <c r="P1773">
        <v>24.3</v>
      </c>
      <c r="Q1773">
        <v>5</v>
      </c>
      <c r="R1773">
        <v>0</v>
      </c>
      <c r="S1773">
        <v>10.449</v>
      </c>
      <c r="T1773" t="s">
        <v>84</v>
      </c>
      <c r="U1773" t="s">
        <v>114</v>
      </c>
    </row>
    <row r="1774" spans="1:21" x14ac:dyDescent="0.25">
      <c r="A1774" t="s">
        <v>4007</v>
      </c>
      <c r="B1774" s="1">
        <v>42858</v>
      </c>
      <c r="C1774" s="1">
        <v>42863</v>
      </c>
      <c r="D1774" t="s">
        <v>40</v>
      </c>
      <c r="E1774" t="s">
        <v>2001</v>
      </c>
      <c r="F1774" t="s">
        <v>2002</v>
      </c>
      <c r="G1774" t="s">
        <v>91</v>
      </c>
      <c r="H1774" t="s">
        <v>26</v>
      </c>
      <c r="I1774" t="s">
        <v>66</v>
      </c>
      <c r="J1774" t="s">
        <v>67</v>
      </c>
      <c r="K1774" t="s">
        <v>68</v>
      </c>
      <c r="L1774" t="s">
        <v>3224</v>
      </c>
      <c r="M1774" t="s">
        <v>31</v>
      </c>
      <c r="N1774" t="s">
        <v>57</v>
      </c>
      <c r="O1774" t="s">
        <v>3225</v>
      </c>
      <c r="P1774">
        <v>32.448</v>
      </c>
      <c r="Q1774">
        <v>2</v>
      </c>
      <c r="R1774">
        <v>0.2</v>
      </c>
      <c r="S1774">
        <v>7.3007999999999997</v>
      </c>
      <c r="T1774" t="s">
        <v>59</v>
      </c>
      <c r="U1774" t="s">
        <v>162</v>
      </c>
    </row>
    <row r="1775" spans="1:21" x14ac:dyDescent="0.25">
      <c r="A1775" t="s">
        <v>4007</v>
      </c>
      <c r="B1775" s="1">
        <v>42858</v>
      </c>
      <c r="C1775" s="1">
        <v>42863</v>
      </c>
      <c r="D1775" t="s">
        <v>40</v>
      </c>
      <c r="E1775" t="s">
        <v>2001</v>
      </c>
      <c r="F1775" t="s">
        <v>2002</v>
      </c>
      <c r="G1775" t="s">
        <v>91</v>
      </c>
      <c r="H1775" t="s">
        <v>26</v>
      </c>
      <c r="I1775" t="s">
        <v>66</v>
      </c>
      <c r="J1775" t="s">
        <v>67</v>
      </c>
      <c r="K1775" t="s">
        <v>68</v>
      </c>
      <c r="L1775" t="s">
        <v>291</v>
      </c>
      <c r="M1775" t="s">
        <v>31</v>
      </c>
      <c r="N1775" t="s">
        <v>46</v>
      </c>
      <c r="O1775" t="s">
        <v>292</v>
      </c>
      <c r="P1775">
        <v>373.47</v>
      </c>
      <c r="Q1775">
        <v>5</v>
      </c>
      <c r="R1775">
        <v>0.4</v>
      </c>
      <c r="S1775">
        <v>-112.041</v>
      </c>
      <c r="T1775" t="s">
        <v>59</v>
      </c>
      <c r="U1775" t="s">
        <v>162</v>
      </c>
    </row>
    <row r="1776" spans="1:21" x14ac:dyDescent="0.25">
      <c r="A1776" t="s">
        <v>4008</v>
      </c>
      <c r="B1776" s="1">
        <v>42608</v>
      </c>
      <c r="C1776" s="1">
        <v>42612</v>
      </c>
      <c r="D1776" t="s">
        <v>40</v>
      </c>
      <c r="E1776" t="s">
        <v>3450</v>
      </c>
      <c r="F1776" t="s">
        <v>3451</v>
      </c>
      <c r="G1776" t="s">
        <v>25</v>
      </c>
      <c r="H1776" t="s">
        <v>26</v>
      </c>
      <c r="I1776" t="s">
        <v>4009</v>
      </c>
      <c r="J1776" t="s">
        <v>668</v>
      </c>
      <c r="K1776" t="s">
        <v>29</v>
      </c>
      <c r="L1776" t="s">
        <v>1797</v>
      </c>
      <c r="M1776" t="s">
        <v>31</v>
      </c>
      <c r="N1776" t="s">
        <v>57</v>
      </c>
      <c r="O1776" t="s">
        <v>1798</v>
      </c>
      <c r="P1776">
        <v>186.54</v>
      </c>
      <c r="Q1776">
        <v>3</v>
      </c>
      <c r="R1776">
        <v>0</v>
      </c>
      <c r="S1776">
        <v>41.038800000000002</v>
      </c>
      <c r="T1776" t="s">
        <v>84</v>
      </c>
      <c r="U1776" t="s">
        <v>254</v>
      </c>
    </row>
    <row r="1777" spans="1:21" x14ac:dyDescent="0.25">
      <c r="A1777" t="s">
        <v>4010</v>
      </c>
      <c r="B1777" s="1">
        <v>42737</v>
      </c>
      <c r="C1777" s="1">
        <v>42739</v>
      </c>
      <c r="D1777" t="s">
        <v>22</v>
      </c>
      <c r="E1777" t="s">
        <v>3876</v>
      </c>
      <c r="F1777" t="s">
        <v>3877</v>
      </c>
      <c r="G1777" t="s">
        <v>25</v>
      </c>
      <c r="H1777" t="s">
        <v>26</v>
      </c>
      <c r="I1777" t="s">
        <v>1375</v>
      </c>
      <c r="J1777" t="s">
        <v>93</v>
      </c>
      <c r="K1777" t="s">
        <v>94</v>
      </c>
      <c r="L1777" t="s">
        <v>1248</v>
      </c>
      <c r="M1777" t="s">
        <v>31</v>
      </c>
      <c r="N1777" t="s">
        <v>46</v>
      </c>
      <c r="O1777" t="s">
        <v>1249</v>
      </c>
      <c r="P1777">
        <v>913.43</v>
      </c>
      <c r="Q1777">
        <v>5</v>
      </c>
      <c r="R1777">
        <v>0.3</v>
      </c>
      <c r="S1777">
        <v>-169.637</v>
      </c>
      <c r="T1777" t="s">
        <v>71</v>
      </c>
      <c r="U1777" t="s">
        <v>170</v>
      </c>
    </row>
    <row r="1778" spans="1:21" x14ac:dyDescent="0.25">
      <c r="A1778" t="s">
        <v>4011</v>
      </c>
      <c r="B1778" s="1">
        <v>42532</v>
      </c>
      <c r="C1778" s="1">
        <v>42537</v>
      </c>
      <c r="D1778" t="s">
        <v>40</v>
      </c>
      <c r="E1778" t="s">
        <v>740</v>
      </c>
      <c r="F1778" t="s">
        <v>741</v>
      </c>
      <c r="G1778" t="s">
        <v>25</v>
      </c>
      <c r="H1778" t="s">
        <v>26</v>
      </c>
      <c r="I1778" t="s">
        <v>53</v>
      </c>
      <c r="J1778" t="s">
        <v>54</v>
      </c>
      <c r="K1778" t="s">
        <v>55</v>
      </c>
      <c r="L1778" t="s">
        <v>307</v>
      </c>
      <c r="M1778" t="s">
        <v>31</v>
      </c>
      <c r="N1778" t="s">
        <v>46</v>
      </c>
      <c r="O1778" t="s">
        <v>308</v>
      </c>
      <c r="P1778">
        <v>902.71199999999999</v>
      </c>
      <c r="Q1778">
        <v>3</v>
      </c>
      <c r="R1778">
        <v>0.2</v>
      </c>
      <c r="S1778">
        <v>33.851700000000001</v>
      </c>
      <c r="T1778" t="s">
        <v>59</v>
      </c>
      <c r="U1778" t="s">
        <v>60</v>
      </c>
    </row>
    <row r="1779" spans="1:21" x14ac:dyDescent="0.25">
      <c r="A1779" t="s">
        <v>4012</v>
      </c>
      <c r="B1779" s="1">
        <v>42660</v>
      </c>
      <c r="C1779" s="1">
        <v>42664</v>
      </c>
      <c r="D1779" t="s">
        <v>40</v>
      </c>
      <c r="E1779" t="s">
        <v>2896</v>
      </c>
      <c r="F1779" t="s">
        <v>2897</v>
      </c>
      <c r="G1779" t="s">
        <v>101</v>
      </c>
      <c r="H1779" t="s">
        <v>26</v>
      </c>
      <c r="I1779" t="s">
        <v>1134</v>
      </c>
      <c r="J1779" t="s">
        <v>54</v>
      </c>
      <c r="K1779" t="s">
        <v>55</v>
      </c>
      <c r="L1779" t="s">
        <v>2744</v>
      </c>
      <c r="M1779" t="s">
        <v>31</v>
      </c>
      <c r="N1779" t="s">
        <v>32</v>
      </c>
      <c r="O1779" t="s">
        <v>2745</v>
      </c>
      <c r="P1779">
        <v>120.666</v>
      </c>
      <c r="Q1779">
        <v>2</v>
      </c>
      <c r="R1779">
        <v>0.15</v>
      </c>
      <c r="S1779">
        <v>21.294</v>
      </c>
      <c r="T1779" t="s">
        <v>84</v>
      </c>
      <c r="U1779" t="s">
        <v>49</v>
      </c>
    </row>
    <row r="1780" spans="1:21" x14ac:dyDescent="0.25">
      <c r="A1780" t="s">
        <v>4013</v>
      </c>
      <c r="B1780" s="1">
        <v>42698</v>
      </c>
      <c r="C1780" s="1">
        <v>42705</v>
      </c>
      <c r="D1780" t="s">
        <v>40</v>
      </c>
      <c r="E1780" t="s">
        <v>4014</v>
      </c>
      <c r="F1780" t="s">
        <v>4015</v>
      </c>
      <c r="G1780" t="s">
        <v>101</v>
      </c>
      <c r="H1780" t="s">
        <v>26</v>
      </c>
      <c r="I1780" t="s">
        <v>192</v>
      </c>
      <c r="J1780" t="s">
        <v>193</v>
      </c>
      <c r="K1780" t="s">
        <v>55</v>
      </c>
      <c r="L1780" t="s">
        <v>1150</v>
      </c>
      <c r="M1780" t="s">
        <v>31</v>
      </c>
      <c r="N1780" t="s">
        <v>57</v>
      </c>
      <c r="O1780" t="s">
        <v>1151</v>
      </c>
      <c r="P1780">
        <v>82.26</v>
      </c>
      <c r="Q1780">
        <v>3</v>
      </c>
      <c r="R1780">
        <v>0</v>
      </c>
      <c r="S1780">
        <v>33.726599999999998</v>
      </c>
      <c r="T1780" t="s">
        <v>48</v>
      </c>
      <c r="U1780" t="s">
        <v>35</v>
      </c>
    </row>
    <row r="1781" spans="1:21" x14ac:dyDescent="0.25">
      <c r="A1781" t="s">
        <v>4016</v>
      </c>
      <c r="B1781" s="1">
        <v>42408</v>
      </c>
      <c r="C1781" s="1">
        <v>42415</v>
      </c>
      <c r="D1781" t="s">
        <v>40</v>
      </c>
      <c r="E1781" t="s">
        <v>4017</v>
      </c>
      <c r="F1781" t="s">
        <v>4018</v>
      </c>
      <c r="G1781" t="s">
        <v>91</v>
      </c>
      <c r="H1781" t="s">
        <v>26</v>
      </c>
      <c r="I1781" t="s">
        <v>102</v>
      </c>
      <c r="J1781" t="s">
        <v>93</v>
      </c>
      <c r="K1781" t="s">
        <v>94</v>
      </c>
      <c r="L1781" t="s">
        <v>1091</v>
      </c>
      <c r="M1781" t="s">
        <v>31</v>
      </c>
      <c r="N1781" t="s">
        <v>37</v>
      </c>
      <c r="O1781" t="s">
        <v>1092</v>
      </c>
      <c r="P1781">
        <v>241.5</v>
      </c>
      <c r="Q1781">
        <v>4</v>
      </c>
      <c r="R1781">
        <v>0.3</v>
      </c>
      <c r="S1781">
        <v>0</v>
      </c>
      <c r="T1781" t="s">
        <v>48</v>
      </c>
      <c r="U1781" t="s">
        <v>298</v>
      </c>
    </row>
    <row r="1782" spans="1:21" x14ac:dyDescent="0.25">
      <c r="A1782" t="s">
        <v>4019</v>
      </c>
      <c r="B1782" s="1">
        <v>43092</v>
      </c>
      <c r="C1782" s="1">
        <v>43099</v>
      </c>
      <c r="D1782" t="s">
        <v>40</v>
      </c>
      <c r="E1782" t="s">
        <v>2231</v>
      </c>
      <c r="F1782" t="s">
        <v>2232</v>
      </c>
      <c r="G1782" t="s">
        <v>101</v>
      </c>
      <c r="H1782" t="s">
        <v>26</v>
      </c>
      <c r="I1782" t="s">
        <v>4020</v>
      </c>
      <c r="J1782" t="s">
        <v>430</v>
      </c>
      <c r="K1782" t="s">
        <v>68</v>
      </c>
      <c r="L1782" t="s">
        <v>1291</v>
      </c>
      <c r="M1782" t="s">
        <v>31</v>
      </c>
      <c r="N1782" t="s">
        <v>57</v>
      </c>
      <c r="O1782" t="s">
        <v>1292</v>
      </c>
      <c r="P1782">
        <v>27.46</v>
      </c>
      <c r="Q1782">
        <v>2</v>
      </c>
      <c r="R1782">
        <v>0</v>
      </c>
      <c r="S1782">
        <v>9.8856000000000002</v>
      </c>
      <c r="T1782" t="s">
        <v>48</v>
      </c>
      <c r="U1782" t="s">
        <v>97</v>
      </c>
    </row>
    <row r="1783" spans="1:21" x14ac:dyDescent="0.25">
      <c r="A1783" t="s">
        <v>4021</v>
      </c>
      <c r="B1783" s="1">
        <v>42705</v>
      </c>
      <c r="C1783" s="1">
        <v>42710</v>
      </c>
      <c r="D1783" t="s">
        <v>22</v>
      </c>
      <c r="E1783" t="s">
        <v>4022</v>
      </c>
      <c r="F1783" t="s">
        <v>4023</v>
      </c>
      <c r="G1783" t="s">
        <v>25</v>
      </c>
      <c r="H1783" t="s">
        <v>26</v>
      </c>
      <c r="I1783" t="s">
        <v>238</v>
      </c>
      <c r="J1783" t="s">
        <v>435</v>
      </c>
      <c r="K1783" t="s">
        <v>68</v>
      </c>
      <c r="L1783" t="s">
        <v>1984</v>
      </c>
      <c r="M1783" t="s">
        <v>31</v>
      </c>
      <c r="N1783" t="s">
        <v>57</v>
      </c>
      <c r="O1783" t="s">
        <v>1985</v>
      </c>
      <c r="P1783">
        <v>111.15</v>
      </c>
      <c r="Q1783">
        <v>5</v>
      </c>
      <c r="R1783">
        <v>0</v>
      </c>
      <c r="S1783">
        <v>48.905999999999999</v>
      </c>
      <c r="T1783" t="s">
        <v>59</v>
      </c>
      <c r="U1783" t="s">
        <v>97</v>
      </c>
    </row>
    <row r="1784" spans="1:21" x14ac:dyDescent="0.25">
      <c r="A1784" t="s">
        <v>4021</v>
      </c>
      <c r="B1784" s="1">
        <v>42705</v>
      </c>
      <c r="C1784" s="1">
        <v>42710</v>
      </c>
      <c r="D1784" t="s">
        <v>22</v>
      </c>
      <c r="E1784" t="s">
        <v>4022</v>
      </c>
      <c r="F1784" t="s">
        <v>4023</v>
      </c>
      <c r="G1784" t="s">
        <v>25</v>
      </c>
      <c r="H1784" t="s">
        <v>26</v>
      </c>
      <c r="I1784" t="s">
        <v>238</v>
      </c>
      <c r="J1784" t="s">
        <v>435</v>
      </c>
      <c r="K1784" t="s">
        <v>68</v>
      </c>
      <c r="L1784" t="s">
        <v>785</v>
      </c>
      <c r="M1784" t="s">
        <v>31</v>
      </c>
      <c r="N1784" t="s">
        <v>46</v>
      </c>
      <c r="O1784" t="s">
        <v>786</v>
      </c>
      <c r="P1784">
        <v>366.00900000000001</v>
      </c>
      <c r="Q1784">
        <v>3</v>
      </c>
      <c r="R1784">
        <v>0.3</v>
      </c>
      <c r="S1784">
        <v>-47.058300000000003</v>
      </c>
      <c r="T1784" t="s">
        <v>59</v>
      </c>
      <c r="U1784" t="s">
        <v>97</v>
      </c>
    </row>
    <row r="1785" spans="1:21" x14ac:dyDescent="0.25">
      <c r="A1785" t="s">
        <v>4024</v>
      </c>
      <c r="B1785" s="1">
        <v>43041</v>
      </c>
      <c r="C1785" s="1">
        <v>43046</v>
      </c>
      <c r="D1785" t="s">
        <v>22</v>
      </c>
      <c r="E1785" t="s">
        <v>3086</v>
      </c>
      <c r="F1785" t="s">
        <v>3087</v>
      </c>
      <c r="G1785" t="s">
        <v>101</v>
      </c>
      <c r="H1785" t="s">
        <v>26</v>
      </c>
      <c r="I1785" t="s">
        <v>879</v>
      </c>
      <c r="J1785" t="s">
        <v>232</v>
      </c>
      <c r="K1785" t="s">
        <v>68</v>
      </c>
      <c r="L1785" t="s">
        <v>1165</v>
      </c>
      <c r="M1785" t="s">
        <v>31</v>
      </c>
      <c r="N1785" t="s">
        <v>37</v>
      </c>
      <c r="O1785" t="s">
        <v>1166</v>
      </c>
      <c r="P1785">
        <v>155.37200000000001</v>
      </c>
      <c r="Q1785">
        <v>2</v>
      </c>
      <c r="R1785">
        <v>0.3</v>
      </c>
      <c r="S1785">
        <v>-35.513599999999997</v>
      </c>
      <c r="T1785" t="s">
        <v>59</v>
      </c>
      <c r="U1785" t="s">
        <v>35</v>
      </c>
    </row>
    <row r="1786" spans="1:21" x14ac:dyDescent="0.25">
      <c r="A1786" t="s">
        <v>4025</v>
      </c>
      <c r="B1786" s="1">
        <v>42343</v>
      </c>
      <c r="C1786" s="1">
        <v>42347</v>
      </c>
      <c r="D1786" t="s">
        <v>22</v>
      </c>
      <c r="E1786" t="s">
        <v>4026</v>
      </c>
      <c r="F1786" t="s">
        <v>4027</v>
      </c>
      <c r="G1786" t="s">
        <v>25</v>
      </c>
      <c r="H1786" t="s">
        <v>26</v>
      </c>
      <c r="I1786" t="s">
        <v>174</v>
      </c>
      <c r="J1786" t="s">
        <v>121</v>
      </c>
      <c r="K1786" t="s">
        <v>68</v>
      </c>
      <c r="L1786" t="s">
        <v>2429</v>
      </c>
      <c r="M1786" t="s">
        <v>31</v>
      </c>
      <c r="N1786" t="s">
        <v>37</v>
      </c>
      <c r="O1786" t="s">
        <v>2430</v>
      </c>
      <c r="P1786">
        <v>164.64599999999999</v>
      </c>
      <c r="Q1786">
        <v>3</v>
      </c>
      <c r="R1786">
        <v>0.1</v>
      </c>
      <c r="S1786">
        <v>12.8058</v>
      </c>
      <c r="T1786" t="s">
        <v>84</v>
      </c>
      <c r="U1786" t="s">
        <v>97</v>
      </c>
    </row>
    <row r="1787" spans="1:21" x14ac:dyDescent="0.25">
      <c r="A1787" t="s">
        <v>4028</v>
      </c>
      <c r="B1787" s="1">
        <v>42924</v>
      </c>
      <c r="C1787" s="1">
        <v>42928</v>
      </c>
      <c r="D1787" t="s">
        <v>40</v>
      </c>
      <c r="E1787" t="s">
        <v>4029</v>
      </c>
      <c r="F1787" t="s">
        <v>4030</v>
      </c>
      <c r="G1787" t="s">
        <v>91</v>
      </c>
      <c r="H1787" t="s">
        <v>26</v>
      </c>
      <c r="I1787" t="s">
        <v>231</v>
      </c>
      <c r="J1787" t="s">
        <v>201</v>
      </c>
      <c r="K1787" t="s">
        <v>68</v>
      </c>
      <c r="L1787" t="s">
        <v>2282</v>
      </c>
      <c r="M1787" t="s">
        <v>31</v>
      </c>
      <c r="N1787" t="s">
        <v>57</v>
      </c>
      <c r="O1787" t="s">
        <v>2283</v>
      </c>
      <c r="P1787">
        <v>83.92</v>
      </c>
      <c r="Q1787">
        <v>4</v>
      </c>
      <c r="R1787">
        <v>0</v>
      </c>
      <c r="S1787">
        <v>5.8743999999999996</v>
      </c>
      <c r="T1787" t="s">
        <v>84</v>
      </c>
      <c r="U1787" t="s">
        <v>72</v>
      </c>
    </row>
    <row r="1788" spans="1:21" x14ac:dyDescent="0.25">
      <c r="A1788" t="s">
        <v>4028</v>
      </c>
      <c r="B1788" s="1">
        <v>42924</v>
      </c>
      <c r="C1788" s="1">
        <v>42928</v>
      </c>
      <c r="D1788" t="s">
        <v>40</v>
      </c>
      <c r="E1788" t="s">
        <v>4029</v>
      </c>
      <c r="F1788" t="s">
        <v>4030</v>
      </c>
      <c r="G1788" t="s">
        <v>91</v>
      </c>
      <c r="H1788" t="s">
        <v>26</v>
      </c>
      <c r="I1788" t="s">
        <v>231</v>
      </c>
      <c r="J1788" t="s">
        <v>201</v>
      </c>
      <c r="K1788" t="s">
        <v>68</v>
      </c>
      <c r="L1788" t="s">
        <v>3583</v>
      </c>
      <c r="M1788" t="s">
        <v>31</v>
      </c>
      <c r="N1788" t="s">
        <v>57</v>
      </c>
      <c r="O1788" t="s">
        <v>3584</v>
      </c>
      <c r="P1788">
        <v>39.979999999999997</v>
      </c>
      <c r="Q1788">
        <v>2</v>
      </c>
      <c r="R1788">
        <v>0</v>
      </c>
      <c r="S1788">
        <v>9.1953999999999994</v>
      </c>
      <c r="T1788" t="s">
        <v>84</v>
      </c>
      <c r="U1788" t="s">
        <v>72</v>
      </c>
    </row>
    <row r="1789" spans="1:21" x14ac:dyDescent="0.25">
      <c r="A1789" t="s">
        <v>4031</v>
      </c>
      <c r="B1789" s="1">
        <v>42689</v>
      </c>
      <c r="C1789" s="1">
        <v>42689</v>
      </c>
      <c r="D1789" t="s">
        <v>426</v>
      </c>
      <c r="E1789" t="s">
        <v>3519</v>
      </c>
      <c r="F1789" t="s">
        <v>3520</v>
      </c>
      <c r="G1789" t="s">
        <v>91</v>
      </c>
      <c r="H1789" t="s">
        <v>26</v>
      </c>
      <c r="I1789" t="s">
        <v>3032</v>
      </c>
      <c r="J1789" t="s">
        <v>1037</v>
      </c>
      <c r="K1789" t="s">
        <v>29</v>
      </c>
      <c r="L1789" t="s">
        <v>194</v>
      </c>
      <c r="M1789" t="s">
        <v>31</v>
      </c>
      <c r="N1789" t="s">
        <v>46</v>
      </c>
      <c r="O1789" t="s">
        <v>195</v>
      </c>
      <c r="P1789">
        <v>630.024</v>
      </c>
      <c r="Q1789">
        <v>4</v>
      </c>
      <c r="R1789">
        <v>0.4</v>
      </c>
      <c r="S1789">
        <v>-199.5076</v>
      </c>
      <c r="T1789" t="s">
        <v>431</v>
      </c>
      <c r="U1789" t="s">
        <v>35</v>
      </c>
    </row>
    <row r="1790" spans="1:21" x14ac:dyDescent="0.25">
      <c r="A1790" t="s">
        <v>4032</v>
      </c>
      <c r="B1790" s="1">
        <v>42804</v>
      </c>
      <c r="C1790" s="1">
        <v>42808</v>
      </c>
      <c r="D1790" t="s">
        <v>40</v>
      </c>
      <c r="E1790" t="s">
        <v>1384</v>
      </c>
      <c r="F1790" t="s">
        <v>1385</v>
      </c>
      <c r="G1790" t="s">
        <v>25</v>
      </c>
      <c r="H1790" t="s">
        <v>26</v>
      </c>
      <c r="I1790" t="s">
        <v>1740</v>
      </c>
      <c r="J1790" t="s">
        <v>93</v>
      </c>
      <c r="K1790" t="s">
        <v>94</v>
      </c>
      <c r="L1790" t="s">
        <v>763</v>
      </c>
      <c r="M1790" t="s">
        <v>31</v>
      </c>
      <c r="N1790" t="s">
        <v>46</v>
      </c>
      <c r="O1790" t="s">
        <v>764</v>
      </c>
      <c r="P1790">
        <v>933.40800000000002</v>
      </c>
      <c r="Q1790">
        <v>4</v>
      </c>
      <c r="R1790">
        <v>0.3</v>
      </c>
      <c r="S1790">
        <v>-173.34719999999999</v>
      </c>
      <c r="T1790" t="s">
        <v>84</v>
      </c>
      <c r="U1790" t="s">
        <v>196</v>
      </c>
    </row>
    <row r="1791" spans="1:21" x14ac:dyDescent="0.25">
      <c r="A1791" t="s">
        <v>4033</v>
      </c>
      <c r="B1791" s="1">
        <v>42864</v>
      </c>
      <c r="C1791" s="1">
        <v>42866</v>
      </c>
      <c r="D1791" t="s">
        <v>88</v>
      </c>
      <c r="E1791" t="s">
        <v>2440</v>
      </c>
      <c r="F1791" t="s">
        <v>2441</v>
      </c>
      <c r="G1791" t="s">
        <v>101</v>
      </c>
      <c r="H1791" t="s">
        <v>26</v>
      </c>
      <c r="I1791" t="s">
        <v>192</v>
      </c>
      <c r="J1791" t="s">
        <v>193</v>
      </c>
      <c r="K1791" t="s">
        <v>55</v>
      </c>
      <c r="L1791" t="s">
        <v>923</v>
      </c>
      <c r="M1791" t="s">
        <v>31</v>
      </c>
      <c r="N1791" t="s">
        <v>46</v>
      </c>
      <c r="O1791" t="s">
        <v>924</v>
      </c>
      <c r="P1791">
        <v>286.85000000000002</v>
      </c>
      <c r="Q1791">
        <v>1</v>
      </c>
      <c r="R1791">
        <v>0</v>
      </c>
      <c r="S1791">
        <v>63.106999999999999</v>
      </c>
      <c r="T1791" t="s">
        <v>71</v>
      </c>
      <c r="U1791" t="s">
        <v>162</v>
      </c>
    </row>
    <row r="1792" spans="1:21" x14ac:dyDescent="0.25">
      <c r="A1792" t="s">
        <v>4034</v>
      </c>
      <c r="B1792" s="1">
        <v>43020</v>
      </c>
      <c r="C1792" s="1">
        <v>43024</v>
      </c>
      <c r="D1792" t="s">
        <v>40</v>
      </c>
      <c r="E1792" t="s">
        <v>4035</v>
      </c>
      <c r="F1792" t="s">
        <v>4036</v>
      </c>
      <c r="G1792" t="s">
        <v>25</v>
      </c>
      <c r="H1792" t="s">
        <v>26</v>
      </c>
      <c r="I1792" t="s">
        <v>2061</v>
      </c>
      <c r="J1792" t="s">
        <v>363</v>
      </c>
      <c r="K1792" t="s">
        <v>68</v>
      </c>
      <c r="L1792" t="s">
        <v>2796</v>
      </c>
      <c r="M1792" t="s">
        <v>31</v>
      </c>
      <c r="N1792" t="s">
        <v>57</v>
      </c>
      <c r="O1792" t="s">
        <v>2797</v>
      </c>
      <c r="P1792">
        <v>40.479999999999997</v>
      </c>
      <c r="Q1792">
        <v>2</v>
      </c>
      <c r="R1792">
        <v>0</v>
      </c>
      <c r="S1792">
        <v>17.406400000000001</v>
      </c>
      <c r="T1792" t="s">
        <v>84</v>
      </c>
      <c r="U1792" t="s">
        <v>49</v>
      </c>
    </row>
    <row r="1793" spans="1:21" x14ac:dyDescent="0.25">
      <c r="A1793" t="s">
        <v>4034</v>
      </c>
      <c r="B1793" s="1">
        <v>43020</v>
      </c>
      <c r="C1793" s="1">
        <v>43024</v>
      </c>
      <c r="D1793" t="s">
        <v>40</v>
      </c>
      <c r="E1793" t="s">
        <v>4035</v>
      </c>
      <c r="F1793" t="s">
        <v>4036</v>
      </c>
      <c r="G1793" t="s">
        <v>25</v>
      </c>
      <c r="H1793" t="s">
        <v>26</v>
      </c>
      <c r="I1793" t="s">
        <v>2061</v>
      </c>
      <c r="J1793" t="s">
        <v>363</v>
      </c>
      <c r="K1793" t="s">
        <v>68</v>
      </c>
      <c r="L1793" t="s">
        <v>2029</v>
      </c>
      <c r="M1793" t="s">
        <v>31</v>
      </c>
      <c r="N1793" t="s">
        <v>32</v>
      </c>
      <c r="O1793" t="s">
        <v>2030</v>
      </c>
      <c r="P1793">
        <v>2154.9</v>
      </c>
      <c r="Q1793">
        <v>5</v>
      </c>
      <c r="R1793">
        <v>0</v>
      </c>
      <c r="S1793">
        <v>129.29400000000001</v>
      </c>
      <c r="T1793" t="s">
        <v>84</v>
      </c>
      <c r="U1793" t="s">
        <v>49</v>
      </c>
    </row>
    <row r="1794" spans="1:21" x14ac:dyDescent="0.25">
      <c r="A1794" t="s">
        <v>4037</v>
      </c>
      <c r="B1794" s="1">
        <v>42723</v>
      </c>
      <c r="C1794" s="1">
        <v>42725</v>
      </c>
      <c r="D1794" t="s">
        <v>22</v>
      </c>
      <c r="E1794" t="s">
        <v>2227</v>
      </c>
      <c r="F1794" t="s">
        <v>2228</v>
      </c>
      <c r="G1794" t="s">
        <v>25</v>
      </c>
      <c r="H1794" t="s">
        <v>26</v>
      </c>
      <c r="I1794" t="s">
        <v>3330</v>
      </c>
      <c r="J1794" t="s">
        <v>67</v>
      </c>
      <c r="K1794" t="s">
        <v>68</v>
      </c>
      <c r="L1794" t="s">
        <v>2607</v>
      </c>
      <c r="M1794" t="s">
        <v>31</v>
      </c>
      <c r="N1794" t="s">
        <v>57</v>
      </c>
      <c r="O1794" t="s">
        <v>2608</v>
      </c>
      <c r="P1794">
        <v>303.92</v>
      </c>
      <c r="Q1794">
        <v>5</v>
      </c>
      <c r="R1794">
        <v>0.2</v>
      </c>
      <c r="S1794">
        <v>-30.391999999999999</v>
      </c>
      <c r="T1794" t="s">
        <v>71</v>
      </c>
      <c r="U1794" t="s">
        <v>97</v>
      </c>
    </row>
    <row r="1795" spans="1:21" x14ac:dyDescent="0.25">
      <c r="A1795" t="s">
        <v>4038</v>
      </c>
      <c r="B1795" s="1">
        <v>43047</v>
      </c>
      <c r="C1795" s="1">
        <v>43052</v>
      </c>
      <c r="D1795" t="s">
        <v>40</v>
      </c>
      <c r="E1795" t="s">
        <v>2099</v>
      </c>
      <c r="F1795" t="s">
        <v>2100</v>
      </c>
      <c r="G1795" t="s">
        <v>91</v>
      </c>
      <c r="H1795" t="s">
        <v>26</v>
      </c>
      <c r="I1795" t="s">
        <v>2755</v>
      </c>
      <c r="J1795" t="s">
        <v>1090</v>
      </c>
      <c r="K1795" t="s">
        <v>68</v>
      </c>
      <c r="L1795" t="s">
        <v>1150</v>
      </c>
      <c r="M1795" t="s">
        <v>31</v>
      </c>
      <c r="N1795" t="s">
        <v>57</v>
      </c>
      <c r="O1795" t="s">
        <v>1151</v>
      </c>
      <c r="P1795">
        <v>274.2</v>
      </c>
      <c r="Q1795">
        <v>10</v>
      </c>
      <c r="R1795">
        <v>0</v>
      </c>
      <c r="S1795">
        <v>112.422</v>
      </c>
      <c r="T1795" t="s">
        <v>59</v>
      </c>
      <c r="U1795" t="s">
        <v>35</v>
      </c>
    </row>
    <row r="1796" spans="1:21" x14ac:dyDescent="0.25">
      <c r="A1796" t="s">
        <v>4039</v>
      </c>
      <c r="B1796" s="1">
        <v>41896</v>
      </c>
      <c r="C1796" s="1">
        <v>41900</v>
      </c>
      <c r="D1796" t="s">
        <v>22</v>
      </c>
      <c r="E1796" t="s">
        <v>1839</v>
      </c>
      <c r="F1796" t="s">
        <v>1840</v>
      </c>
      <c r="G1796" t="s">
        <v>91</v>
      </c>
      <c r="H1796" t="s">
        <v>26</v>
      </c>
      <c r="I1796" t="s">
        <v>2097</v>
      </c>
      <c r="J1796" t="s">
        <v>93</v>
      </c>
      <c r="K1796" t="s">
        <v>94</v>
      </c>
      <c r="L1796" t="s">
        <v>2238</v>
      </c>
      <c r="M1796" t="s">
        <v>31</v>
      </c>
      <c r="N1796" t="s">
        <v>57</v>
      </c>
      <c r="O1796" t="s">
        <v>2239</v>
      </c>
      <c r="P1796">
        <v>9.9600000000000009</v>
      </c>
      <c r="Q1796">
        <v>5</v>
      </c>
      <c r="R1796">
        <v>0.6</v>
      </c>
      <c r="S1796">
        <v>-6.7229999999999999</v>
      </c>
      <c r="T1796" t="s">
        <v>84</v>
      </c>
      <c r="U1796" t="s">
        <v>78</v>
      </c>
    </row>
    <row r="1797" spans="1:21" x14ac:dyDescent="0.25">
      <c r="A1797" t="s">
        <v>4040</v>
      </c>
      <c r="B1797" s="1">
        <v>43031</v>
      </c>
      <c r="C1797" s="1">
        <v>43032</v>
      </c>
      <c r="D1797" t="s">
        <v>88</v>
      </c>
      <c r="E1797" t="s">
        <v>1557</v>
      </c>
      <c r="F1797" t="s">
        <v>1558</v>
      </c>
      <c r="G1797" t="s">
        <v>91</v>
      </c>
      <c r="H1797" t="s">
        <v>26</v>
      </c>
      <c r="I1797" t="s">
        <v>2740</v>
      </c>
      <c r="J1797" t="s">
        <v>1646</v>
      </c>
      <c r="K1797" t="s">
        <v>68</v>
      </c>
      <c r="L1797" t="s">
        <v>1260</v>
      </c>
      <c r="M1797" t="s">
        <v>31</v>
      </c>
      <c r="N1797" t="s">
        <v>46</v>
      </c>
      <c r="O1797" t="s">
        <v>1064</v>
      </c>
      <c r="P1797">
        <v>240.744</v>
      </c>
      <c r="Q1797">
        <v>4</v>
      </c>
      <c r="R1797">
        <v>0.3</v>
      </c>
      <c r="S1797">
        <v>-13.7568</v>
      </c>
      <c r="T1797" t="s">
        <v>124</v>
      </c>
      <c r="U1797" t="s">
        <v>49</v>
      </c>
    </row>
    <row r="1798" spans="1:21" x14ac:dyDescent="0.25">
      <c r="A1798" t="s">
        <v>4040</v>
      </c>
      <c r="B1798" s="1">
        <v>43031</v>
      </c>
      <c r="C1798" s="1">
        <v>43032</v>
      </c>
      <c r="D1798" t="s">
        <v>88</v>
      </c>
      <c r="E1798" t="s">
        <v>1557</v>
      </c>
      <c r="F1798" t="s">
        <v>1558</v>
      </c>
      <c r="G1798" t="s">
        <v>91</v>
      </c>
      <c r="H1798" t="s">
        <v>26</v>
      </c>
      <c r="I1798" t="s">
        <v>2740</v>
      </c>
      <c r="J1798" t="s">
        <v>1646</v>
      </c>
      <c r="K1798" t="s">
        <v>68</v>
      </c>
      <c r="L1798" t="s">
        <v>2190</v>
      </c>
      <c r="M1798" t="s">
        <v>31</v>
      </c>
      <c r="N1798" t="s">
        <v>57</v>
      </c>
      <c r="O1798" t="s">
        <v>2191</v>
      </c>
      <c r="P1798">
        <v>35</v>
      </c>
      <c r="Q1798">
        <v>4</v>
      </c>
      <c r="R1798">
        <v>0</v>
      </c>
      <c r="S1798">
        <v>14.7</v>
      </c>
      <c r="T1798" t="s">
        <v>124</v>
      </c>
      <c r="U1798" t="s">
        <v>49</v>
      </c>
    </row>
    <row r="1799" spans="1:21" x14ac:dyDescent="0.25">
      <c r="A1799" t="s">
        <v>4040</v>
      </c>
      <c r="B1799" s="1">
        <v>43031</v>
      </c>
      <c r="C1799" s="1">
        <v>43032</v>
      </c>
      <c r="D1799" t="s">
        <v>88</v>
      </c>
      <c r="E1799" t="s">
        <v>1557</v>
      </c>
      <c r="F1799" t="s">
        <v>1558</v>
      </c>
      <c r="G1799" t="s">
        <v>91</v>
      </c>
      <c r="H1799" t="s">
        <v>26</v>
      </c>
      <c r="I1799" t="s">
        <v>2740</v>
      </c>
      <c r="J1799" t="s">
        <v>1646</v>
      </c>
      <c r="K1799" t="s">
        <v>68</v>
      </c>
      <c r="L1799" t="s">
        <v>3618</v>
      </c>
      <c r="M1799" t="s">
        <v>31</v>
      </c>
      <c r="N1799" t="s">
        <v>57</v>
      </c>
      <c r="O1799" t="s">
        <v>3619</v>
      </c>
      <c r="P1799">
        <v>210.68</v>
      </c>
      <c r="Q1799">
        <v>2</v>
      </c>
      <c r="R1799">
        <v>0</v>
      </c>
      <c r="S1799">
        <v>50.563200000000002</v>
      </c>
      <c r="T1799" t="s">
        <v>124</v>
      </c>
      <c r="U1799" t="s">
        <v>49</v>
      </c>
    </row>
    <row r="1800" spans="1:21" x14ac:dyDescent="0.25">
      <c r="A1800" t="s">
        <v>4040</v>
      </c>
      <c r="B1800" s="1">
        <v>43031</v>
      </c>
      <c r="C1800" s="1">
        <v>43032</v>
      </c>
      <c r="D1800" t="s">
        <v>88</v>
      </c>
      <c r="E1800" t="s">
        <v>1557</v>
      </c>
      <c r="F1800" t="s">
        <v>1558</v>
      </c>
      <c r="G1800" t="s">
        <v>91</v>
      </c>
      <c r="H1800" t="s">
        <v>26</v>
      </c>
      <c r="I1800" t="s">
        <v>2740</v>
      </c>
      <c r="J1800" t="s">
        <v>1646</v>
      </c>
      <c r="K1800" t="s">
        <v>68</v>
      </c>
      <c r="L1800" t="s">
        <v>436</v>
      </c>
      <c r="M1800" t="s">
        <v>31</v>
      </c>
      <c r="N1800" t="s">
        <v>46</v>
      </c>
      <c r="O1800" t="s">
        <v>437</v>
      </c>
      <c r="P1800">
        <v>637.89599999999996</v>
      </c>
      <c r="Q1800">
        <v>3</v>
      </c>
      <c r="R1800">
        <v>0.3</v>
      </c>
      <c r="S1800">
        <v>-127.5792</v>
      </c>
      <c r="T1800" t="s">
        <v>124</v>
      </c>
      <c r="U1800" t="s">
        <v>49</v>
      </c>
    </row>
    <row r="1801" spans="1:21" x14ac:dyDescent="0.25">
      <c r="A1801" t="s">
        <v>4041</v>
      </c>
      <c r="B1801" s="1">
        <v>42478</v>
      </c>
      <c r="C1801" s="1">
        <v>42483</v>
      </c>
      <c r="D1801" t="s">
        <v>40</v>
      </c>
      <c r="E1801" t="s">
        <v>3182</v>
      </c>
      <c r="F1801" t="s">
        <v>3183</v>
      </c>
      <c r="G1801" t="s">
        <v>91</v>
      </c>
      <c r="H1801" t="s">
        <v>26</v>
      </c>
      <c r="I1801" t="s">
        <v>102</v>
      </c>
      <c r="J1801" t="s">
        <v>93</v>
      </c>
      <c r="K1801" t="s">
        <v>94</v>
      </c>
      <c r="L1801" t="s">
        <v>1029</v>
      </c>
      <c r="M1801" t="s">
        <v>31</v>
      </c>
      <c r="N1801" t="s">
        <v>37</v>
      </c>
      <c r="O1801" t="s">
        <v>1030</v>
      </c>
      <c r="P1801">
        <v>344.37200000000001</v>
      </c>
      <c r="Q1801">
        <v>4</v>
      </c>
      <c r="R1801">
        <v>0.3</v>
      </c>
      <c r="S1801">
        <v>-93.472399999999993</v>
      </c>
      <c r="T1801" t="s">
        <v>59</v>
      </c>
      <c r="U1801" t="s">
        <v>114</v>
      </c>
    </row>
    <row r="1802" spans="1:21" x14ac:dyDescent="0.25">
      <c r="A1802" t="s">
        <v>4041</v>
      </c>
      <c r="B1802" s="1">
        <v>42478</v>
      </c>
      <c r="C1802" s="1">
        <v>42483</v>
      </c>
      <c r="D1802" t="s">
        <v>40</v>
      </c>
      <c r="E1802" t="s">
        <v>3182</v>
      </c>
      <c r="F1802" t="s">
        <v>3183</v>
      </c>
      <c r="G1802" t="s">
        <v>91</v>
      </c>
      <c r="H1802" t="s">
        <v>26</v>
      </c>
      <c r="I1802" t="s">
        <v>102</v>
      </c>
      <c r="J1802" t="s">
        <v>93</v>
      </c>
      <c r="K1802" t="s">
        <v>94</v>
      </c>
      <c r="L1802" t="s">
        <v>1756</v>
      </c>
      <c r="M1802" t="s">
        <v>31</v>
      </c>
      <c r="N1802" t="s">
        <v>57</v>
      </c>
      <c r="O1802" t="s">
        <v>1757</v>
      </c>
      <c r="P1802">
        <v>127.88</v>
      </c>
      <c r="Q1802">
        <v>5</v>
      </c>
      <c r="R1802">
        <v>0.6</v>
      </c>
      <c r="S1802">
        <v>-67.137</v>
      </c>
      <c r="T1802" t="s">
        <v>59</v>
      </c>
      <c r="U1802" t="s">
        <v>114</v>
      </c>
    </row>
    <row r="1803" spans="1:21" x14ac:dyDescent="0.25">
      <c r="A1803" t="s">
        <v>4042</v>
      </c>
      <c r="B1803" s="1">
        <v>42883</v>
      </c>
      <c r="C1803" s="1">
        <v>42888</v>
      </c>
      <c r="D1803" t="s">
        <v>22</v>
      </c>
      <c r="E1803" t="s">
        <v>2663</v>
      </c>
      <c r="F1803" t="s">
        <v>2664</v>
      </c>
      <c r="G1803" t="s">
        <v>91</v>
      </c>
      <c r="H1803" t="s">
        <v>26</v>
      </c>
      <c r="I1803" t="s">
        <v>134</v>
      </c>
      <c r="J1803" t="s">
        <v>135</v>
      </c>
      <c r="K1803" t="s">
        <v>94</v>
      </c>
      <c r="L1803" t="s">
        <v>136</v>
      </c>
      <c r="M1803" t="s">
        <v>31</v>
      </c>
      <c r="N1803" t="s">
        <v>37</v>
      </c>
      <c r="O1803" t="s">
        <v>218</v>
      </c>
      <c r="P1803">
        <v>106.869</v>
      </c>
      <c r="Q1803">
        <v>3</v>
      </c>
      <c r="R1803">
        <v>0.3</v>
      </c>
      <c r="S1803">
        <v>-29.007300000000001</v>
      </c>
      <c r="T1803" t="s">
        <v>59</v>
      </c>
      <c r="U1803" t="s">
        <v>162</v>
      </c>
    </row>
    <row r="1804" spans="1:21" x14ac:dyDescent="0.25">
      <c r="A1804" t="s">
        <v>4043</v>
      </c>
      <c r="B1804" s="1">
        <v>42685</v>
      </c>
      <c r="C1804" s="1">
        <v>42691</v>
      </c>
      <c r="D1804" t="s">
        <v>40</v>
      </c>
      <c r="E1804" t="s">
        <v>724</v>
      </c>
      <c r="F1804" t="s">
        <v>725</v>
      </c>
      <c r="G1804" t="s">
        <v>91</v>
      </c>
      <c r="H1804" t="s">
        <v>26</v>
      </c>
      <c r="I1804" t="s">
        <v>4044</v>
      </c>
      <c r="J1804" t="s">
        <v>111</v>
      </c>
      <c r="K1804" t="s">
        <v>94</v>
      </c>
      <c r="L1804" t="s">
        <v>1812</v>
      </c>
      <c r="M1804" t="s">
        <v>31</v>
      </c>
      <c r="N1804" t="s">
        <v>46</v>
      </c>
      <c r="O1804" t="s">
        <v>1813</v>
      </c>
      <c r="P1804">
        <v>2678.94</v>
      </c>
      <c r="Q1804">
        <v>6</v>
      </c>
      <c r="R1804">
        <v>0</v>
      </c>
      <c r="S1804">
        <v>241.1046</v>
      </c>
      <c r="T1804" t="s">
        <v>130</v>
      </c>
      <c r="U1804" t="s">
        <v>35</v>
      </c>
    </row>
    <row r="1805" spans="1:21" x14ac:dyDescent="0.25">
      <c r="A1805" t="s">
        <v>4045</v>
      </c>
      <c r="B1805" s="1">
        <v>42848</v>
      </c>
      <c r="C1805" s="1">
        <v>42852</v>
      </c>
      <c r="D1805" t="s">
        <v>40</v>
      </c>
      <c r="E1805" t="s">
        <v>172</v>
      </c>
      <c r="F1805" t="s">
        <v>173</v>
      </c>
      <c r="G1805" t="s">
        <v>101</v>
      </c>
      <c r="H1805" t="s">
        <v>26</v>
      </c>
      <c r="I1805" t="s">
        <v>4046</v>
      </c>
      <c r="J1805" t="s">
        <v>142</v>
      </c>
      <c r="K1805" t="s">
        <v>29</v>
      </c>
      <c r="L1805" t="s">
        <v>457</v>
      </c>
      <c r="M1805" t="s">
        <v>31</v>
      </c>
      <c r="N1805" t="s">
        <v>32</v>
      </c>
      <c r="O1805" t="s">
        <v>458</v>
      </c>
      <c r="P1805">
        <v>387.13600000000002</v>
      </c>
      <c r="Q1805">
        <v>4</v>
      </c>
      <c r="R1805">
        <v>0.2</v>
      </c>
      <c r="S1805">
        <v>-14.5176</v>
      </c>
      <c r="T1805" t="s">
        <v>84</v>
      </c>
      <c r="U1805" t="s">
        <v>114</v>
      </c>
    </row>
    <row r="1806" spans="1:21" x14ac:dyDescent="0.25">
      <c r="A1806" t="s">
        <v>4045</v>
      </c>
      <c r="B1806" s="1">
        <v>42848</v>
      </c>
      <c r="C1806" s="1">
        <v>42852</v>
      </c>
      <c r="D1806" t="s">
        <v>40</v>
      </c>
      <c r="E1806" t="s">
        <v>172</v>
      </c>
      <c r="F1806" t="s">
        <v>173</v>
      </c>
      <c r="G1806" t="s">
        <v>101</v>
      </c>
      <c r="H1806" t="s">
        <v>26</v>
      </c>
      <c r="I1806" t="s">
        <v>4046</v>
      </c>
      <c r="J1806" t="s">
        <v>142</v>
      </c>
      <c r="K1806" t="s">
        <v>29</v>
      </c>
      <c r="L1806" t="s">
        <v>2396</v>
      </c>
      <c r="M1806" t="s">
        <v>31</v>
      </c>
      <c r="N1806" t="s">
        <v>57</v>
      </c>
      <c r="O1806" t="s">
        <v>2397</v>
      </c>
      <c r="P1806">
        <v>77.951999999999998</v>
      </c>
      <c r="Q1806">
        <v>3</v>
      </c>
      <c r="R1806">
        <v>0.2</v>
      </c>
      <c r="S1806">
        <v>-11.6928</v>
      </c>
      <c r="T1806" t="s">
        <v>84</v>
      </c>
      <c r="U1806" t="s">
        <v>114</v>
      </c>
    </row>
    <row r="1807" spans="1:21" x14ac:dyDescent="0.25">
      <c r="A1807" t="s">
        <v>4047</v>
      </c>
      <c r="B1807" s="1">
        <v>43002</v>
      </c>
      <c r="C1807" s="1">
        <v>43002</v>
      </c>
      <c r="D1807" t="s">
        <v>426</v>
      </c>
      <c r="E1807" t="s">
        <v>465</v>
      </c>
      <c r="F1807" t="s">
        <v>466</v>
      </c>
      <c r="G1807" t="s">
        <v>25</v>
      </c>
      <c r="H1807" t="s">
        <v>26</v>
      </c>
      <c r="I1807" t="s">
        <v>192</v>
      </c>
      <c r="J1807" t="s">
        <v>193</v>
      </c>
      <c r="K1807" t="s">
        <v>55</v>
      </c>
      <c r="L1807" t="s">
        <v>698</v>
      </c>
      <c r="M1807" t="s">
        <v>31</v>
      </c>
      <c r="N1807" t="s">
        <v>57</v>
      </c>
      <c r="O1807" t="s">
        <v>699</v>
      </c>
      <c r="P1807">
        <v>199.8</v>
      </c>
      <c r="Q1807">
        <v>10</v>
      </c>
      <c r="R1807">
        <v>0</v>
      </c>
      <c r="S1807">
        <v>71.927999999999997</v>
      </c>
      <c r="T1807" t="s">
        <v>431</v>
      </c>
      <c r="U1807" t="s">
        <v>78</v>
      </c>
    </row>
    <row r="1808" spans="1:21" x14ac:dyDescent="0.25">
      <c r="A1808" t="s">
        <v>4048</v>
      </c>
      <c r="B1808" s="1">
        <v>42402</v>
      </c>
      <c r="C1808" s="1">
        <v>42404</v>
      </c>
      <c r="D1808" t="s">
        <v>22</v>
      </c>
      <c r="E1808" t="s">
        <v>1987</v>
      </c>
      <c r="F1808" t="s">
        <v>1988</v>
      </c>
      <c r="G1808" t="s">
        <v>25</v>
      </c>
      <c r="H1808" t="s">
        <v>26</v>
      </c>
      <c r="I1808" t="s">
        <v>690</v>
      </c>
      <c r="J1808" t="s">
        <v>717</v>
      </c>
      <c r="K1808" t="s">
        <v>29</v>
      </c>
      <c r="L1808" t="s">
        <v>2514</v>
      </c>
      <c r="M1808" t="s">
        <v>31</v>
      </c>
      <c r="N1808" t="s">
        <v>57</v>
      </c>
      <c r="O1808" t="s">
        <v>2515</v>
      </c>
      <c r="P1808">
        <v>18.690000000000001</v>
      </c>
      <c r="Q1808">
        <v>7</v>
      </c>
      <c r="R1808">
        <v>0</v>
      </c>
      <c r="S1808">
        <v>7.1021999999999998</v>
      </c>
      <c r="T1808" t="s">
        <v>71</v>
      </c>
      <c r="U1808" t="s">
        <v>298</v>
      </c>
    </row>
    <row r="1809" spans="1:21" x14ac:dyDescent="0.25">
      <c r="A1809" t="s">
        <v>4049</v>
      </c>
      <c r="B1809" s="1">
        <v>42064</v>
      </c>
      <c r="C1809" s="1">
        <v>42066</v>
      </c>
      <c r="D1809" t="s">
        <v>22</v>
      </c>
      <c r="E1809" t="s">
        <v>3257</v>
      </c>
      <c r="F1809" t="s">
        <v>3258</v>
      </c>
      <c r="G1809" t="s">
        <v>91</v>
      </c>
      <c r="H1809" t="s">
        <v>26</v>
      </c>
      <c r="I1809" t="s">
        <v>53</v>
      </c>
      <c r="J1809" t="s">
        <v>54</v>
      </c>
      <c r="K1809" t="s">
        <v>55</v>
      </c>
      <c r="L1809" t="s">
        <v>489</v>
      </c>
      <c r="M1809" t="s">
        <v>31</v>
      </c>
      <c r="N1809" t="s">
        <v>37</v>
      </c>
      <c r="O1809" t="s">
        <v>490</v>
      </c>
      <c r="P1809">
        <v>184.75200000000001</v>
      </c>
      <c r="Q1809">
        <v>3</v>
      </c>
      <c r="R1809">
        <v>0.2</v>
      </c>
      <c r="S1809">
        <v>-20.784600000000001</v>
      </c>
      <c r="T1809" t="s">
        <v>71</v>
      </c>
      <c r="U1809" t="s">
        <v>196</v>
      </c>
    </row>
    <row r="1810" spans="1:21" x14ac:dyDescent="0.25">
      <c r="A1810" t="s">
        <v>4050</v>
      </c>
      <c r="B1810" s="1">
        <v>42492</v>
      </c>
      <c r="C1810" s="1">
        <v>42496</v>
      </c>
      <c r="D1810" t="s">
        <v>40</v>
      </c>
      <c r="E1810" t="s">
        <v>2937</v>
      </c>
      <c r="F1810" t="s">
        <v>2938</v>
      </c>
      <c r="G1810" t="s">
        <v>25</v>
      </c>
      <c r="H1810" t="s">
        <v>26</v>
      </c>
      <c r="I1810" t="s">
        <v>529</v>
      </c>
      <c r="J1810" t="s">
        <v>93</v>
      </c>
      <c r="K1810" t="s">
        <v>94</v>
      </c>
      <c r="L1810" t="s">
        <v>2579</v>
      </c>
      <c r="M1810" t="s">
        <v>31</v>
      </c>
      <c r="N1810" t="s">
        <v>37</v>
      </c>
      <c r="O1810" t="s">
        <v>2580</v>
      </c>
      <c r="P1810">
        <v>366.74400000000003</v>
      </c>
      <c r="Q1810">
        <v>4</v>
      </c>
      <c r="R1810">
        <v>0.3</v>
      </c>
      <c r="S1810">
        <v>-110.0232</v>
      </c>
      <c r="T1810" t="s">
        <v>84</v>
      </c>
      <c r="U1810" t="s">
        <v>162</v>
      </c>
    </row>
    <row r="1811" spans="1:21" x14ac:dyDescent="0.25">
      <c r="A1811" t="s">
        <v>4051</v>
      </c>
      <c r="B1811" s="1">
        <v>42402</v>
      </c>
      <c r="C1811" s="1">
        <v>42408</v>
      </c>
      <c r="D1811" t="s">
        <v>40</v>
      </c>
      <c r="E1811" t="s">
        <v>1039</v>
      </c>
      <c r="F1811" t="s">
        <v>1040</v>
      </c>
      <c r="G1811" t="s">
        <v>91</v>
      </c>
      <c r="H1811" t="s">
        <v>26</v>
      </c>
      <c r="I1811" t="s">
        <v>102</v>
      </c>
      <c r="J1811" t="s">
        <v>93</v>
      </c>
      <c r="K1811" t="s">
        <v>94</v>
      </c>
      <c r="L1811" t="s">
        <v>921</v>
      </c>
      <c r="M1811" t="s">
        <v>31</v>
      </c>
      <c r="N1811" t="s">
        <v>57</v>
      </c>
      <c r="O1811" t="s">
        <v>922</v>
      </c>
      <c r="P1811">
        <v>73.784000000000006</v>
      </c>
      <c r="Q1811">
        <v>2</v>
      </c>
      <c r="R1811">
        <v>0.6</v>
      </c>
      <c r="S1811">
        <v>-77.473200000000006</v>
      </c>
      <c r="T1811" t="s">
        <v>130</v>
      </c>
      <c r="U1811" t="s">
        <v>298</v>
      </c>
    </row>
    <row r="1812" spans="1:21" x14ac:dyDescent="0.25">
      <c r="A1812" t="s">
        <v>4052</v>
      </c>
      <c r="B1812" s="1">
        <v>42890</v>
      </c>
      <c r="C1812" s="1">
        <v>42893</v>
      </c>
      <c r="D1812" t="s">
        <v>22</v>
      </c>
      <c r="E1812" t="s">
        <v>4053</v>
      </c>
      <c r="F1812" t="s">
        <v>4054</v>
      </c>
      <c r="G1812" t="s">
        <v>25</v>
      </c>
      <c r="H1812" t="s">
        <v>26</v>
      </c>
      <c r="I1812" t="s">
        <v>4055</v>
      </c>
      <c r="J1812" t="s">
        <v>93</v>
      </c>
      <c r="K1812" t="s">
        <v>94</v>
      </c>
      <c r="L1812" t="s">
        <v>1835</v>
      </c>
      <c r="M1812" t="s">
        <v>31</v>
      </c>
      <c r="N1812" t="s">
        <v>57</v>
      </c>
      <c r="O1812" t="s">
        <v>1836</v>
      </c>
      <c r="P1812">
        <v>30.335999999999999</v>
      </c>
      <c r="Q1812">
        <v>6</v>
      </c>
      <c r="R1812">
        <v>0.6</v>
      </c>
      <c r="S1812">
        <v>-17.443200000000001</v>
      </c>
      <c r="T1812" t="s">
        <v>34</v>
      </c>
      <c r="U1812" t="s">
        <v>60</v>
      </c>
    </row>
    <row r="1813" spans="1:21" x14ac:dyDescent="0.25">
      <c r="A1813" t="s">
        <v>4056</v>
      </c>
      <c r="B1813" s="1">
        <v>43073</v>
      </c>
      <c r="C1813" s="1">
        <v>43079</v>
      </c>
      <c r="D1813" t="s">
        <v>40</v>
      </c>
      <c r="E1813" t="s">
        <v>3713</v>
      </c>
      <c r="F1813" t="s">
        <v>3714</v>
      </c>
      <c r="G1813" t="s">
        <v>25</v>
      </c>
      <c r="H1813" t="s">
        <v>26</v>
      </c>
      <c r="I1813" t="s">
        <v>3564</v>
      </c>
      <c r="J1813" t="s">
        <v>363</v>
      </c>
      <c r="K1813" t="s">
        <v>68</v>
      </c>
      <c r="L1813" t="s">
        <v>3826</v>
      </c>
      <c r="M1813" t="s">
        <v>31</v>
      </c>
      <c r="N1813" t="s">
        <v>57</v>
      </c>
      <c r="O1813" t="s">
        <v>3827</v>
      </c>
      <c r="P1813">
        <v>12.99</v>
      </c>
      <c r="Q1813">
        <v>1</v>
      </c>
      <c r="R1813">
        <v>0</v>
      </c>
      <c r="S1813">
        <v>1.5588</v>
      </c>
      <c r="T1813" t="s">
        <v>130</v>
      </c>
      <c r="U1813" t="s">
        <v>97</v>
      </c>
    </row>
    <row r="1814" spans="1:21" x14ac:dyDescent="0.25">
      <c r="A1814" t="s">
        <v>4056</v>
      </c>
      <c r="B1814" s="1">
        <v>43073</v>
      </c>
      <c r="C1814" s="1">
        <v>43079</v>
      </c>
      <c r="D1814" t="s">
        <v>40</v>
      </c>
      <c r="E1814" t="s">
        <v>3713</v>
      </c>
      <c r="F1814" t="s">
        <v>3714</v>
      </c>
      <c r="G1814" t="s">
        <v>25</v>
      </c>
      <c r="H1814" t="s">
        <v>26</v>
      </c>
      <c r="I1814" t="s">
        <v>3564</v>
      </c>
      <c r="J1814" t="s">
        <v>363</v>
      </c>
      <c r="K1814" t="s">
        <v>68</v>
      </c>
      <c r="L1814" t="s">
        <v>252</v>
      </c>
      <c r="M1814" t="s">
        <v>31</v>
      </c>
      <c r="N1814" t="s">
        <v>37</v>
      </c>
      <c r="O1814" t="s">
        <v>253</v>
      </c>
      <c r="P1814">
        <v>182.22</v>
      </c>
      <c r="Q1814">
        <v>3</v>
      </c>
      <c r="R1814">
        <v>0</v>
      </c>
      <c r="S1814">
        <v>45.555</v>
      </c>
      <c r="T1814" t="s">
        <v>130</v>
      </c>
      <c r="U1814" t="s">
        <v>97</v>
      </c>
    </row>
    <row r="1815" spans="1:21" x14ac:dyDescent="0.25">
      <c r="A1815" t="s">
        <v>4056</v>
      </c>
      <c r="B1815" s="1">
        <v>43073</v>
      </c>
      <c r="C1815" s="1">
        <v>43079</v>
      </c>
      <c r="D1815" t="s">
        <v>40</v>
      </c>
      <c r="E1815" t="s">
        <v>3713</v>
      </c>
      <c r="F1815" t="s">
        <v>3714</v>
      </c>
      <c r="G1815" t="s">
        <v>25</v>
      </c>
      <c r="H1815" t="s">
        <v>26</v>
      </c>
      <c r="I1815" t="s">
        <v>3564</v>
      </c>
      <c r="J1815" t="s">
        <v>363</v>
      </c>
      <c r="K1815" t="s">
        <v>68</v>
      </c>
      <c r="L1815" t="s">
        <v>296</v>
      </c>
      <c r="M1815" t="s">
        <v>31</v>
      </c>
      <c r="N1815" t="s">
        <v>37</v>
      </c>
      <c r="O1815" t="s">
        <v>297</v>
      </c>
      <c r="P1815">
        <v>302.94</v>
      </c>
      <c r="Q1815">
        <v>3</v>
      </c>
      <c r="R1815">
        <v>0</v>
      </c>
      <c r="S1815">
        <v>18.176400000000001</v>
      </c>
      <c r="T1815" t="s">
        <v>130</v>
      </c>
      <c r="U1815" t="s">
        <v>97</v>
      </c>
    </row>
    <row r="1816" spans="1:21" x14ac:dyDescent="0.25">
      <c r="A1816" t="s">
        <v>4057</v>
      </c>
      <c r="B1816" s="1">
        <v>42380</v>
      </c>
      <c r="C1816" s="1">
        <v>42384</v>
      </c>
      <c r="D1816" t="s">
        <v>40</v>
      </c>
      <c r="E1816" t="s">
        <v>259</v>
      </c>
      <c r="F1816" t="s">
        <v>260</v>
      </c>
      <c r="G1816" t="s">
        <v>101</v>
      </c>
      <c r="H1816" t="s">
        <v>26</v>
      </c>
      <c r="I1816" t="s">
        <v>348</v>
      </c>
      <c r="J1816" t="s">
        <v>232</v>
      </c>
      <c r="K1816" t="s">
        <v>68</v>
      </c>
      <c r="L1816" t="s">
        <v>1100</v>
      </c>
      <c r="M1816" t="s">
        <v>31</v>
      </c>
      <c r="N1816" t="s">
        <v>57</v>
      </c>
      <c r="O1816" t="s">
        <v>1101</v>
      </c>
      <c r="P1816">
        <v>54.991999999999997</v>
      </c>
      <c r="Q1816">
        <v>14</v>
      </c>
      <c r="R1816">
        <v>0.2</v>
      </c>
      <c r="S1816">
        <v>8.9361999999999995</v>
      </c>
      <c r="T1816" t="s">
        <v>84</v>
      </c>
      <c r="U1816" t="s">
        <v>170</v>
      </c>
    </row>
    <row r="1817" spans="1:21" x14ac:dyDescent="0.25">
      <c r="A1817" t="s">
        <v>4058</v>
      </c>
      <c r="B1817" s="1">
        <v>42810</v>
      </c>
      <c r="C1817" s="1">
        <v>42810</v>
      </c>
      <c r="D1817" t="s">
        <v>426</v>
      </c>
      <c r="E1817" t="s">
        <v>3375</v>
      </c>
      <c r="F1817" t="s">
        <v>3376</v>
      </c>
      <c r="G1817" t="s">
        <v>25</v>
      </c>
      <c r="H1817" t="s">
        <v>26</v>
      </c>
      <c r="I1817" t="s">
        <v>348</v>
      </c>
      <c r="J1817" t="s">
        <v>232</v>
      </c>
      <c r="K1817" t="s">
        <v>68</v>
      </c>
      <c r="L1817" t="s">
        <v>2886</v>
      </c>
      <c r="M1817" t="s">
        <v>31</v>
      </c>
      <c r="N1817" t="s">
        <v>57</v>
      </c>
      <c r="O1817" t="s">
        <v>2887</v>
      </c>
      <c r="P1817">
        <v>51.264000000000003</v>
      </c>
      <c r="Q1817">
        <v>6</v>
      </c>
      <c r="R1817">
        <v>0.2</v>
      </c>
      <c r="S1817">
        <v>7.6896000000000004</v>
      </c>
      <c r="T1817" t="s">
        <v>431</v>
      </c>
      <c r="U1817" t="s">
        <v>196</v>
      </c>
    </row>
    <row r="1818" spans="1:21" x14ac:dyDescent="0.25">
      <c r="A1818" t="s">
        <v>4059</v>
      </c>
      <c r="B1818" s="1">
        <v>43049</v>
      </c>
      <c r="C1818" s="1">
        <v>43056</v>
      </c>
      <c r="D1818" t="s">
        <v>40</v>
      </c>
      <c r="E1818" t="s">
        <v>1283</v>
      </c>
      <c r="F1818" t="s">
        <v>1284</v>
      </c>
      <c r="G1818" t="s">
        <v>101</v>
      </c>
      <c r="H1818" t="s">
        <v>26</v>
      </c>
      <c r="I1818" t="s">
        <v>53</v>
      </c>
      <c r="J1818" t="s">
        <v>54</v>
      </c>
      <c r="K1818" t="s">
        <v>55</v>
      </c>
      <c r="L1818" t="s">
        <v>1851</v>
      </c>
      <c r="M1818" t="s">
        <v>31</v>
      </c>
      <c r="N1818" t="s">
        <v>37</v>
      </c>
      <c r="O1818" t="s">
        <v>1852</v>
      </c>
      <c r="P1818">
        <v>241.42400000000001</v>
      </c>
      <c r="Q1818">
        <v>2</v>
      </c>
      <c r="R1818">
        <v>0.2</v>
      </c>
      <c r="S1818">
        <v>-36.2136</v>
      </c>
      <c r="T1818" t="s">
        <v>48</v>
      </c>
      <c r="U1818" t="s">
        <v>35</v>
      </c>
    </row>
    <row r="1819" spans="1:21" x14ac:dyDescent="0.25">
      <c r="A1819" t="s">
        <v>4060</v>
      </c>
      <c r="B1819" s="1">
        <v>42704</v>
      </c>
      <c r="C1819" s="1">
        <v>42710</v>
      </c>
      <c r="D1819" t="s">
        <v>40</v>
      </c>
      <c r="E1819" t="s">
        <v>264</v>
      </c>
      <c r="F1819" t="s">
        <v>265</v>
      </c>
      <c r="G1819" t="s">
        <v>25</v>
      </c>
      <c r="H1819" t="s">
        <v>26</v>
      </c>
      <c r="I1819" t="s">
        <v>289</v>
      </c>
      <c r="J1819" t="s">
        <v>290</v>
      </c>
      <c r="K1819" t="s">
        <v>94</v>
      </c>
      <c r="L1819" t="s">
        <v>143</v>
      </c>
      <c r="M1819" t="s">
        <v>31</v>
      </c>
      <c r="N1819" t="s">
        <v>37</v>
      </c>
      <c r="O1819" t="s">
        <v>144</v>
      </c>
      <c r="P1819">
        <v>389.97</v>
      </c>
      <c r="Q1819">
        <v>3</v>
      </c>
      <c r="R1819">
        <v>0</v>
      </c>
      <c r="S1819">
        <v>35.097299999999997</v>
      </c>
      <c r="T1819" t="s">
        <v>130</v>
      </c>
      <c r="U1819" t="s">
        <v>35</v>
      </c>
    </row>
    <row r="1820" spans="1:21" x14ac:dyDescent="0.25">
      <c r="A1820" t="s">
        <v>4061</v>
      </c>
      <c r="B1820" s="1">
        <v>42360</v>
      </c>
      <c r="C1820" s="1">
        <v>42361</v>
      </c>
      <c r="D1820" t="s">
        <v>88</v>
      </c>
      <c r="E1820" t="s">
        <v>2032</v>
      </c>
      <c r="F1820" t="s">
        <v>2033</v>
      </c>
      <c r="G1820" t="s">
        <v>91</v>
      </c>
      <c r="H1820" t="s">
        <v>26</v>
      </c>
      <c r="I1820" t="s">
        <v>66</v>
      </c>
      <c r="J1820" t="s">
        <v>67</v>
      </c>
      <c r="K1820" t="s">
        <v>68</v>
      </c>
      <c r="L1820" t="s">
        <v>1091</v>
      </c>
      <c r="M1820" t="s">
        <v>31</v>
      </c>
      <c r="N1820" t="s">
        <v>37</v>
      </c>
      <c r="O1820" t="s">
        <v>1092</v>
      </c>
      <c r="P1820">
        <v>422.625</v>
      </c>
      <c r="Q1820">
        <v>7</v>
      </c>
      <c r="R1820">
        <v>0.3</v>
      </c>
      <c r="S1820">
        <v>0</v>
      </c>
      <c r="T1820" t="s">
        <v>124</v>
      </c>
      <c r="U1820" t="s">
        <v>97</v>
      </c>
    </row>
    <row r="1821" spans="1:21" x14ac:dyDescent="0.25">
      <c r="A1821" t="s">
        <v>4062</v>
      </c>
      <c r="B1821" s="1">
        <v>42456</v>
      </c>
      <c r="C1821" s="1">
        <v>42460</v>
      </c>
      <c r="D1821" t="s">
        <v>40</v>
      </c>
      <c r="E1821" t="s">
        <v>287</v>
      </c>
      <c r="F1821" t="s">
        <v>288</v>
      </c>
      <c r="G1821" t="s">
        <v>91</v>
      </c>
      <c r="H1821" t="s">
        <v>26</v>
      </c>
      <c r="I1821" t="s">
        <v>348</v>
      </c>
      <c r="J1821" t="s">
        <v>668</v>
      </c>
      <c r="K1821" t="s">
        <v>29</v>
      </c>
      <c r="L1821" t="s">
        <v>2796</v>
      </c>
      <c r="M1821" t="s">
        <v>31</v>
      </c>
      <c r="N1821" t="s">
        <v>57</v>
      </c>
      <c r="O1821" t="s">
        <v>2797</v>
      </c>
      <c r="P1821">
        <v>20.239999999999998</v>
      </c>
      <c r="Q1821">
        <v>1</v>
      </c>
      <c r="R1821">
        <v>0</v>
      </c>
      <c r="S1821">
        <v>8.7032000000000007</v>
      </c>
      <c r="T1821" t="s">
        <v>84</v>
      </c>
      <c r="U1821" t="s">
        <v>196</v>
      </c>
    </row>
    <row r="1822" spans="1:21" x14ac:dyDescent="0.25">
      <c r="A1822" t="s">
        <v>4062</v>
      </c>
      <c r="B1822" s="1">
        <v>42456</v>
      </c>
      <c r="C1822" s="1">
        <v>42460</v>
      </c>
      <c r="D1822" t="s">
        <v>40</v>
      </c>
      <c r="E1822" t="s">
        <v>287</v>
      </c>
      <c r="F1822" t="s">
        <v>288</v>
      </c>
      <c r="G1822" t="s">
        <v>91</v>
      </c>
      <c r="H1822" t="s">
        <v>26</v>
      </c>
      <c r="I1822" t="s">
        <v>348</v>
      </c>
      <c r="J1822" t="s">
        <v>668</v>
      </c>
      <c r="K1822" t="s">
        <v>29</v>
      </c>
      <c r="L1822" t="s">
        <v>2660</v>
      </c>
      <c r="M1822" t="s">
        <v>31</v>
      </c>
      <c r="N1822" t="s">
        <v>57</v>
      </c>
      <c r="O1822" t="s">
        <v>2661</v>
      </c>
      <c r="P1822">
        <v>39.92</v>
      </c>
      <c r="Q1822">
        <v>4</v>
      </c>
      <c r="R1822">
        <v>0</v>
      </c>
      <c r="S1822">
        <v>11.1776</v>
      </c>
      <c r="T1822" t="s">
        <v>84</v>
      </c>
      <c r="U1822" t="s">
        <v>196</v>
      </c>
    </row>
    <row r="1823" spans="1:21" x14ac:dyDescent="0.25">
      <c r="A1823" t="s">
        <v>4063</v>
      </c>
      <c r="B1823" s="1">
        <v>42258</v>
      </c>
      <c r="C1823" s="1">
        <v>42259</v>
      </c>
      <c r="D1823" t="s">
        <v>88</v>
      </c>
      <c r="E1823" t="s">
        <v>1081</v>
      </c>
      <c r="F1823" t="s">
        <v>1082</v>
      </c>
      <c r="G1823" t="s">
        <v>91</v>
      </c>
      <c r="H1823" t="s">
        <v>26</v>
      </c>
      <c r="I1823" t="s">
        <v>180</v>
      </c>
      <c r="J1823" t="s">
        <v>181</v>
      </c>
      <c r="K1823" t="s">
        <v>55</v>
      </c>
      <c r="L1823" t="s">
        <v>554</v>
      </c>
      <c r="M1823" t="s">
        <v>31</v>
      </c>
      <c r="N1823" t="s">
        <v>57</v>
      </c>
      <c r="O1823" t="s">
        <v>555</v>
      </c>
      <c r="P1823">
        <v>24.64</v>
      </c>
      <c r="Q1823">
        <v>4</v>
      </c>
      <c r="R1823">
        <v>0.2</v>
      </c>
      <c r="S1823">
        <v>4.0039999999999996</v>
      </c>
      <c r="T1823" t="s">
        <v>124</v>
      </c>
      <c r="U1823" t="s">
        <v>78</v>
      </c>
    </row>
    <row r="1824" spans="1:21" x14ac:dyDescent="0.25">
      <c r="A1824" t="s">
        <v>4064</v>
      </c>
      <c r="B1824" s="1">
        <v>42713</v>
      </c>
      <c r="C1824" s="1">
        <v>42715</v>
      </c>
      <c r="D1824" t="s">
        <v>88</v>
      </c>
      <c r="E1824" t="s">
        <v>3531</v>
      </c>
      <c r="F1824" t="s">
        <v>3532</v>
      </c>
      <c r="G1824" t="s">
        <v>25</v>
      </c>
      <c r="H1824" t="s">
        <v>26</v>
      </c>
      <c r="I1824" t="s">
        <v>879</v>
      </c>
      <c r="J1824" t="s">
        <v>717</v>
      </c>
      <c r="K1824" t="s">
        <v>29</v>
      </c>
      <c r="L1824" t="s">
        <v>1285</v>
      </c>
      <c r="M1824" t="s">
        <v>31</v>
      </c>
      <c r="N1824" t="s">
        <v>46</v>
      </c>
      <c r="O1824" t="s">
        <v>1286</v>
      </c>
      <c r="P1824">
        <v>1056.8599999999999</v>
      </c>
      <c r="Q1824">
        <v>7</v>
      </c>
      <c r="R1824">
        <v>0</v>
      </c>
      <c r="S1824">
        <v>158.529</v>
      </c>
      <c r="T1824" t="s">
        <v>71</v>
      </c>
      <c r="U1824" t="s">
        <v>97</v>
      </c>
    </row>
    <row r="1825" spans="1:21" x14ac:dyDescent="0.25">
      <c r="A1825" t="s">
        <v>4065</v>
      </c>
      <c r="B1825" s="1">
        <v>42727</v>
      </c>
      <c r="C1825" s="1">
        <v>42730</v>
      </c>
      <c r="D1825" t="s">
        <v>22</v>
      </c>
      <c r="E1825" t="s">
        <v>985</v>
      </c>
      <c r="F1825" t="s">
        <v>986</v>
      </c>
      <c r="G1825" t="s">
        <v>91</v>
      </c>
      <c r="H1825" t="s">
        <v>26</v>
      </c>
      <c r="I1825" t="s">
        <v>102</v>
      </c>
      <c r="J1825" t="s">
        <v>93</v>
      </c>
      <c r="K1825" t="s">
        <v>94</v>
      </c>
      <c r="L1825" t="s">
        <v>501</v>
      </c>
      <c r="M1825" t="s">
        <v>31</v>
      </c>
      <c r="N1825" t="s">
        <v>57</v>
      </c>
      <c r="O1825" t="s">
        <v>502</v>
      </c>
      <c r="P1825">
        <v>2.3279999999999998</v>
      </c>
      <c r="Q1825">
        <v>2</v>
      </c>
      <c r="R1825">
        <v>0.6</v>
      </c>
      <c r="S1825">
        <v>-0.75660000000000005</v>
      </c>
      <c r="T1825" t="s">
        <v>34</v>
      </c>
      <c r="U1825" t="s">
        <v>97</v>
      </c>
    </row>
    <row r="1826" spans="1:21" x14ac:dyDescent="0.25">
      <c r="A1826" t="s">
        <v>4066</v>
      </c>
      <c r="B1826" s="1">
        <v>42462</v>
      </c>
      <c r="C1826" s="1">
        <v>42466</v>
      </c>
      <c r="D1826" t="s">
        <v>22</v>
      </c>
      <c r="E1826" t="s">
        <v>665</v>
      </c>
      <c r="F1826" t="s">
        <v>666</v>
      </c>
      <c r="G1826" t="s">
        <v>91</v>
      </c>
      <c r="H1826" t="s">
        <v>26</v>
      </c>
      <c r="I1826" t="s">
        <v>906</v>
      </c>
      <c r="J1826" t="s">
        <v>239</v>
      </c>
      <c r="K1826" t="s">
        <v>94</v>
      </c>
      <c r="L1826" t="s">
        <v>1307</v>
      </c>
      <c r="M1826" t="s">
        <v>31</v>
      </c>
      <c r="N1826" t="s">
        <v>37</v>
      </c>
      <c r="O1826" t="s">
        <v>1308</v>
      </c>
      <c r="P1826">
        <v>1454.9</v>
      </c>
      <c r="Q1826">
        <v>5</v>
      </c>
      <c r="R1826">
        <v>0</v>
      </c>
      <c r="S1826">
        <v>378.274</v>
      </c>
      <c r="T1826" t="s">
        <v>84</v>
      </c>
      <c r="U1826" t="s">
        <v>114</v>
      </c>
    </row>
    <row r="1827" spans="1:21" x14ac:dyDescent="0.25">
      <c r="A1827" t="s">
        <v>4067</v>
      </c>
      <c r="B1827" s="1">
        <v>42855</v>
      </c>
      <c r="C1827" s="1">
        <v>42859</v>
      </c>
      <c r="D1827" t="s">
        <v>40</v>
      </c>
      <c r="E1827" t="s">
        <v>1145</v>
      </c>
      <c r="F1827" t="s">
        <v>1146</v>
      </c>
      <c r="G1827" t="s">
        <v>101</v>
      </c>
      <c r="H1827" t="s">
        <v>26</v>
      </c>
      <c r="I1827" t="s">
        <v>4068</v>
      </c>
      <c r="J1827" t="s">
        <v>44</v>
      </c>
      <c r="K1827" t="s">
        <v>29</v>
      </c>
      <c r="L1827" t="s">
        <v>3289</v>
      </c>
      <c r="M1827" t="s">
        <v>31</v>
      </c>
      <c r="N1827" t="s">
        <v>57</v>
      </c>
      <c r="O1827" t="s">
        <v>3290</v>
      </c>
      <c r="P1827">
        <v>220.70400000000001</v>
      </c>
      <c r="Q1827">
        <v>6</v>
      </c>
      <c r="R1827">
        <v>0.2</v>
      </c>
      <c r="S1827">
        <v>-8.2764000000000006</v>
      </c>
      <c r="T1827" t="s">
        <v>84</v>
      </c>
      <c r="U1827" t="s">
        <v>114</v>
      </c>
    </row>
    <row r="1828" spans="1:21" x14ac:dyDescent="0.25">
      <c r="A1828" t="s">
        <v>4069</v>
      </c>
      <c r="B1828" s="1">
        <v>42919</v>
      </c>
      <c r="C1828" s="1">
        <v>42920</v>
      </c>
      <c r="D1828" t="s">
        <v>88</v>
      </c>
      <c r="E1828" t="s">
        <v>2385</v>
      </c>
      <c r="F1828" t="s">
        <v>2386</v>
      </c>
      <c r="G1828" t="s">
        <v>25</v>
      </c>
      <c r="H1828" t="s">
        <v>26</v>
      </c>
      <c r="I1828" t="s">
        <v>510</v>
      </c>
      <c r="J1828" t="s">
        <v>885</v>
      </c>
      <c r="K1828" t="s">
        <v>68</v>
      </c>
      <c r="L1828" t="s">
        <v>936</v>
      </c>
      <c r="M1828" t="s">
        <v>31</v>
      </c>
      <c r="N1828" t="s">
        <v>57</v>
      </c>
      <c r="O1828" t="s">
        <v>937</v>
      </c>
      <c r="P1828">
        <v>102.3</v>
      </c>
      <c r="Q1828">
        <v>1</v>
      </c>
      <c r="R1828">
        <v>0</v>
      </c>
      <c r="S1828">
        <v>26.597999999999999</v>
      </c>
      <c r="T1828" t="s">
        <v>124</v>
      </c>
      <c r="U1828" t="s">
        <v>72</v>
      </c>
    </row>
    <row r="1829" spans="1:21" x14ac:dyDescent="0.25">
      <c r="A1829" t="s">
        <v>4070</v>
      </c>
      <c r="B1829" s="1">
        <v>43091</v>
      </c>
      <c r="C1829" s="1">
        <v>43095</v>
      </c>
      <c r="D1829" t="s">
        <v>40</v>
      </c>
      <c r="E1829" t="s">
        <v>1635</v>
      </c>
      <c r="F1829" t="s">
        <v>1636</v>
      </c>
      <c r="G1829" t="s">
        <v>25</v>
      </c>
      <c r="H1829" t="s">
        <v>26</v>
      </c>
      <c r="I1829" t="s">
        <v>895</v>
      </c>
      <c r="J1829" t="s">
        <v>167</v>
      </c>
      <c r="K1829" t="s">
        <v>94</v>
      </c>
      <c r="L1829" t="s">
        <v>436</v>
      </c>
      <c r="M1829" t="s">
        <v>31</v>
      </c>
      <c r="N1829" t="s">
        <v>46</v>
      </c>
      <c r="O1829" t="s">
        <v>437</v>
      </c>
      <c r="P1829">
        <v>607.52</v>
      </c>
      <c r="Q1829">
        <v>2</v>
      </c>
      <c r="R1829">
        <v>0</v>
      </c>
      <c r="S1829">
        <v>97.203199999999995</v>
      </c>
      <c r="T1829" t="s">
        <v>84</v>
      </c>
      <c r="U1829" t="s">
        <v>97</v>
      </c>
    </row>
    <row r="1830" spans="1:21" x14ac:dyDescent="0.25">
      <c r="A1830" t="s">
        <v>4071</v>
      </c>
      <c r="B1830" s="1">
        <v>41779</v>
      </c>
      <c r="C1830" s="1">
        <v>41781</v>
      </c>
      <c r="D1830" t="s">
        <v>22</v>
      </c>
      <c r="E1830" t="s">
        <v>1998</v>
      </c>
      <c r="F1830" t="s">
        <v>1999</v>
      </c>
      <c r="G1830" t="s">
        <v>91</v>
      </c>
      <c r="H1830" t="s">
        <v>26</v>
      </c>
      <c r="I1830" t="s">
        <v>4072</v>
      </c>
      <c r="J1830" t="s">
        <v>93</v>
      </c>
      <c r="K1830" t="s">
        <v>94</v>
      </c>
      <c r="L1830" t="s">
        <v>3439</v>
      </c>
      <c r="M1830" t="s">
        <v>31</v>
      </c>
      <c r="N1830" t="s">
        <v>57</v>
      </c>
      <c r="O1830" t="s">
        <v>3440</v>
      </c>
      <c r="P1830">
        <v>10.332000000000001</v>
      </c>
      <c r="Q1830">
        <v>3</v>
      </c>
      <c r="R1830">
        <v>0.6</v>
      </c>
      <c r="S1830">
        <v>-5.9409000000000001</v>
      </c>
      <c r="T1830" t="s">
        <v>71</v>
      </c>
      <c r="U1830" t="s">
        <v>162</v>
      </c>
    </row>
    <row r="1831" spans="1:21" x14ac:dyDescent="0.25">
      <c r="A1831" t="s">
        <v>4073</v>
      </c>
      <c r="B1831" s="1">
        <v>42848</v>
      </c>
      <c r="C1831" s="1">
        <v>42851</v>
      </c>
      <c r="D1831" t="s">
        <v>88</v>
      </c>
      <c r="E1831" t="s">
        <v>41</v>
      </c>
      <c r="F1831" t="s">
        <v>42</v>
      </c>
      <c r="G1831" t="s">
        <v>25</v>
      </c>
      <c r="H1831" t="s">
        <v>26</v>
      </c>
      <c r="I1831" t="s">
        <v>4074</v>
      </c>
      <c r="J1831" t="s">
        <v>181</v>
      </c>
      <c r="K1831" t="s">
        <v>55</v>
      </c>
      <c r="L1831" t="s">
        <v>3044</v>
      </c>
      <c r="M1831" t="s">
        <v>31</v>
      </c>
      <c r="N1831" t="s">
        <v>57</v>
      </c>
      <c r="O1831" t="s">
        <v>3045</v>
      </c>
      <c r="P1831">
        <v>11.664</v>
      </c>
      <c r="Q1831">
        <v>3</v>
      </c>
      <c r="R1831">
        <v>0.2</v>
      </c>
      <c r="S1831">
        <v>3.3534000000000002</v>
      </c>
      <c r="T1831" t="s">
        <v>34</v>
      </c>
      <c r="U1831" t="s">
        <v>114</v>
      </c>
    </row>
    <row r="1832" spans="1:21" x14ac:dyDescent="0.25">
      <c r="A1832" t="s">
        <v>4075</v>
      </c>
      <c r="B1832" s="1">
        <v>41794</v>
      </c>
      <c r="C1832" s="1">
        <v>41799</v>
      </c>
      <c r="D1832" t="s">
        <v>40</v>
      </c>
      <c r="E1832" t="s">
        <v>1773</v>
      </c>
      <c r="F1832" t="s">
        <v>1774</v>
      </c>
      <c r="G1832" t="s">
        <v>25</v>
      </c>
      <c r="H1832" t="s">
        <v>26</v>
      </c>
      <c r="I1832" t="s">
        <v>174</v>
      </c>
      <c r="J1832" t="s">
        <v>121</v>
      </c>
      <c r="K1832" t="s">
        <v>68</v>
      </c>
      <c r="L1832" t="s">
        <v>1519</v>
      </c>
      <c r="M1832" t="s">
        <v>31</v>
      </c>
      <c r="N1832" t="s">
        <v>57</v>
      </c>
      <c r="O1832" t="s">
        <v>1520</v>
      </c>
      <c r="P1832">
        <v>56.96</v>
      </c>
      <c r="Q1832">
        <v>2</v>
      </c>
      <c r="R1832">
        <v>0</v>
      </c>
      <c r="S1832">
        <v>21.075199999999999</v>
      </c>
      <c r="T1832" t="s">
        <v>59</v>
      </c>
      <c r="U1832" t="s">
        <v>60</v>
      </c>
    </row>
    <row r="1833" spans="1:21" x14ac:dyDescent="0.25">
      <c r="A1833" t="s">
        <v>4075</v>
      </c>
      <c r="B1833" s="1">
        <v>41794</v>
      </c>
      <c r="C1833" s="1">
        <v>41799</v>
      </c>
      <c r="D1833" t="s">
        <v>40</v>
      </c>
      <c r="E1833" t="s">
        <v>1773</v>
      </c>
      <c r="F1833" t="s">
        <v>1774</v>
      </c>
      <c r="G1833" t="s">
        <v>25</v>
      </c>
      <c r="H1833" t="s">
        <v>26</v>
      </c>
      <c r="I1833" t="s">
        <v>174</v>
      </c>
      <c r="J1833" t="s">
        <v>121</v>
      </c>
      <c r="K1833" t="s">
        <v>68</v>
      </c>
      <c r="L1833" t="s">
        <v>737</v>
      </c>
      <c r="M1833" t="s">
        <v>31</v>
      </c>
      <c r="N1833" t="s">
        <v>32</v>
      </c>
      <c r="O1833" t="s">
        <v>738</v>
      </c>
      <c r="P1833">
        <v>353.56799999999998</v>
      </c>
      <c r="Q1833">
        <v>2</v>
      </c>
      <c r="R1833">
        <v>0.2</v>
      </c>
      <c r="S1833">
        <v>-44.195999999999998</v>
      </c>
      <c r="T1833" t="s">
        <v>59</v>
      </c>
      <c r="U1833" t="s">
        <v>60</v>
      </c>
    </row>
    <row r="1834" spans="1:21" x14ac:dyDescent="0.25">
      <c r="A1834" t="s">
        <v>4075</v>
      </c>
      <c r="B1834" s="1">
        <v>41794</v>
      </c>
      <c r="C1834" s="1">
        <v>41799</v>
      </c>
      <c r="D1834" t="s">
        <v>40</v>
      </c>
      <c r="E1834" t="s">
        <v>1773</v>
      </c>
      <c r="F1834" t="s">
        <v>1774</v>
      </c>
      <c r="G1834" t="s">
        <v>25</v>
      </c>
      <c r="H1834" t="s">
        <v>26</v>
      </c>
      <c r="I1834" t="s">
        <v>174</v>
      </c>
      <c r="J1834" t="s">
        <v>121</v>
      </c>
      <c r="K1834" t="s">
        <v>68</v>
      </c>
      <c r="L1834" t="s">
        <v>978</v>
      </c>
      <c r="M1834" t="s">
        <v>31</v>
      </c>
      <c r="N1834" t="s">
        <v>57</v>
      </c>
      <c r="O1834" t="s">
        <v>979</v>
      </c>
      <c r="P1834">
        <v>13.96</v>
      </c>
      <c r="Q1834">
        <v>2</v>
      </c>
      <c r="R1834">
        <v>0</v>
      </c>
      <c r="S1834">
        <v>6.7008000000000001</v>
      </c>
      <c r="T1834" t="s">
        <v>59</v>
      </c>
      <c r="U1834" t="s">
        <v>60</v>
      </c>
    </row>
    <row r="1835" spans="1:21" x14ac:dyDescent="0.25">
      <c r="A1835" t="s">
        <v>4076</v>
      </c>
      <c r="B1835" s="1">
        <v>42797</v>
      </c>
      <c r="C1835" s="1">
        <v>42802</v>
      </c>
      <c r="D1835" t="s">
        <v>40</v>
      </c>
      <c r="E1835" t="s">
        <v>1027</v>
      </c>
      <c r="F1835" t="s">
        <v>1028</v>
      </c>
      <c r="G1835" t="s">
        <v>91</v>
      </c>
      <c r="H1835" t="s">
        <v>26</v>
      </c>
      <c r="I1835" t="s">
        <v>53</v>
      </c>
      <c r="J1835" t="s">
        <v>54</v>
      </c>
      <c r="K1835" t="s">
        <v>55</v>
      </c>
      <c r="L1835" t="s">
        <v>908</v>
      </c>
      <c r="M1835" t="s">
        <v>31</v>
      </c>
      <c r="N1835" t="s">
        <v>46</v>
      </c>
      <c r="O1835" t="s">
        <v>909</v>
      </c>
      <c r="P1835">
        <v>399.67200000000003</v>
      </c>
      <c r="Q1835">
        <v>7</v>
      </c>
      <c r="R1835">
        <v>0.2</v>
      </c>
      <c r="S1835">
        <v>-14.9877</v>
      </c>
      <c r="T1835" t="s">
        <v>59</v>
      </c>
      <c r="U1835" t="s">
        <v>196</v>
      </c>
    </row>
    <row r="1836" spans="1:21" x14ac:dyDescent="0.25">
      <c r="A1836" t="s">
        <v>4077</v>
      </c>
      <c r="B1836" s="1">
        <v>43045</v>
      </c>
      <c r="C1836" s="1">
        <v>43048</v>
      </c>
      <c r="D1836" t="s">
        <v>22</v>
      </c>
      <c r="E1836" t="s">
        <v>2416</v>
      </c>
      <c r="F1836" t="s">
        <v>2417</v>
      </c>
      <c r="G1836" t="s">
        <v>25</v>
      </c>
      <c r="H1836" t="s">
        <v>26</v>
      </c>
      <c r="I1836" t="s">
        <v>1740</v>
      </c>
      <c r="J1836" t="s">
        <v>93</v>
      </c>
      <c r="K1836" t="s">
        <v>94</v>
      </c>
      <c r="L1836" t="s">
        <v>871</v>
      </c>
      <c r="M1836" t="s">
        <v>31</v>
      </c>
      <c r="N1836" t="s">
        <v>57</v>
      </c>
      <c r="O1836" t="s">
        <v>872</v>
      </c>
      <c r="P1836">
        <v>30.56</v>
      </c>
      <c r="Q1836">
        <v>5</v>
      </c>
      <c r="R1836">
        <v>0.6</v>
      </c>
      <c r="S1836">
        <v>-19.864000000000001</v>
      </c>
      <c r="T1836" t="s">
        <v>34</v>
      </c>
      <c r="U1836" t="s">
        <v>35</v>
      </c>
    </row>
    <row r="1837" spans="1:21" x14ac:dyDescent="0.25">
      <c r="A1837" t="s">
        <v>4078</v>
      </c>
      <c r="B1837" s="1">
        <v>42254</v>
      </c>
      <c r="C1837" s="1">
        <v>42259</v>
      </c>
      <c r="D1837" t="s">
        <v>40</v>
      </c>
      <c r="E1837" t="s">
        <v>4079</v>
      </c>
      <c r="F1837" t="s">
        <v>4080</v>
      </c>
      <c r="G1837" t="s">
        <v>91</v>
      </c>
      <c r="H1837" t="s">
        <v>26</v>
      </c>
      <c r="I1837" t="s">
        <v>174</v>
      </c>
      <c r="J1837" t="s">
        <v>121</v>
      </c>
      <c r="K1837" t="s">
        <v>68</v>
      </c>
      <c r="L1837" t="s">
        <v>1992</v>
      </c>
      <c r="M1837" t="s">
        <v>31</v>
      </c>
      <c r="N1837" t="s">
        <v>46</v>
      </c>
      <c r="O1837" t="s">
        <v>1993</v>
      </c>
      <c r="P1837">
        <v>481.17599999999999</v>
      </c>
      <c r="Q1837">
        <v>2</v>
      </c>
      <c r="R1837">
        <v>0.4</v>
      </c>
      <c r="S1837">
        <v>-120.294</v>
      </c>
      <c r="T1837" t="s">
        <v>59</v>
      </c>
      <c r="U1837" t="s">
        <v>78</v>
      </c>
    </row>
    <row r="1838" spans="1:21" x14ac:dyDescent="0.25">
      <c r="A1838" t="s">
        <v>4081</v>
      </c>
      <c r="B1838" s="1">
        <v>42579</v>
      </c>
      <c r="C1838" s="1">
        <v>42580</v>
      </c>
      <c r="D1838" t="s">
        <v>88</v>
      </c>
      <c r="E1838" t="s">
        <v>611</v>
      </c>
      <c r="F1838" t="s">
        <v>612</v>
      </c>
      <c r="G1838" t="s">
        <v>25</v>
      </c>
      <c r="H1838" t="s">
        <v>26</v>
      </c>
      <c r="I1838" t="s">
        <v>3102</v>
      </c>
      <c r="J1838" t="s">
        <v>67</v>
      </c>
      <c r="K1838" t="s">
        <v>68</v>
      </c>
      <c r="L1838" t="s">
        <v>811</v>
      </c>
      <c r="M1838" t="s">
        <v>31</v>
      </c>
      <c r="N1838" t="s">
        <v>32</v>
      </c>
      <c r="O1838" t="s">
        <v>812</v>
      </c>
      <c r="P1838">
        <v>177.45</v>
      </c>
      <c r="Q1838">
        <v>5</v>
      </c>
      <c r="R1838">
        <v>0.5</v>
      </c>
      <c r="S1838">
        <v>-78.078000000000003</v>
      </c>
      <c r="T1838" t="s">
        <v>124</v>
      </c>
      <c r="U1838" t="s">
        <v>72</v>
      </c>
    </row>
    <row r="1839" spans="1:21" x14ac:dyDescent="0.25">
      <c r="A1839" t="s">
        <v>4082</v>
      </c>
      <c r="B1839" s="1">
        <v>42972</v>
      </c>
      <c r="C1839" s="1">
        <v>42976</v>
      </c>
      <c r="D1839" t="s">
        <v>40</v>
      </c>
      <c r="E1839" t="s">
        <v>740</v>
      </c>
      <c r="F1839" t="s">
        <v>741</v>
      </c>
      <c r="G1839" t="s">
        <v>25</v>
      </c>
      <c r="H1839" t="s">
        <v>26</v>
      </c>
      <c r="I1839" t="s">
        <v>66</v>
      </c>
      <c r="J1839" t="s">
        <v>67</v>
      </c>
      <c r="K1839" t="s">
        <v>68</v>
      </c>
      <c r="L1839" t="s">
        <v>30</v>
      </c>
      <c r="M1839" t="s">
        <v>31</v>
      </c>
      <c r="N1839" t="s">
        <v>32</v>
      </c>
      <c r="O1839" t="s">
        <v>33</v>
      </c>
      <c r="P1839">
        <v>130.97999999999999</v>
      </c>
      <c r="Q1839">
        <v>2</v>
      </c>
      <c r="R1839">
        <v>0.5</v>
      </c>
      <c r="S1839">
        <v>-89.066400000000002</v>
      </c>
      <c r="T1839" t="s">
        <v>84</v>
      </c>
      <c r="U1839" t="s">
        <v>254</v>
      </c>
    </row>
    <row r="1840" spans="1:21" x14ac:dyDescent="0.25">
      <c r="A1840" t="s">
        <v>4083</v>
      </c>
      <c r="B1840" s="1">
        <v>42852</v>
      </c>
      <c r="C1840" s="1">
        <v>42857</v>
      </c>
      <c r="D1840" t="s">
        <v>40</v>
      </c>
      <c r="E1840" t="s">
        <v>4084</v>
      </c>
      <c r="F1840" t="s">
        <v>4085</v>
      </c>
      <c r="G1840" t="s">
        <v>25</v>
      </c>
      <c r="H1840" t="s">
        <v>26</v>
      </c>
      <c r="I1840" t="s">
        <v>192</v>
      </c>
      <c r="J1840" t="s">
        <v>193</v>
      </c>
      <c r="K1840" t="s">
        <v>55</v>
      </c>
      <c r="L1840" t="s">
        <v>128</v>
      </c>
      <c r="M1840" t="s">
        <v>31</v>
      </c>
      <c r="N1840" t="s">
        <v>57</v>
      </c>
      <c r="O1840" t="s">
        <v>129</v>
      </c>
      <c r="P1840">
        <v>139.58000000000001</v>
      </c>
      <c r="Q1840">
        <v>7</v>
      </c>
      <c r="R1840">
        <v>0</v>
      </c>
      <c r="S1840">
        <v>39.0824</v>
      </c>
      <c r="T1840" t="s">
        <v>59</v>
      </c>
      <c r="U1840" t="s">
        <v>114</v>
      </c>
    </row>
    <row r="1841" spans="1:21" x14ac:dyDescent="0.25">
      <c r="A1841" t="s">
        <v>4086</v>
      </c>
      <c r="B1841" s="1">
        <v>42316</v>
      </c>
      <c r="C1841" s="1">
        <v>42323</v>
      </c>
      <c r="D1841" t="s">
        <v>40</v>
      </c>
      <c r="E1841" t="s">
        <v>1039</v>
      </c>
      <c r="F1841" t="s">
        <v>1040</v>
      </c>
      <c r="G1841" t="s">
        <v>91</v>
      </c>
      <c r="H1841" t="s">
        <v>26</v>
      </c>
      <c r="I1841" t="s">
        <v>607</v>
      </c>
      <c r="J1841" t="s">
        <v>1037</v>
      </c>
      <c r="K1841" t="s">
        <v>29</v>
      </c>
      <c r="L1841" t="s">
        <v>423</v>
      </c>
      <c r="M1841" t="s">
        <v>31</v>
      </c>
      <c r="N1841" t="s">
        <v>57</v>
      </c>
      <c r="O1841" t="s">
        <v>424</v>
      </c>
      <c r="P1841">
        <v>4.7119999999999997</v>
      </c>
      <c r="Q1841">
        <v>1</v>
      </c>
      <c r="R1841">
        <v>0.2</v>
      </c>
      <c r="S1841">
        <v>1.4136</v>
      </c>
      <c r="T1841" t="s">
        <v>48</v>
      </c>
      <c r="U1841" t="s">
        <v>35</v>
      </c>
    </row>
    <row r="1842" spans="1:21" x14ac:dyDescent="0.25">
      <c r="A1842" t="s">
        <v>4087</v>
      </c>
      <c r="B1842" s="1">
        <v>42699</v>
      </c>
      <c r="C1842" s="1">
        <v>42703</v>
      </c>
      <c r="D1842" t="s">
        <v>40</v>
      </c>
      <c r="E1842" t="s">
        <v>2634</v>
      </c>
      <c r="F1842" t="s">
        <v>2635</v>
      </c>
      <c r="G1842" t="s">
        <v>25</v>
      </c>
      <c r="H1842" t="s">
        <v>26</v>
      </c>
      <c r="I1842" t="s">
        <v>53</v>
      </c>
      <c r="J1842" t="s">
        <v>54</v>
      </c>
      <c r="K1842" t="s">
        <v>55</v>
      </c>
      <c r="L1842" t="s">
        <v>256</v>
      </c>
      <c r="M1842" t="s">
        <v>31</v>
      </c>
      <c r="N1842" t="s">
        <v>37</v>
      </c>
      <c r="O1842" t="s">
        <v>257</v>
      </c>
      <c r="P1842">
        <v>194.352</v>
      </c>
      <c r="Q1842">
        <v>3</v>
      </c>
      <c r="R1842">
        <v>0.2</v>
      </c>
      <c r="S1842">
        <v>19.435199999999998</v>
      </c>
      <c r="T1842" t="s">
        <v>84</v>
      </c>
      <c r="U1842" t="s">
        <v>35</v>
      </c>
    </row>
    <row r="1843" spans="1:21" x14ac:dyDescent="0.25">
      <c r="A1843" t="s">
        <v>4088</v>
      </c>
      <c r="B1843" s="1">
        <v>42343</v>
      </c>
      <c r="C1843" s="1">
        <v>42346</v>
      </c>
      <c r="D1843" t="s">
        <v>88</v>
      </c>
      <c r="E1843" t="s">
        <v>2042</v>
      </c>
      <c r="F1843" t="s">
        <v>2043</v>
      </c>
      <c r="G1843" t="s">
        <v>91</v>
      </c>
      <c r="H1843" t="s">
        <v>26</v>
      </c>
      <c r="I1843" t="s">
        <v>2648</v>
      </c>
      <c r="J1843" t="s">
        <v>142</v>
      </c>
      <c r="K1843" t="s">
        <v>29</v>
      </c>
      <c r="L1843" t="s">
        <v>299</v>
      </c>
      <c r="M1843" t="s">
        <v>31</v>
      </c>
      <c r="N1843" t="s">
        <v>37</v>
      </c>
      <c r="O1843" t="s">
        <v>300</v>
      </c>
      <c r="P1843">
        <v>97.424000000000007</v>
      </c>
      <c r="Q1843">
        <v>2</v>
      </c>
      <c r="R1843">
        <v>0.2</v>
      </c>
      <c r="S1843">
        <v>10.9602</v>
      </c>
      <c r="T1843" t="s">
        <v>34</v>
      </c>
      <c r="U1843" t="s">
        <v>97</v>
      </c>
    </row>
    <row r="1844" spans="1:21" x14ac:dyDescent="0.25">
      <c r="A1844" t="s">
        <v>4089</v>
      </c>
      <c r="B1844" s="1">
        <v>41895</v>
      </c>
      <c r="C1844" s="1">
        <v>41895</v>
      </c>
      <c r="D1844" t="s">
        <v>426</v>
      </c>
      <c r="E1844" t="s">
        <v>692</v>
      </c>
      <c r="F1844" t="s">
        <v>693</v>
      </c>
      <c r="G1844" t="s">
        <v>25</v>
      </c>
      <c r="H1844" t="s">
        <v>26</v>
      </c>
      <c r="I1844" t="s">
        <v>192</v>
      </c>
      <c r="J1844" t="s">
        <v>193</v>
      </c>
      <c r="K1844" t="s">
        <v>55</v>
      </c>
      <c r="L1844" t="s">
        <v>380</v>
      </c>
      <c r="M1844" t="s">
        <v>31</v>
      </c>
      <c r="N1844" t="s">
        <v>57</v>
      </c>
      <c r="O1844" t="s">
        <v>381</v>
      </c>
      <c r="P1844">
        <v>14.19</v>
      </c>
      <c r="Q1844">
        <v>3</v>
      </c>
      <c r="R1844">
        <v>0</v>
      </c>
      <c r="S1844">
        <v>5.5340999999999996</v>
      </c>
      <c r="T1844" t="s">
        <v>431</v>
      </c>
      <c r="U1844" t="s">
        <v>78</v>
      </c>
    </row>
    <row r="1845" spans="1:21" x14ac:dyDescent="0.25">
      <c r="A1845" t="s">
        <v>4090</v>
      </c>
      <c r="B1845" s="1">
        <v>43064</v>
      </c>
      <c r="C1845" s="1">
        <v>43069</v>
      </c>
      <c r="D1845" t="s">
        <v>40</v>
      </c>
      <c r="E1845" t="s">
        <v>1432</v>
      </c>
      <c r="F1845" t="s">
        <v>1433</v>
      </c>
      <c r="G1845" t="s">
        <v>25</v>
      </c>
      <c r="H1845" t="s">
        <v>26</v>
      </c>
      <c r="I1845" t="s">
        <v>43</v>
      </c>
      <c r="J1845" t="s">
        <v>44</v>
      </c>
      <c r="K1845" t="s">
        <v>29</v>
      </c>
      <c r="L1845" t="s">
        <v>1447</v>
      </c>
      <c r="M1845" t="s">
        <v>31</v>
      </c>
      <c r="N1845" t="s">
        <v>32</v>
      </c>
      <c r="O1845" t="s">
        <v>1448</v>
      </c>
      <c r="P1845">
        <v>723.92</v>
      </c>
      <c r="Q1845">
        <v>5</v>
      </c>
      <c r="R1845">
        <v>0.2</v>
      </c>
      <c r="S1845">
        <v>-81.441000000000003</v>
      </c>
      <c r="T1845" t="s">
        <v>59</v>
      </c>
      <c r="U1845" t="s">
        <v>35</v>
      </c>
    </row>
    <row r="1846" spans="1:21" x14ac:dyDescent="0.25">
      <c r="A1846" t="s">
        <v>4091</v>
      </c>
      <c r="B1846" s="1">
        <v>42136</v>
      </c>
      <c r="C1846" s="1">
        <v>42141</v>
      </c>
      <c r="D1846" t="s">
        <v>40</v>
      </c>
      <c r="E1846" t="s">
        <v>1572</v>
      </c>
      <c r="F1846" t="s">
        <v>1573</v>
      </c>
      <c r="G1846" t="s">
        <v>25</v>
      </c>
      <c r="H1846" t="s">
        <v>26</v>
      </c>
      <c r="I1846" t="s">
        <v>102</v>
      </c>
      <c r="J1846" t="s">
        <v>93</v>
      </c>
      <c r="K1846" t="s">
        <v>94</v>
      </c>
      <c r="L1846" t="s">
        <v>2788</v>
      </c>
      <c r="M1846" t="s">
        <v>31</v>
      </c>
      <c r="N1846" t="s">
        <v>57</v>
      </c>
      <c r="O1846" t="s">
        <v>2789</v>
      </c>
      <c r="P1846">
        <v>21.968</v>
      </c>
      <c r="Q1846">
        <v>4</v>
      </c>
      <c r="R1846">
        <v>0.6</v>
      </c>
      <c r="S1846">
        <v>-15.9268</v>
      </c>
      <c r="T1846" t="s">
        <v>59</v>
      </c>
      <c r="U1846" t="s">
        <v>162</v>
      </c>
    </row>
    <row r="1847" spans="1:21" x14ac:dyDescent="0.25">
      <c r="A1847" t="s">
        <v>4092</v>
      </c>
      <c r="B1847" s="1">
        <v>42824</v>
      </c>
      <c r="C1847" s="1">
        <v>42826</v>
      </c>
      <c r="D1847" t="s">
        <v>22</v>
      </c>
      <c r="E1847" t="s">
        <v>3116</v>
      </c>
      <c r="F1847" t="s">
        <v>3117</v>
      </c>
      <c r="G1847" t="s">
        <v>25</v>
      </c>
      <c r="H1847" t="s">
        <v>26</v>
      </c>
      <c r="I1847" t="s">
        <v>2061</v>
      </c>
      <c r="J1847" t="s">
        <v>54</v>
      </c>
      <c r="K1847" t="s">
        <v>55</v>
      </c>
      <c r="L1847" t="s">
        <v>1543</v>
      </c>
      <c r="M1847" t="s">
        <v>31</v>
      </c>
      <c r="N1847" t="s">
        <v>57</v>
      </c>
      <c r="O1847" t="s">
        <v>1544</v>
      </c>
      <c r="P1847">
        <v>94.2</v>
      </c>
      <c r="Q1847">
        <v>5</v>
      </c>
      <c r="R1847">
        <v>0</v>
      </c>
      <c r="S1847">
        <v>39.564</v>
      </c>
      <c r="T1847" t="s">
        <v>71</v>
      </c>
      <c r="U1847" t="s">
        <v>196</v>
      </c>
    </row>
    <row r="1848" spans="1:21" x14ac:dyDescent="0.25">
      <c r="A1848" t="s">
        <v>4093</v>
      </c>
      <c r="B1848" s="1">
        <v>42000</v>
      </c>
      <c r="C1848" s="1">
        <v>42005</v>
      </c>
      <c r="D1848" t="s">
        <v>22</v>
      </c>
      <c r="E1848" t="s">
        <v>164</v>
      </c>
      <c r="F1848" t="s">
        <v>165</v>
      </c>
      <c r="G1848" t="s">
        <v>25</v>
      </c>
      <c r="H1848" t="s">
        <v>26</v>
      </c>
      <c r="I1848" t="s">
        <v>694</v>
      </c>
      <c r="J1848" t="s">
        <v>232</v>
      </c>
      <c r="K1848" t="s">
        <v>68</v>
      </c>
      <c r="L1848" t="s">
        <v>2607</v>
      </c>
      <c r="M1848" t="s">
        <v>31</v>
      </c>
      <c r="N1848" t="s">
        <v>57</v>
      </c>
      <c r="O1848" t="s">
        <v>2608</v>
      </c>
      <c r="P1848">
        <v>182.352</v>
      </c>
      <c r="Q1848">
        <v>3</v>
      </c>
      <c r="R1848">
        <v>0.2</v>
      </c>
      <c r="S1848">
        <v>-18.235199999999999</v>
      </c>
      <c r="T1848" t="s">
        <v>59</v>
      </c>
      <c r="U1848" t="s">
        <v>97</v>
      </c>
    </row>
    <row r="1849" spans="1:21" x14ac:dyDescent="0.25">
      <c r="A1849" t="s">
        <v>4094</v>
      </c>
      <c r="B1849" s="1">
        <v>42782</v>
      </c>
      <c r="C1849" s="1">
        <v>42787</v>
      </c>
      <c r="D1849" t="s">
        <v>40</v>
      </c>
      <c r="E1849" t="s">
        <v>1631</v>
      </c>
      <c r="F1849" t="s">
        <v>1632</v>
      </c>
      <c r="G1849" t="s">
        <v>25</v>
      </c>
      <c r="H1849" t="s">
        <v>26</v>
      </c>
      <c r="I1849" t="s">
        <v>514</v>
      </c>
      <c r="J1849" t="s">
        <v>135</v>
      </c>
      <c r="K1849" t="s">
        <v>94</v>
      </c>
      <c r="L1849" t="s">
        <v>207</v>
      </c>
      <c r="M1849" t="s">
        <v>31</v>
      </c>
      <c r="N1849" t="s">
        <v>37</v>
      </c>
      <c r="O1849" t="s">
        <v>208</v>
      </c>
      <c r="P1849">
        <v>600.55799999999999</v>
      </c>
      <c r="Q1849">
        <v>3</v>
      </c>
      <c r="R1849">
        <v>0.3</v>
      </c>
      <c r="S1849">
        <v>-8.5793999999999997</v>
      </c>
      <c r="T1849" t="s">
        <v>59</v>
      </c>
      <c r="U1849" t="s">
        <v>298</v>
      </c>
    </row>
    <row r="1850" spans="1:21" x14ac:dyDescent="0.25">
      <c r="A1850" t="s">
        <v>4094</v>
      </c>
      <c r="B1850" s="1">
        <v>42782</v>
      </c>
      <c r="C1850" s="1">
        <v>42787</v>
      </c>
      <c r="D1850" t="s">
        <v>40</v>
      </c>
      <c r="E1850" t="s">
        <v>1631</v>
      </c>
      <c r="F1850" t="s">
        <v>1632</v>
      </c>
      <c r="G1850" t="s">
        <v>25</v>
      </c>
      <c r="H1850" t="s">
        <v>26</v>
      </c>
      <c r="I1850" t="s">
        <v>514</v>
      </c>
      <c r="J1850" t="s">
        <v>135</v>
      </c>
      <c r="K1850" t="s">
        <v>94</v>
      </c>
      <c r="L1850" t="s">
        <v>1312</v>
      </c>
      <c r="M1850" t="s">
        <v>31</v>
      </c>
      <c r="N1850" t="s">
        <v>57</v>
      </c>
      <c r="O1850" t="s">
        <v>2023</v>
      </c>
      <c r="P1850">
        <v>7.6920000000000002</v>
      </c>
      <c r="Q1850">
        <v>1</v>
      </c>
      <c r="R1850">
        <v>0.6</v>
      </c>
      <c r="S1850">
        <v>-3.6537000000000002</v>
      </c>
      <c r="T1850" t="s">
        <v>59</v>
      </c>
      <c r="U1850" t="s">
        <v>298</v>
      </c>
    </row>
    <row r="1851" spans="1:21" x14ac:dyDescent="0.25">
      <c r="A1851" t="s">
        <v>4095</v>
      </c>
      <c r="B1851" s="1">
        <v>43032</v>
      </c>
      <c r="C1851" s="1">
        <v>43034</v>
      </c>
      <c r="D1851" t="s">
        <v>88</v>
      </c>
      <c r="E1851" t="s">
        <v>404</v>
      </c>
      <c r="F1851" t="s">
        <v>405</v>
      </c>
      <c r="G1851" t="s">
        <v>25</v>
      </c>
      <c r="H1851" t="s">
        <v>26</v>
      </c>
      <c r="I1851" t="s">
        <v>4096</v>
      </c>
      <c r="J1851" t="s">
        <v>93</v>
      </c>
      <c r="K1851" t="s">
        <v>94</v>
      </c>
      <c r="L1851" t="s">
        <v>1466</v>
      </c>
      <c r="M1851" t="s">
        <v>31</v>
      </c>
      <c r="N1851" t="s">
        <v>46</v>
      </c>
      <c r="O1851" t="s">
        <v>1467</v>
      </c>
      <c r="P1851">
        <v>517.40499999999997</v>
      </c>
      <c r="Q1851">
        <v>5</v>
      </c>
      <c r="R1851">
        <v>0.3</v>
      </c>
      <c r="S1851">
        <v>-81.3065</v>
      </c>
      <c r="T1851" t="s">
        <v>71</v>
      </c>
      <c r="U1851" t="s">
        <v>49</v>
      </c>
    </row>
    <row r="1852" spans="1:21" x14ac:dyDescent="0.25">
      <c r="A1852" t="s">
        <v>4097</v>
      </c>
      <c r="B1852" s="1">
        <v>42993</v>
      </c>
      <c r="C1852" s="1">
        <v>42995</v>
      </c>
      <c r="D1852" t="s">
        <v>22</v>
      </c>
      <c r="E1852" t="s">
        <v>302</v>
      </c>
      <c r="F1852" t="s">
        <v>303</v>
      </c>
      <c r="G1852" t="s">
        <v>101</v>
      </c>
      <c r="H1852" t="s">
        <v>26</v>
      </c>
      <c r="I1852" t="s">
        <v>329</v>
      </c>
      <c r="J1852" t="s">
        <v>54</v>
      </c>
      <c r="K1852" t="s">
        <v>55</v>
      </c>
      <c r="L1852" t="s">
        <v>307</v>
      </c>
      <c r="M1852" t="s">
        <v>31</v>
      </c>
      <c r="N1852" t="s">
        <v>46</v>
      </c>
      <c r="O1852" t="s">
        <v>308</v>
      </c>
      <c r="P1852">
        <v>300.904</v>
      </c>
      <c r="Q1852">
        <v>1</v>
      </c>
      <c r="R1852">
        <v>0.2</v>
      </c>
      <c r="S1852">
        <v>11.283899999999999</v>
      </c>
      <c r="T1852" t="s">
        <v>71</v>
      </c>
      <c r="U1852" t="s">
        <v>78</v>
      </c>
    </row>
    <row r="1853" spans="1:21" x14ac:dyDescent="0.25">
      <c r="A1853" t="s">
        <v>4098</v>
      </c>
      <c r="B1853" s="1">
        <v>42901</v>
      </c>
      <c r="C1853" s="1">
        <v>42906</v>
      </c>
      <c r="D1853" t="s">
        <v>40</v>
      </c>
      <c r="E1853" t="s">
        <v>387</v>
      </c>
      <c r="F1853" t="s">
        <v>388</v>
      </c>
      <c r="G1853" t="s">
        <v>91</v>
      </c>
      <c r="H1853" t="s">
        <v>26</v>
      </c>
      <c r="I1853" t="s">
        <v>2648</v>
      </c>
      <c r="J1853" t="s">
        <v>142</v>
      </c>
      <c r="K1853" t="s">
        <v>29</v>
      </c>
      <c r="L1853" t="s">
        <v>316</v>
      </c>
      <c r="M1853" t="s">
        <v>31</v>
      </c>
      <c r="N1853" t="s">
        <v>57</v>
      </c>
      <c r="O1853" t="s">
        <v>317</v>
      </c>
      <c r="P1853">
        <v>31.167999999999999</v>
      </c>
      <c r="Q1853">
        <v>4</v>
      </c>
      <c r="R1853">
        <v>0.2</v>
      </c>
      <c r="S1853">
        <v>9.3504000000000005</v>
      </c>
      <c r="T1853" t="s">
        <v>59</v>
      </c>
      <c r="U1853" t="s">
        <v>60</v>
      </c>
    </row>
    <row r="1854" spans="1:21" x14ac:dyDescent="0.25">
      <c r="A1854" t="s">
        <v>4098</v>
      </c>
      <c r="B1854" s="1">
        <v>42901</v>
      </c>
      <c r="C1854" s="1">
        <v>42906</v>
      </c>
      <c r="D1854" t="s">
        <v>40</v>
      </c>
      <c r="E1854" t="s">
        <v>387</v>
      </c>
      <c r="F1854" t="s">
        <v>388</v>
      </c>
      <c r="G1854" t="s">
        <v>91</v>
      </c>
      <c r="H1854" t="s">
        <v>26</v>
      </c>
      <c r="I1854" t="s">
        <v>2648</v>
      </c>
      <c r="J1854" t="s">
        <v>142</v>
      </c>
      <c r="K1854" t="s">
        <v>29</v>
      </c>
      <c r="L1854" t="s">
        <v>2407</v>
      </c>
      <c r="M1854" t="s">
        <v>31</v>
      </c>
      <c r="N1854" t="s">
        <v>46</v>
      </c>
      <c r="O1854" t="s">
        <v>2408</v>
      </c>
      <c r="P1854">
        <v>120.96</v>
      </c>
      <c r="Q1854">
        <v>2</v>
      </c>
      <c r="R1854">
        <v>0.4</v>
      </c>
      <c r="S1854">
        <v>-28.224</v>
      </c>
      <c r="T1854" t="s">
        <v>59</v>
      </c>
      <c r="U1854" t="s">
        <v>60</v>
      </c>
    </row>
    <row r="1855" spans="1:21" x14ac:dyDescent="0.25">
      <c r="A1855" t="s">
        <v>4099</v>
      </c>
      <c r="B1855" s="1">
        <v>41890</v>
      </c>
      <c r="C1855" s="1">
        <v>41895</v>
      </c>
      <c r="D1855" t="s">
        <v>40</v>
      </c>
      <c r="E1855" t="s">
        <v>1241</v>
      </c>
      <c r="F1855" t="s">
        <v>1242</v>
      </c>
      <c r="G1855" t="s">
        <v>101</v>
      </c>
      <c r="H1855" t="s">
        <v>26</v>
      </c>
      <c r="I1855" t="s">
        <v>174</v>
      </c>
      <c r="J1855" t="s">
        <v>121</v>
      </c>
      <c r="K1855" t="s">
        <v>68</v>
      </c>
      <c r="L1855" t="s">
        <v>1280</v>
      </c>
      <c r="M1855" t="s">
        <v>31</v>
      </c>
      <c r="N1855" t="s">
        <v>37</v>
      </c>
      <c r="O1855" t="s">
        <v>1281</v>
      </c>
      <c r="P1855">
        <v>172.76400000000001</v>
      </c>
      <c r="Q1855">
        <v>2</v>
      </c>
      <c r="R1855">
        <v>0.1</v>
      </c>
      <c r="S1855">
        <v>13.437200000000001</v>
      </c>
      <c r="T1855" t="s">
        <v>59</v>
      </c>
      <c r="U1855" t="s">
        <v>78</v>
      </c>
    </row>
    <row r="1856" spans="1:21" x14ac:dyDescent="0.25">
      <c r="A1856" t="s">
        <v>4100</v>
      </c>
      <c r="B1856" s="1">
        <v>41959</v>
      </c>
      <c r="C1856" s="1">
        <v>41961</v>
      </c>
      <c r="D1856" t="s">
        <v>88</v>
      </c>
      <c r="E1856" t="s">
        <v>676</v>
      </c>
      <c r="F1856" t="s">
        <v>677</v>
      </c>
      <c r="G1856" t="s">
        <v>91</v>
      </c>
      <c r="H1856" t="s">
        <v>26</v>
      </c>
      <c r="I1856" t="s">
        <v>53</v>
      </c>
      <c r="J1856" t="s">
        <v>54</v>
      </c>
      <c r="K1856" t="s">
        <v>55</v>
      </c>
      <c r="L1856" t="s">
        <v>711</v>
      </c>
      <c r="M1856" t="s">
        <v>31</v>
      </c>
      <c r="N1856" t="s">
        <v>32</v>
      </c>
      <c r="O1856" t="s">
        <v>712</v>
      </c>
      <c r="P1856">
        <v>305.97449999999998</v>
      </c>
      <c r="Q1856">
        <v>3</v>
      </c>
      <c r="R1856">
        <v>0.15</v>
      </c>
      <c r="S1856">
        <v>25.197900000000001</v>
      </c>
      <c r="T1856" t="s">
        <v>71</v>
      </c>
      <c r="U1856" t="s">
        <v>35</v>
      </c>
    </row>
    <row r="1857" spans="1:21" x14ac:dyDescent="0.25">
      <c r="A1857" t="s">
        <v>4101</v>
      </c>
      <c r="B1857" s="1">
        <v>41701</v>
      </c>
      <c r="C1857" s="1">
        <v>41705</v>
      </c>
      <c r="D1857" t="s">
        <v>40</v>
      </c>
      <c r="E1857" t="s">
        <v>4022</v>
      </c>
      <c r="F1857" t="s">
        <v>4023</v>
      </c>
      <c r="G1857" t="s">
        <v>25</v>
      </c>
      <c r="H1857" t="s">
        <v>26</v>
      </c>
      <c r="I1857" t="s">
        <v>640</v>
      </c>
      <c r="J1857" t="s">
        <v>54</v>
      </c>
      <c r="K1857" t="s">
        <v>55</v>
      </c>
      <c r="L1857" t="s">
        <v>1248</v>
      </c>
      <c r="M1857" t="s">
        <v>31</v>
      </c>
      <c r="N1857" t="s">
        <v>46</v>
      </c>
      <c r="O1857" t="s">
        <v>1249</v>
      </c>
      <c r="P1857">
        <v>626.35199999999998</v>
      </c>
      <c r="Q1857">
        <v>3</v>
      </c>
      <c r="R1857">
        <v>0.2</v>
      </c>
      <c r="S1857">
        <v>-23.488199999999999</v>
      </c>
      <c r="T1857" t="s">
        <v>84</v>
      </c>
      <c r="U1857" t="s">
        <v>196</v>
      </c>
    </row>
    <row r="1858" spans="1:21" x14ac:dyDescent="0.25">
      <c r="A1858" t="s">
        <v>4102</v>
      </c>
      <c r="B1858" s="1">
        <v>42341</v>
      </c>
      <c r="C1858" s="1">
        <v>42345</v>
      </c>
      <c r="D1858" t="s">
        <v>40</v>
      </c>
      <c r="E1858" t="s">
        <v>1899</v>
      </c>
      <c r="F1858" t="s">
        <v>1900</v>
      </c>
      <c r="G1858" t="s">
        <v>25</v>
      </c>
      <c r="H1858" t="s">
        <v>26</v>
      </c>
      <c r="I1858" t="s">
        <v>329</v>
      </c>
      <c r="J1858" t="s">
        <v>54</v>
      </c>
      <c r="K1858" t="s">
        <v>55</v>
      </c>
      <c r="L1858" t="s">
        <v>1696</v>
      </c>
      <c r="M1858" t="s">
        <v>31</v>
      </c>
      <c r="N1858" t="s">
        <v>32</v>
      </c>
      <c r="O1858" t="s">
        <v>1915</v>
      </c>
      <c r="P1858">
        <v>359.49900000000002</v>
      </c>
      <c r="Q1858">
        <v>3</v>
      </c>
      <c r="R1858">
        <v>0.15</v>
      </c>
      <c r="S1858">
        <v>-29.605799999999999</v>
      </c>
      <c r="T1858" t="s">
        <v>84</v>
      </c>
      <c r="U1858" t="s">
        <v>97</v>
      </c>
    </row>
    <row r="1859" spans="1:21" x14ac:dyDescent="0.25">
      <c r="A1859" t="s">
        <v>4103</v>
      </c>
      <c r="B1859" s="1">
        <v>42533</v>
      </c>
      <c r="C1859" s="1">
        <v>42537</v>
      </c>
      <c r="D1859" t="s">
        <v>22</v>
      </c>
      <c r="E1859" t="s">
        <v>3699</v>
      </c>
      <c r="F1859" t="s">
        <v>3700</v>
      </c>
      <c r="G1859" t="s">
        <v>101</v>
      </c>
      <c r="H1859" t="s">
        <v>26</v>
      </c>
      <c r="I1859" t="s">
        <v>102</v>
      </c>
      <c r="J1859" t="s">
        <v>93</v>
      </c>
      <c r="K1859" t="s">
        <v>94</v>
      </c>
      <c r="L1859" t="s">
        <v>896</v>
      </c>
      <c r="M1859" t="s">
        <v>31</v>
      </c>
      <c r="N1859" t="s">
        <v>57</v>
      </c>
      <c r="O1859" t="s">
        <v>897</v>
      </c>
      <c r="P1859">
        <v>6.984</v>
      </c>
      <c r="Q1859">
        <v>2</v>
      </c>
      <c r="R1859">
        <v>0.6</v>
      </c>
      <c r="S1859">
        <v>-4.5396000000000001</v>
      </c>
      <c r="T1859" t="s">
        <v>84</v>
      </c>
      <c r="U1859" t="s">
        <v>60</v>
      </c>
    </row>
    <row r="1860" spans="1:21" x14ac:dyDescent="0.25">
      <c r="A1860" t="s">
        <v>4103</v>
      </c>
      <c r="B1860" s="1">
        <v>42533</v>
      </c>
      <c r="C1860" s="1">
        <v>42537</v>
      </c>
      <c r="D1860" t="s">
        <v>22</v>
      </c>
      <c r="E1860" t="s">
        <v>3699</v>
      </c>
      <c r="F1860" t="s">
        <v>3700</v>
      </c>
      <c r="G1860" t="s">
        <v>101</v>
      </c>
      <c r="H1860" t="s">
        <v>26</v>
      </c>
      <c r="I1860" t="s">
        <v>102</v>
      </c>
      <c r="J1860" t="s">
        <v>93</v>
      </c>
      <c r="K1860" t="s">
        <v>94</v>
      </c>
      <c r="L1860" t="s">
        <v>2731</v>
      </c>
      <c r="M1860" t="s">
        <v>31</v>
      </c>
      <c r="N1860" t="s">
        <v>37</v>
      </c>
      <c r="O1860" t="s">
        <v>2732</v>
      </c>
      <c r="P1860">
        <v>379.37200000000001</v>
      </c>
      <c r="Q1860">
        <v>2</v>
      </c>
      <c r="R1860">
        <v>0.3</v>
      </c>
      <c r="S1860">
        <v>-119.2312</v>
      </c>
      <c r="T1860" t="s">
        <v>84</v>
      </c>
      <c r="U1860" t="s">
        <v>60</v>
      </c>
    </row>
    <row r="1861" spans="1:21" x14ac:dyDescent="0.25">
      <c r="A1861" t="s">
        <v>4104</v>
      </c>
      <c r="B1861" s="1">
        <v>42365</v>
      </c>
      <c r="C1861" s="1">
        <v>42369</v>
      </c>
      <c r="D1861" t="s">
        <v>40</v>
      </c>
      <c r="E1861" t="s">
        <v>2618</v>
      </c>
      <c r="F1861" t="s">
        <v>2619</v>
      </c>
      <c r="G1861" t="s">
        <v>91</v>
      </c>
      <c r="H1861" t="s">
        <v>26</v>
      </c>
      <c r="I1861" t="s">
        <v>400</v>
      </c>
      <c r="J1861" t="s">
        <v>142</v>
      </c>
      <c r="K1861" t="s">
        <v>29</v>
      </c>
      <c r="L1861" t="s">
        <v>3974</v>
      </c>
      <c r="M1861" t="s">
        <v>31</v>
      </c>
      <c r="N1861" t="s">
        <v>57</v>
      </c>
      <c r="O1861" t="s">
        <v>3975</v>
      </c>
      <c r="P1861">
        <v>53.351999999999997</v>
      </c>
      <c r="Q1861">
        <v>3</v>
      </c>
      <c r="R1861">
        <v>0.2</v>
      </c>
      <c r="S1861">
        <v>16.005600000000001</v>
      </c>
      <c r="T1861" t="s">
        <v>84</v>
      </c>
      <c r="U1861" t="s">
        <v>97</v>
      </c>
    </row>
    <row r="1862" spans="1:21" x14ac:dyDescent="0.25">
      <c r="A1862" t="s">
        <v>4104</v>
      </c>
      <c r="B1862" s="1">
        <v>42365</v>
      </c>
      <c r="C1862" s="1">
        <v>42369</v>
      </c>
      <c r="D1862" t="s">
        <v>40</v>
      </c>
      <c r="E1862" t="s">
        <v>2618</v>
      </c>
      <c r="F1862" t="s">
        <v>2619</v>
      </c>
      <c r="G1862" t="s">
        <v>91</v>
      </c>
      <c r="H1862" t="s">
        <v>26</v>
      </c>
      <c r="I1862" t="s">
        <v>400</v>
      </c>
      <c r="J1862" t="s">
        <v>142</v>
      </c>
      <c r="K1862" t="s">
        <v>29</v>
      </c>
      <c r="L1862" t="s">
        <v>2734</v>
      </c>
      <c r="M1862" t="s">
        <v>31</v>
      </c>
      <c r="N1862" t="s">
        <v>32</v>
      </c>
      <c r="O1862" t="s">
        <v>2735</v>
      </c>
      <c r="P1862">
        <v>131.10400000000001</v>
      </c>
      <c r="Q1862">
        <v>2</v>
      </c>
      <c r="R1862">
        <v>0.2</v>
      </c>
      <c r="S1862">
        <v>8.1940000000000008</v>
      </c>
      <c r="T1862" t="s">
        <v>84</v>
      </c>
      <c r="U1862" t="s">
        <v>97</v>
      </c>
    </row>
    <row r="1863" spans="1:21" x14ac:dyDescent="0.25">
      <c r="A1863" t="s">
        <v>4105</v>
      </c>
      <c r="B1863" s="1">
        <v>42913</v>
      </c>
      <c r="C1863" s="1">
        <v>42915</v>
      </c>
      <c r="D1863" t="s">
        <v>22</v>
      </c>
      <c r="E1863" t="s">
        <v>3852</v>
      </c>
      <c r="F1863" t="s">
        <v>3853</v>
      </c>
      <c r="G1863" t="s">
        <v>91</v>
      </c>
      <c r="H1863" t="s">
        <v>26</v>
      </c>
      <c r="I1863" t="s">
        <v>192</v>
      </c>
      <c r="J1863" t="s">
        <v>193</v>
      </c>
      <c r="K1863" t="s">
        <v>55</v>
      </c>
      <c r="L1863" t="s">
        <v>567</v>
      </c>
      <c r="M1863" t="s">
        <v>31</v>
      </c>
      <c r="N1863" t="s">
        <v>57</v>
      </c>
      <c r="O1863" t="s">
        <v>568</v>
      </c>
      <c r="P1863">
        <v>126.3</v>
      </c>
      <c r="Q1863">
        <v>3</v>
      </c>
      <c r="R1863">
        <v>0</v>
      </c>
      <c r="S1863">
        <v>40.415999999999997</v>
      </c>
      <c r="T1863" t="s">
        <v>71</v>
      </c>
      <c r="U1863" t="s">
        <v>60</v>
      </c>
    </row>
    <row r="1864" spans="1:21" x14ac:dyDescent="0.25">
      <c r="A1864" t="s">
        <v>4106</v>
      </c>
      <c r="B1864" s="1">
        <v>42279</v>
      </c>
      <c r="C1864" s="1">
        <v>42281</v>
      </c>
      <c r="D1864" t="s">
        <v>88</v>
      </c>
      <c r="E1864" t="s">
        <v>1360</v>
      </c>
      <c r="F1864" t="s">
        <v>1361</v>
      </c>
      <c r="G1864" t="s">
        <v>25</v>
      </c>
      <c r="H1864" t="s">
        <v>26</v>
      </c>
      <c r="I1864" t="s">
        <v>4107</v>
      </c>
      <c r="J1864" t="s">
        <v>1518</v>
      </c>
      <c r="K1864" t="s">
        <v>55</v>
      </c>
      <c r="L1864" t="s">
        <v>175</v>
      </c>
      <c r="M1864" t="s">
        <v>31</v>
      </c>
      <c r="N1864" t="s">
        <v>57</v>
      </c>
      <c r="O1864" t="s">
        <v>176</v>
      </c>
      <c r="P1864">
        <v>11.032</v>
      </c>
      <c r="Q1864">
        <v>1</v>
      </c>
      <c r="R1864">
        <v>0.2</v>
      </c>
      <c r="S1864">
        <v>3.0337999999999998</v>
      </c>
      <c r="T1864" t="s">
        <v>71</v>
      </c>
      <c r="U1864" t="s">
        <v>49</v>
      </c>
    </row>
    <row r="1865" spans="1:21" x14ac:dyDescent="0.25">
      <c r="A1865" t="s">
        <v>4108</v>
      </c>
      <c r="B1865" s="1">
        <v>42768</v>
      </c>
      <c r="C1865" s="1">
        <v>42773</v>
      </c>
      <c r="D1865" t="s">
        <v>40</v>
      </c>
      <c r="E1865" t="s">
        <v>2001</v>
      </c>
      <c r="F1865" t="s">
        <v>2002</v>
      </c>
      <c r="G1865" t="s">
        <v>91</v>
      </c>
      <c r="H1865" t="s">
        <v>26</v>
      </c>
      <c r="I1865" t="s">
        <v>640</v>
      </c>
      <c r="J1865" t="s">
        <v>54</v>
      </c>
      <c r="K1865" t="s">
        <v>55</v>
      </c>
      <c r="L1865" t="s">
        <v>1011</v>
      </c>
      <c r="M1865" t="s">
        <v>31</v>
      </c>
      <c r="N1865" t="s">
        <v>57</v>
      </c>
      <c r="O1865" t="s">
        <v>1012</v>
      </c>
      <c r="P1865">
        <v>210.58</v>
      </c>
      <c r="Q1865">
        <v>2</v>
      </c>
      <c r="R1865">
        <v>0</v>
      </c>
      <c r="S1865">
        <v>12.6348</v>
      </c>
      <c r="T1865" t="s">
        <v>59</v>
      </c>
      <c r="U1865" t="s">
        <v>298</v>
      </c>
    </row>
    <row r="1866" spans="1:21" x14ac:dyDescent="0.25">
      <c r="A1866" t="s">
        <v>4109</v>
      </c>
      <c r="B1866" s="1">
        <v>42573</v>
      </c>
      <c r="C1866" s="1">
        <v>42577</v>
      </c>
      <c r="D1866" t="s">
        <v>40</v>
      </c>
      <c r="E1866" t="s">
        <v>2530</v>
      </c>
      <c r="F1866" t="s">
        <v>2531</v>
      </c>
      <c r="G1866" t="s">
        <v>91</v>
      </c>
      <c r="H1866" t="s">
        <v>26</v>
      </c>
      <c r="I1866" t="s">
        <v>158</v>
      </c>
      <c r="J1866" t="s">
        <v>1090</v>
      </c>
      <c r="K1866" t="s">
        <v>68</v>
      </c>
      <c r="L1866" t="s">
        <v>836</v>
      </c>
      <c r="M1866" t="s">
        <v>31</v>
      </c>
      <c r="N1866" t="s">
        <v>57</v>
      </c>
      <c r="O1866" t="s">
        <v>837</v>
      </c>
      <c r="P1866">
        <v>27.42</v>
      </c>
      <c r="Q1866">
        <v>3</v>
      </c>
      <c r="R1866">
        <v>0</v>
      </c>
      <c r="S1866">
        <v>9.3228000000000009</v>
      </c>
      <c r="T1866" t="s">
        <v>84</v>
      </c>
      <c r="U1866" t="s">
        <v>72</v>
      </c>
    </row>
    <row r="1867" spans="1:21" x14ac:dyDescent="0.25">
      <c r="A1867" t="s">
        <v>4110</v>
      </c>
      <c r="B1867" s="1">
        <v>42625</v>
      </c>
      <c r="C1867" s="1">
        <v>42626</v>
      </c>
      <c r="D1867" t="s">
        <v>426</v>
      </c>
      <c r="E1867" t="s">
        <v>3302</v>
      </c>
      <c r="F1867" t="s">
        <v>3303</v>
      </c>
      <c r="G1867" t="s">
        <v>101</v>
      </c>
      <c r="H1867" t="s">
        <v>26</v>
      </c>
      <c r="I1867" t="s">
        <v>866</v>
      </c>
      <c r="J1867" t="s">
        <v>181</v>
      </c>
      <c r="K1867" t="s">
        <v>55</v>
      </c>
      <c r="L1867" t="s">
        <v>1004</v>
      </c>
      <c r="M1867" t="s">
        <v>31</v>
      </c>
      <c r="N1867" t="s">
        <v>37</v>
      </c>
      <c r="O1867" t="s">
        <v>1005</v>
      </c>
      <c r="P1867">
        <v>83.135999999999996</v>
      </c>
      <c r="Q1867">
        <v>4</v>
      </c>
      <c r="R1867">
        <v>0.2</v>
      </c>
      <c r="S1867">
        <v>5.1959999999999997</v>
      </c>
      <c r="T1867" t="s">
        <v>124</v>
      </c>
      <c r="U1867" t="s">
        <v>78</v>
      </c>
    </row>
    <row r="1868" spans="1:21" x14ac:dyDescent="0.25">
      <c r="A1868" t="s">
        <v>4111</v>
      </c>
      <c r="B1868" s="1">
        <v>42553</v>
      </c>
      <c r="C1868" s="1">
        <v>42554</v>
      </c>
      <c r="D1868" t="s">
        <v>88</v>
      </c>
      <c r="E1868" t="s">
        <v>1512</v>
      </c>
      <c r="F1868" t="s">
        <v>1513</v>
      </c>
      <c r="G1868" t="s">
        <v>91</v>
      </c>
      <c r="H1868" t="s">
        <v>26</v>
      </c>
      <c r="I1868" t="s">
        <v>1869</v>
      </c>
      <c r="J1868" t="s">
        <v>93</v>
      </c>
      <c r="K1868" t="s">
        <v>94</v>
      </c>
      <c r="L1868" t="s">
        <v>856</v>
      </c>
      <c r="M1868" t="s">
        <v>31</v>
      </c>
      <c r="N1868" t="s">
        <v>37</v>
      </c>
      <c r="O1868" t="s">
        <v>857</v>
      </c>
      <c r="P1868">
        <v>528.42999999999995</v>
      </c>
      <c r="Q1868">
        <v>5</v>
      </c>
      <c r="R1868">
        <v>0.3</v>
      </c>
      <c r="S1868">
        <v>0</v>
      </c>
      <c r="T1868" t="s">
        <v>124</v>
      </c>
      <c r="U1868" t="s">
        <v>72</v>
      </c>
    </row>
    <row r="1869" spans="1:21" x14ac:dyDescent="0.25">
      <c r="A1869" t="s">
        <v>4112</v>
      </c>
      <c r="B1869" s="1">
        <v>43082</v>
      </c>
      <c r="C1869" s="1">
        <v>43087</v>
      </c>
      <c r="D1869" t="s">
        <v>40</v>
      </c>
      <c r="E1869" t="s">
        <v>4113</v>
      </c>
      <c r="F1869" t="s">
        <v>4114</v>
      </c>
      <c r="G1869" t="s">
        <v>91</v>
      </c>
      <c r="H1869" t="s">
        <v>26</v>
      </c>
      <c r="I1869" t="s">
        <v>174</v>
      </c>
      <c r="J1869" t="s">
        <v>121</v>
      </c>
      <c r="K1869" t="s">
        <v>68</v>
      </c>
      <c r="L1869" t="s">
        <v>711</v>
      </c>
      <c r="M1869" t="s">
        <v>31</v>
      </c>
      <c r="N1869" t="s">
        <v>32</v>
      </c>
      <c r="O1869" t="s">
        <v>712</v>
      </c>
      <c r="P1869">
        <v>287.976</v>
      </c>
      <c r="Q1869">
        <v>3</v>
      </c>
      <c r="R1869">
        <v>0.2</v>
      </c>
      <c r="S1869">
        <v>7.1993999999999998</v>
      </c>
      <c r="T1869" t="s">
        <v>59</v>
      </c>
      <c r="U1869" t="s">
        <v>97</v>
      </c>
    </row>
    <row r="1870" spans="1:21" x14ac:dyDescent="0.25">
      <c r="A1870" t="s">
        <v>4115</v>
      </c>
      <c r="B1870" s="1">
        <v>42064</v>
      </c>
      <c r="C1870" s="1">
        <v>42067</v>
      </c>
      <c r="D1870" t="s">
        <v>88</v>
      </c>
      <c r="E1870" t="s">
        <v>3923</v>
      </c>
      <c r="F1870" t="s">
        <v>3924</v>
      </c>
      <c r="G1870" t="s">
        <v>91</v>
      </c>
      <c r="H1870" t="s">
        <v>26</v>
      </c>
      <c r="I1870" t="s">
        <v>102</v>
      </c>
      <c r="J1870" t="s">
        <v>93</v>
      </c>
      <c r="K1870" t="s">
        <v>94</v>
      </c>
      <c r="L1870" t="s">
        <v>1000</v>
      </c>
      <c r="M1870" t="s">
        <v>31</v>
      </c>
      <c r="N1870" t="s">
        <v>32</v>
      </c>
      <c r="O1870" t="s">
        <v>1001</v>
      </c>
      <c r="P1870">
        <v>1227.9983999999999</v>
      </c>
      <c r="Q1870">
        <v>6</v>
      </c>
      <c r="R1870">
        <v>0.32</v>
      </c>
      <c r="S1870">
        <v>-36.117600000000003</v>
      </c>
      <c r="T1870" t="s">
        <v>34</v>
      </c>
      <c r="U1870" t="s">
        <v>196</v>
      </c>
    </row>
    <row r="1871" spans="1:21" x14ac:dyDescent="0.25">
      <c r="A1871" t="s">
        <v>4116</v>
      </c>
      <c r="B1871" s="1">
        <v>42628</v>
      </c>
      <c r="C1871" s="1">
        <v>42633</v>
      </c>
      <c r="D1871" t="s">
        <v>40</v>
      </c>
      <c r="E1871" t="s">
        <v>676</v>
      </c>
      <c r="F1871" t="s">
        <v>677</v>
      </c>
      <c r="G1871" t="s">
        <v>91</v>
      </c>
      <c r="H1871" t="s">
        <v>26</v>
      </c>
      <c r="I1871" t="s">
        <v>4117</v>
      </c>
      <c r="J1871" t="s">
        <v>2281</v>
      </c>
      <c r="K1871" t="s">
        <v>55</v>
      </c>
      <c r="L1871" t="s">
        <v>307</v>
      </c>
      <c r="M1871" t="s">
        <v>31</v>
      </c>
      <c r="N1871" t="s">
        <v>46</v>
      </c>
      <c r="O1871" t="s">
        <v>308</v>
      </c>
      <c r="P1871">
        <v>1128.3900000000001</v>
      </c>
      <c r="Q1871">
        <v>3</v>
      </c>
      <c r="R1871">
        <v>0</v>
      </c>
      <c r="S1871">
        <v>259.52969999999999</v>
      </c>
      <c r="T1871" t="s">
        <v>59</v>
      </c>
      <c r="U1871" t="s">
        <v>78</v>
      </c>
    </row>
    <row r="1872" spans="1:21" x14ac:dyDescent="0.25">
      <c r="A1872" t="s">
        <v>4118</v>
      </c>
      <c r="B1872" s="1">
        <v>42901</v>
      </c>
      <c r="C1872" s="1">
        <v>42905</v>
      </c>
      <c r="D1872" t="s">
        <v>40</v>
      </c>
      <c r="E1872" t="s">
        <v>1610</v>
      </c>
      <c r="F1872" t="s">
        <v>1611</v>
      </c>
      <c r="G1872" t="s">
        <v>25</v>
      </c>
      <c r="H1872" t="s">
        <v>26</v>
      </c>
      <c r="I1872" t="s">
        <v>1036</v>
      </c>
      <c r="J1872" t="s">
        <v>1037</v>
      </c>
      <c r="K1872" t="s">
        <v>29</v>
      </c>
      <c r="L1872" t="s">
        <v>1307</v>
      </c>
      <c r="M1872" t="s">
        <v>31</v>
      </c>
      <c r="N1872" t="s">
        <v>37</v>
      </c>
      <c r="O1872" t="s">
        <v>1308</v>
      </c>
      <c r="P1872">
        <v>698.35199999999998</v>
      </c>
      <c r="Q1872">
        <v>3</v>
      </c>
      <c r="R1872">
        <v>0.2</v>
      </c>
      <c r="S1872">
        <v>52.376399999999997</v>
      </c>
      <c r="T1872" t="s">
        <v>84</v>
      </c>
      <c r="U1872" t="s">
        <v>60</v>
      </c>
    </row>
    <row r="1873" spans="1:21" x14ac:dyDescent="0.25">
      <c r="A1873" t="s">
        <v>4118</v>
      </c>
      <c r="B1873" s="1">
        <v>42901</v>
      </c>
      <c r="C1873" s="1">
        <v>42905</v>
      </c>
      <c r="D1873" t="s">
        <v>40</v>
      </c>
      <c r="E1873" t="s">
        <v>1610</v>
      </c>
      <c r="F1873" t="s">
        <v>1611</v>
      </c>
      <c r="G1873" t="s">
        <v>25</v>
      </c>
      <c r="H1873" t="s">
        <v>26</v>
      </c>
      <c r="I1873" t="s">
        <v>1036</v>
      </c>
      <c r="J1873" t="s">
        <v>1037</v>
      </c>
      <c r="K1873" t="s">
        <v>29</v>
      </c>
      <c r="L1873" t="s">
        <v>1604</v>
      </c>
      <c r="M1873" t="s">
        <v>31</v>
      </c>
      <c r="N1873" t="s">
        <v>32</v>
      </c>
      <c r="O1873" t="s">
        <v>1605</v>
      </c>
      <c r="P1873">
        <v>77.727999999999994</v>
      </c>
      <c r="Q1873">
        <v>2</v>
      </c>
      <c r="R1873">
        <v>0.2</v>
      </c>
      <c r="S1873">
        <v>-3.8864000000000001</v>
      </c>
      <c r="T1873" t="s">
        <v>84</v>
      </c>
      <c r="U1873" t="s">
        <v>60</v>
      </c>
    </row>
    <row r="1874" spans="1:21" x14ac:dyDescent="0.25">
      <c r="A1874" t="s">
        <v>4119</v>
      </c>
      <c r="B1874" s="1">
        <v>42684</v>
      </c>
      <c r="C1874" s="1">
        <v>42686</v>
      </c>
      <c r="D1874" t="s">
        <v>88</v>
      </c>
      <c r="E1874" t="s">
        <v>3000</v>
      </c>
      <c r="F1874" t="s">
        <v>3001</v>
      </c>
      <c r="G1874" t="s">
        <v>25</v>
      </c>
      <c r="H1874" t="s">
        <v>26</v>
      </c>
      <c r="I1874" t="s">
        <v>3017</v>
      </c>
      <c r="J1874" t="s">
        <v>1523</v>
      </c>
      <c r="K1874" t="s">
        <v>94</v>
      </c>
      <c r="L1874" t="s">
        <v>1457</v>
      </c>
      <c r="M1874" t="s">
        <v>31</v>
      </c>
      <c r="N1874" t="s">
        <v>32</v>
      </c>
      <c r="O1874" t="s">
        <v>1458</v>
      </c>
      <c r="P1874">
        <v>341.96</v>
      </c>
      <c r="Q1874">
        <v>2</v>
      </c>
      <c r="R1874">
        <v>0</v>
      </c>
      <c r="S1874">
        <v>54.7136</v>
      </c>
      <c r="T1874" t="s">
        <v>71</v>
      </c>
      <c r="U1874" t="s">
        <v>35</v>
      </c>
    </row>
    <row r="1875" spans="1:21" x14ac:dyDescent="0.25">
      <c r="A1875" t="s">
        <v>4120</v>
      </c>
      <c r="B1875" s="1">
        <v>42625</v>
      </c>
      <c r="C1875" s="1">
        <v>42629</v>
      </c>
      <c r="D1875" t="s">
        <v>40</v>
      </c>
      <c r="E1875" t="s">
        <v>1998</v>
      </c>
      <c r="F1875" t="s">
        <v>1999</v>
      </c>
      <c r="G1875" t="s">
        <v>91</v>
      </c>
      <c r="H1875" t="s">
        <v>26</v>
      </c>
      <c r="I1875" t="s">
        <v>4121</v>
      </c>
      <c r="J1875" t="s">
        <v>121</v>
      </c>
      <c r="K1875" t="s">
        <v>68</v>
      </c>
      <c r="L1875" t="s">
        <v>2966</v>
      </c>
      <c r="M1875" t="s">
        <v>31</v>
      </c>
      <c r="N1875" t="s">
        <v>57</v>
      </c>
      <c r="O1875" t="s">
        <v>2967</v>
      </c>
      <c r="P1875">
        <v>40.479999999999997</v>
      </c>
      <c r="Q1875">
        <v>2</v>
      </c>
      <c r="R1875">
        <v>0</v>
      </c>
      <c r="S1875">
        <v>14.572800000000001</v>
      </c>
      <c r="T1875" t="s">
        <v>84</v>
      </c>
      <c r="U1875" t="s">
        <v>78</v>
      </c>
    </row>
    <row r="1876" spans="1:21" x14ac:dyDescent="0.25">
      <c r="A1876" t="s">
        <v>4122</v>
      </c>
      <c r="B1876" s="1">
        <v>42211</v>
      </c>
      <c r="C1876" s="1">
        <v>42216</v>
      </c>
      <c r="D1876" t="s">
        <v>40</v>
      </c>
      <c r="E1876" t="s">
        <v>1246</v>
      </c>
      <c r="F1876" t="s">
        <v>1247</v>
      </c>
      <c r="G1876" t="s">
        <v>91</v>
      </c>
      <c r="H1876" t="s">
        <v>26</v>
      </c>
      <c r="I1876" t="s">
        <v>1303</v>
      </c>
      <c r="J1876" t="s">
        <v>521</v>
      </c>
      <c r="K1876" t="s">
        <v>55</v>
      </c>
      <c r="L1876" t="s">
        <v>822</v>
      </c>
      <c r="M1876" t="s">
        <v>31</v>
      </c>
      <c r="N1876" t="s">
        <v>37</v>
      </c>
      <c r="O1876" t="s">
        <v>823</v>
      </c>
      <c r="P1876">
        <v>266.35199999999998</v>
      </c>
      <c r="Q1876">
        <v>3</v>
      </c>
      <c r="R1876">
        <v>0.2</v>
      </c>
      <c r="S1876">
        <v>13.317600000000001</v>
      </c>
      <c r="T1876" t="s">
        <v>59</v>
      </c>
      <c r="U1876" t="s">
        <v>72</v>
      </c>
    </row>
    <row r="1877" spans="1:21" x14ac:dyDescent="0.25">
      <c r="A1877" t="s">
        <v>4123</v>
      </c>
      <c r="B1877" s="1">
        <v>42323</v>
      </c>
      <c r="C1877" s="1">
        <v>42327</v>
      </c>
      <c r="D1877" t="s">
        <v>40</v>
      </c>
      <c r="E1877" t="s">
        <v>2597</v>
      </c>
      <c r="F1877" t="s">
        <v>2598</v>
      </c>
      <c r="G1877" t="s">
        <v>101</v>
      </c>
      <c r="H1877" t="s">
        <v>26</v>
      </c>
      <c r="I1877" t="s">
        <v>1077</v>
      </c>
      <c r="J1877" t="s">
        <v>717</v>
      </c>
      <c r="K1877" t="s">
        <v>29</v>
      </c>
      <c r="L1877" t="s">
        <v>698</v>
      </c>
      <c r="M1877" t="s">
        <v>31</v>
      </c>
      <c r="N1877" t="s">
        <v>57</v>
      </c>
      <c r="O1877" t="s">
        <v>699</v>
      </c>
      <c r="P1877">
        <v>39.96</v>
      </c>
      <c r="Q1877">
        <v>2</v>
      </c>
      <c r="R1877">
        <v>0</v>
      </c>
      <c r="S1877">
        <v>14.3856</v>
      </c>
      <c r="T1877" t="s">
        <v>84</v>
      </c>
      <c r="U1877" t="s">
        <v>35</v>
      </c>
    </row>
    <row r="1878" spans="1:21" x14ac:dyDescent="0.25">
      <c r="A1878" t="s">
        <v>4124</v>
      </c>
      <c r="B1878" s="1">
        <v>42187</v>
      </c>
      <c r="C1878" s="1">
        <v>42189</v>
      </c>
      <c r="D1878" t="s">
        <v>88</v>
      </c>
      <c r="E1878" t="s">
        <v>1536</v>
      </c>
      <c r="F1878" t="s">
        <v>1537</v>
      </c>
      <c r="G1878" t="s">
        <v>91</v>
      </c>
      <c r="H1878" t="s">
        <v>26</v>
      </c>
      <c r="I1878" t="s">
        <v>2018</v>
      </c>
      <c r="J1878" t="s">
        <v>1037</v>
      </c>
      <c r="K1878" t="s">
        <v>29</v>
      </c>
      <c r="L1878" t="s">
        <v>1122</v>
      </c>
      <c r="M1878" t="s">
        <v>31</v>
      </c>
      <c r="N1878" t="s">
        <v>57</v>
      </c>
      <c r="O1878" t="s">
        <v>1123</v>
      </c>
      <c r="P1878">
        <v>159.84</v>
      </c>
      <c r="Q1878">
        <v>10</v>
      </c>
      <c r="R1878">
        <v>0.2</v>
      </c>
      <c r="S1878">
        <v>45.954000000000001</v>
      </c>
      <c r="T1878" t="s">
        <v>71</v>
      </c>
      <c r="U1878" t="s">
        <v>72</v>
      </c>
    </row>
    <row r="1879" spans="1:21" x14ac:dyDescent="0.25">
      <c r="A1879" t="s">
        <v>4125</v>
      </c>
      <c r="B1879" s="1">
        <v>42258</v>
      </c>
      <c r="C1879" s="1">
        <v>42265</v>
      </c>
      <c r="D1879" t="s">
        <v>40</v>
      </c>
      <c r="E1879" t="s">
        <v>1652</v>
      </c>
      <c r="F1879" t="s">
        <v>1653</v>
      </c>
      <c r="G1879" t="s">
        <v>101</v>
      </c>
      <c r="H1879" t="s">
        <v>26</v>
      </c>
      <c r="I1879" t="s">
        <v>3564</v>
      </c>
      <c r="J1879" t="s">
        <v>363</v>
      </c>
      <c r="K1879" t="s">
        <v>68</v>
      </c>
      <c r="L1879" t="s">
        <v>1913</v>
      </c>
      <c r="M1879" t="s">
        <v>31</v>
      </c>
      <c r="N1879" t="s">
        <v>57</v>
      </c>
      <c r="O1879" t="s">
        <v>1914</v>
      </c>
      <c r="P1879">
        <v>8.92</v>
      </c>
      <c r="Q1879">
        <v>4</v>
      </c>
      <c r="R1879">
        <v>0</v>
      </c>
      <c r="S1879">
        <v>3.9247999999999998</v>
      </c>
      <c r="T1879" t="s">
        <v>48</v>
      </c>
      <c r="U1879" t="s">
        <v>78</v>
      </c>
    </row>
    <row r="1880" spans="1:21" x14ac:dyDescent="0.25">
      <c r="A1880" t="s">
        <v>4126</v>
      </c>
      <c r="B1880" s="1">
        <v>41902</v>
      </c>
      <c r="C1880" s="1">
        <v>41905</v>
      </c>
      <c r="D1880" t="s">
        <v>88</v>
      </c>
      <c r="E1880" t="s">
        <v>4127</v>
      </c>
      <c r="F1880" t="s">
        <v>4128</v>
      </c>
      <c r="G1880" t="s">
        <v>25</v>
      </c>
      <c r="H1880" t="s">
        <v>26</v>
      </c>
      <c r="I1880" t="s">
        <v>134</v>
      </c>
      <c r="J1880" t="s">
        <v>135</v>
      </c>
      <c r="K1880" t="s">
        <v>94</v>
      </c>
      <c r="L1880" t="s">
        <v>2623</v>
      </c>
      <c r="M1880" t="s">
        <v>31</v>
      </c>
      <c r="N1880" t="s">
        <v>32</v>
      </c>
      <c r="O1880" t="s">
        <v>2624</v>
      </c>
      <c r="P1880">
        <v>493.43</v>
      </c>
      <c r="Q1880">
        <v>5</v>
      </c>
      <c r="R1880">
        <v>0.3</v>
      </c>
      <c r="S1880">
        <v>-70.489999999999995</v>
      </c>
      <c r="T1880" t="s">
        <v>34</v>
      </c>
      <c r="U1880" t="s">
        <v>78</v>
      </c>
    </row>
    <row r="1881" spans="1:21" x14ac:dyDescent="0.25">
      <c r="A1881" t="s">
        <v>4129</v>
      </c>
      <c r="B1881" s="1">
        <v>43070</v>
      </c>
      <c r="C1881" s="1">
        <v>43075</v>
      </c>
      <c r="D1881" t="s">
        <v>40</v>
      </c>
      <c r="E1881" t="s">
        <v>2025</v>
      </c>
      <c r="F1881" t="s">
        <v>2026</v>
      </c>
      <c r="G1881" t="s">
        <v>91</v>
      </c>
      <c r="H1881" t="s">
        <v>26</v>
      </c>
      <c r="I1881" t="s">
        <v>192</v>
      </c>
      <c r="J1881" t="s">
        <v>193</v>
      </c>
      <c r="K1881" t="s">
        <v>55</v>
      </c>
      <c r="L1881" t="s">
        <v>423</v>
      </c>
      <c r="M1881" t="s">
        <v>31</v>
      </c>
      <c r="N1881" t="s">
        <v>57</v>
      </c>
      <c r="O1881" t="s">
        <v>424</v>
      </c>
      <c r="P1881">
        <v>70.680000000000007</v>
      </c>
      <c r="Q1881">
        <v>12</v>
      </c>
      <c r="R1881">
        <v>0</v>
      </c>
      <c r="S1881">
        <v>31.0992</v>
      </c>
      <c r="T1881" t="s">
        <v>59</v>
      </c>
      <c r="U1881" t="s">
        <v>97</v>
      </c>
    </row>
    <row r="1882" spans="1:21" x14ac:dyDescent="0.25">
      <c r="A1882" t="s">
        <v>4130</v>
      </c>
      <c r="B1882" s="1">
        <v>43070</v>
      </c>
      <c r="C1882" s="1">
        <v>43076</v>
      </c>
      <c r="D1882" t="s">
        <v>40</v>
      </c>
      <c r="E1882" t="s">
        <v>1480</v>
      </c>
      <c r="F1882" t="s">
        <v>1481</v>
      </c>
      <c r="G1882" t="s">
        <v>101</v>
      </c>
      <c r="H1882" t="s">
        <v>26</v>
      </c>
      <c r="I1882" t="s">
        <v>4131</v>
      </c>
      <c r="J1882" t="s">
        <v>54</v>
      </c>
      <c r="K1882" t="s">
        <v>55</v>
      </c>
      <c r="L1882" t="s">
        <v>726</v>
      </c>
      <c r="M1882" t="s">
        <v>31</v>
      </c>
      <c r="N1882" t="s">
        <v>57</v>
      </c>
      <c r="O1882" t="s">
        <v>727</v>
      </c>
      <c r="P1882">
        <v>629.64</v>
      </c>
      <c r="Q1882">
        <v>9</v>
      </c>
      <c r="R1882">
        <v>0</v>
      </c>
      <c r="S1882">
        <v>107.03879999999999</v>
      </c>
      <c r="T1882" t="s">
        <v>130</v>
      </c>
      <c r="U1882" t="s">
        <v>97</v>
      </c>
    </row>
    <row r="1883" spans="1:21" x14ac:dyDescent="0.25">
      <c r="A1883" t="s">
        <v>4132</v>
      </c>
      <c r="B1883" s="1">
        <v>42629</v>
      </c>
      <c r="C1883" s="1">
        <v>42631</v>
      </c>
      <c r="D1883" t="s">
        <v>88</v>
      </c>
      <c r="E1883" t="s">
        <v>4133</v>
      </c>
      <c r="F1883" t="s">
        <v>4134</v>
      </c>
      <c r="G1883" t="s">
        <v>101</v>
      </c>
      <c r="H1883" t="s">
        <v>26</v>
      </c>
      <c r="I1883" t="s">
        <v>348</v>
      </c>
      <c r="J1883" t="s">
        <v>668</v>
      </c>
      <c r="K1883" t="s">
        <v>29</v>
      </c>
      <c r="L1883" t="s">
        <v>136</v>
      </c>
      <c r="M1883" t="s">
        <v>31</v>
      </c>
      <c r="N1883" t="s">
        <v>37</v>
      </c>
      <c r="O1883" t="s">
        <v>137</v>
      </c>
      <c r="P1883">
        <v>121.78</v>
      </c>
      <c r="Q1883">
        <v>2</v>
      </c>
      <c r="R1883">
        <v>0</v>
      </c>
      <c r="S1883">
        <v>30.445</v>
      </c>
      <c r="T1883" t="s">
        <v>71</v>
      </c>
      <c r="U1883" t="s">
        <v>78</v>
      </c>
    </row>
    <row r="1884" spans="1:21" x14ac:dyDescent="0.25">
      <c r="A1884" t="s">
        <v>4135</v>
      </c>
      <c r="B1884" s="1">
        <v>42339</v>
      </c>
      <c r="C1884" s="1">
        <v>42344</v>
      </c>
      <c r="D1884" t="s">
        <v>40</v>
      </c>
      <c r="E1884" t="s">
        <v>3931</v>
      </c>
      <c r="F1884" t="s">
        <v>3932</v>
      </c>
      <c r="G1884" t="s">
        <v>101</v>
      </c>
      <c r="H1884" t="s">
        <v>26</v>
      </c>
      <c r="I1884" t="s">
        <v>640</v>
      </c>
      <c r="J1884" t="s">
        <v>54</v>
      </c>
      <c r="K1884" t="s">
        <v>55</v>
      </c>
      <c r="L1884" t="s">
        <v>1096</v>
      </c>
      <c r="M1884" t="s">
        <v>31</v>
      </c>
      <c r="N1884" t="s">
        <v>37</v>
      </c>
      <c r="O1884" t="s">
        <v>1097</v>
      </c>
      <c r="P1884">
        <v>2676.672</v>
      </c>
      <c r="Q1884">
        <v>9</v>
      </c>
      <c r="R1884">
        <v>0.2</v>
      </c>
      <c r="S1884">
        <v>267.66719999999998</v>
      </c>
      <c r="T1884" t="s">
        <v>59</v>
      </c>
      <c r="U1884" t="s">
        <v>97</v>
      </c>
    </row>
    <row r="1885" spans="1:21" x14ac:dyDescent="0.25">
      <c r="A1885" t="s">
        <v>4136</v>
      </c>
      <c r="B1885" s="1">
        <v>41856</v>
      </c>
      <c r="C1885" s="1">
        <v>41863</v>
      </c>
      <c r="D1885" t="s">
        <v>40</v>
      </c>
      <c r="E1885" t="s">
        <v>2791</v>
      </c>
      <c r="F1885" t="s">
        <v>2792</v>
      </c>
      <c r="G1885" t="s">
        <v>25</v>
      </c>
      <c r="H1885" t="s">
        <v>26</v>
      </c>
      <c r="I1885" t="s">
        <v>3533</v>
      </c>
      <c r="J1885" t="s">
        <v>93</v>
      </c>
      <c r="K1885" t="s">
        <v>94</v>
      </c>
      <c r="L1885" t="s">
        <v>1462</v>
      </c>
      <c r="M1885" t="s">
        <v>31</v>
      </c>
      <c r="N1885" t="s">
        <v>46</v>
      </c>
      <c r="O1885" t="s">
        <v>1463</v>
      </c>
      <c r="P1885">
        <v>489.23</v>
      </c>
      <c r="Q1885">
        <v>2</v>
      </c>
      <c r="R1885">
        <v>0.3</v>
      </c>
      <c r="S1885">
        <v>41.933999999999997</v>
      </c>
      <c r="T1885" t="s">
        <v>48</v>
      </c>
      <c r="U1885" t="s">
        <v>254</v>
      </c>
    </row>
    <row r="1886" spans="1:21" x14ac:dyDescent="0.25">
      <c r="A1886" t="s">
        <v>4137</v>
      </c>
      <c r="B1886" s="1">
        <v>42597</v>
      </c>
      <c r="C1886" s="1">
        <v>42604</v>
      </c>
      <c r="D1886" t="s">
        <v>40</v>
      </c>
      <c r="E1886" t="s">
        <v>600</v>
      </c>
      <c r="F1886" t="s">
        <v>601</v>
      </c>
      <c r="G1886" t="s">
        <v>25</v>
      </c>
      <c r="H1886" t="s">
        <v>26</v>
      </c>
      <c r="I1886" t="s">
        <v>53</v>
      </c>
      <c r="J1886" t="s">
        <v>54</v>
      </c>
      <c r="K1886" t="s">
        <v>55</v>
      </c>
      <c r="L1886" t="s">
        <v>718</v>
      </c>
      <c r="M1886" t="s">
        <v>31</v>
      </c>
      <c r="N1886" t="s">
        <v>57</v>
      </c>
      <c r="O1886" t="s">
        <v>719</v>
      </c>
      <c r="P1886">
        <v>312.02999999999997</v>
      </c>
      <c r="Q1886">
        <v>3</v>
      </c>
      <c r="R1886">
        <v>0</v>
      </c>
      <c r="S1886">
        <v>43.684199999999997</v>
      </c>
      <c r="T1886" t="s">
        <v>48</v>
      </c>
      <c r="U1886" t="s">
        <v>254</v>
      </c>
    </row>
    <row r="1887" spans="1:21" x14ac:dyDescent="0.25">
      <c r="A1887" t="s">
        <v>4138</v>
      </c>
      <c r="B1887" s="1">
        <v>42521</v>
      </c>
      <c r="C1887" s="1">
        <v>42525</v>
      </c>
      <c r="D1887" t="s">
        <v>40</v>
      </c>
      <c r="E1887" t="s">
        <v>1208</v>
      </c>
      <c r="F1887" t="s">
        <v>1209</v>
      </c>
      <c r="G1887" t="s">
        <v>25</v>
      </c>
      <c r="H1887" t="s">
        <v>26</v>
      </c>
      <c r="I1887" t="s">
        <v>514</v>
      </c>
      <c r="J1887" t="s">
        <v>135</v>
      </c>
      <c r="K1887" t="s">
        <v>94</v>
      </c>
      <c r="L1887" t="s">
        <v>3920</v>
      </c>
      <c r="M1887" t="s">
        <v>31</v>
      </c>
      <c r="N1887" t="s">
        <v>57</v>
      </c>
      <c r="O1887" t="s">
        <v>3921</v>
      </c>
      <c r="P1887">
        <v>32.064</v>
      </c>
      <c r="Q1887">
        <v>3</v>
      </c>
      <c r="R1887">
        <v>0.6</v>
      </c>
      <c r="S1887">
        <v>-12.8256</v>
      </c>
      <c r="T1887" t="s">
        <v>84</v>
      </c>
      <c r="U1887" t="s">
        <v>162</v>
      </c>
    </row>
    <row r="1888" spans="1:21" x14ac:dyDescent="0.25">
      <c r="A1888" t="s">
        <v>4138</v>
      </c>
      <c r="B1888" s="1">
        <v>42521</v>
      </c>
      <c r="C1888" s="1">
        <v>42525</v>
      </c>
      <c r="D1888" t="s">
        <v>40</v>
      </c>
      <c r="E1888" t="s">
        <v>1208</v>
      </c>
      <c r="F1888" t="s">
        <v>1209</v>
      </c>
      <c r="G1888" t="s">
        <v>25</v>
      </c>
      <c r="H1888" t="s">
        <v>26</v>
      </c>
      <c r="I1888" t="s">
        <v>514</v>
      </c>
      <c r="J1888" t="s">
        <v>135</v>
      </c>
      <c r="K1888" t="s">
        <v>94</v>
      </c>
      <c r="L1888" t="s">
        <v>2181</v>
      </c>
      <c r="M1888" t="s">
        <v>31</v>
      </c>
      <c r="N1888" t="s">
        <v>37</v>
      </c>
      <c r="O1888" t="s">
        <v>2182</v>
      </c>
      <c r="P1888">
        <v>191.07900000000001</v>
      </c>
      <c r="Q1888">
        <v>3</v>
      </c>
      <c r="R1888">
        <v>0.3</v>
      </c>
      <c r="S1888">
        <v>-38.215800000000002</v>
      </c>
      <c r="T1888" t="s">
        <v>84</v>
      </c>
      <c r="U1888" t="s">
        <v>162</v>
      </c>
    </row>
    <row r="1889" spans="1:21" x14ac:dyDescent="0.25">
      <c r="A1889" t="s">
        <v>4139</v>
      </c>
      <c r="B1889" s="1">
        <v>41731</v>
      </c>
      <c r="C1889" s="1">
        <v>41737</v>
      </c>
      <c r="D1889" t="s">
        <v>40</v>
      </c>
      <c r="E1889" t="s">
        <v>2577</v>
      </c>
      <c r="F1889" t="s">
        <v>2578</v>
      </c>
      <c r="G1889" t="s">
        <v>91</v>
      </c>
      <c r="H1889" t="s">
        <v>26</v>
      </c>
      <c r="I1889" t="s">
        <v>3540</v>
      </c>
      <c r="J1889" t="s">
        <v>717</v>
      </c>
      <c r="K1889" t="s">
        <v>29</v>
      </c>
      <c r="L1889" t="s">
        <v>3158</v>
      </c>
      <c r="M1889" t="s">
        <v>31</v>
      </c>
      <c r="N1889" t="s">
        <v>57</v>
      </c>
      <c r="O1889" t="s">
        <v>3159</v>
      </c>
      <c r="P1889">
        <v>177.68</v>
      </c>
      <c r="Q1889">
        <v>2</v>
      </c>
      <c r="R1889">
        <v>0</v>
      </c>
      <c r="S1889">
        <v>46.196800000000003</v>
      </c>
      <c r="T1889" t="s">
        <v>130</v>
      </c>
      <c r="U1889" t="s">
        <v>114</v>
      </c>
    </row>
    <row r="1890" spans="1:21" x14ac:dyDescent="0.25">
      <c r="A1890" t="s">
        <v>4140</v>
      </c>
      <c r="B1890" s="1">
        <v>42647</v>
      </c>
      <c r="C1890" s="1">
        <v>42651</v>
      </c>
      <c r="D1890" t="s">
        <v>40</v>
      </c>
      <c r="E1890" t="s">
        <v>2577</v>
      </c>
      <c r="F1890" t="s">
        <v>2578</v>
      </c>
      <c r="G1890" t="s">
        <v>91</v>
      </c>
      <c r="H1890" t="s">
        <v>26</v>
      </c>
      <c r="I1890" t="s">
        <v>4141</v>
      </c>
      <c r="J1890" t="s">
        <v>44</v>
      </c>
      <c r="K1890" t="s">
        <v>29</v>
      </c>
      <c r="L1890" t="s">
        <v>960</v>
      </c>
      <c r="M1890" t="s">
        <v>31</v>
      </c>
      <c r="N1890" t="s">
        <v>57</v>
      </c>
      <c r="O1890" t="s">
        <v>961</v>
      </c>
      <c r="P1890">
        <v>11.568</v>
      </c>
      <c r="Q1890">
        <v>3</v>
      </c>
      <c r="R1890">
        <v>0.2</v>
      </c>
      <c r="S1890">
        <v>2.6027999999999998</v>
      </c>
      <c r="T1890" t="s">
        <v>84</v>
      </c>
      <c r="U1890" t="s">
        <v>49</v>
      </c>
    </row>
    <row r="1891" spans="1:21" x14ac:dyDescent="0.25">
      <c r="A1891" t="s">
        <v>4142</v>
      </c>
      <c r="B1891" s="1">
        <v>42399</v>
      </c>
      <c r="C1891" s="1">
        <v>42403</v>
      </c>
      <c r="D1891" t="s">
        <v>40</v>
      </c>
      <c r="E1891" t="s">
        <v>4143</v>
      </c>
      <c r="F1891" t="s">
        <v>4144</v>
      </c>
      <c r="G1891" t="s">
        <v>25</v>
      </c>
      <c r="H1891" t="s">
        <v>26</v>
      </c>
      <c r="I1891" t="s">
        <v>1003</v>
      </c>
      <c r="J1891" t="s">
        <v>135</v>
      </c>
      <c r="K1891" t="s">
        <v>94</v>
      </c>
      <c r="L1891" t="s">
        <v>613</v>
      </c>
      <c r="M1891" t="s">
        <v>31</v>
      </c>
      <c r="N1891" t="s">
        <v>46</v>
      </c>
      <c r="O1891" t="s">
        <v>614</v>
      </c>
      <c r="P1891">
        <v>626.1</v>
      </c>
      <c r="Q1891">
        <v>3</v>
      </c>
      <c r="R1891">
        <v>0.5</v>
      </c>
      <c r="S1891">
        <v>-538.44600000000003</v>
      </c>
      <c r="T1891" t="s">
        <v>84</v>
      </c>
      <c r="U1891" t="s">
        <v>170</v>
      </c>
    </row>
    <row r="1892" spans="1:21" x14ac:dyDescent="0.25">
      <c r="A1892" t="s">
        <v>4145</v>
      </c>
      <c r="B1892" s="1">
        <v>42107</v>
      </c>
      <c r="C1892" s="1">
        <v>42111</v>
      </c>
      <c r="D1892" t="s">
        <v>40</v>
      </c>
      <c r="E1892" t="s">
        <v>3053</v>
      </c>
      <c r="F1892" t="s">
        <v>3054</v>
      </c>
      <c r="G1892" t="s">
        <v>25</v>
      </c>
      <c r="H1892" t="s">
        <v>26</v>
      </c>
      <c r="I1892" t="s">
        <v>1869</v>
      </c>
      <c r="J1892" t="s">
        <v>93</v>
      </c>
      <c r="K1892" t="s">
        <v>94</v>
      </c>
      <c r="L1892" t="s">
        <v>700</v>
      </c>
      <c r="M1892" t="s">
        <v>31</v>
      </c>
      <c r="N1892" t="s">
        <v>46</v>
      </c>
      <c r="O1892" t="s">
        <v>701</v>
      </c>
      <c r="P1892">
        <v>609.98</v>
      </c>
      <c r="Q1892">
        <v>4</v>
      </c>
      <c r="R1892">
        <v>0.3</v>
      </c>
      <c r="S1892">
        <v>-113.282</v>
      </c>
      <c r="T1892" t="s">
        <v>84</v>
      </c>
      <c r="U1892" t="s">
        <v>114</v>
      </c>
    </row>
    <row r="1893" spans="1:21" x14ac:dyDescent="0.25">
      <c r="A1893" t="s">
        <v>4145</v>
      </c>
      <c r="B1893" s="1">
        <v>42107</v>
      </c>
      <c r="C1893" s="1">
        <v>42111</v>
      </c>
      <c r="D1893" t="s">
        <v>40</v>
      </c>
      <c r="E1893" t="s">
        <v>3053</v>
      </c>
      <c r="F1893" t="s">
        <v>3054</v>
      </c>
      <c r="G1893" t="s">
        <v>25</v>
      </c>
      <c r="H1893" t="s">
        <v>26</v>
      </c>
      <c r="I1893" t="s">
        <v>1869</v>
      </c>
      <c r="J1893" t="s">
        <v>93</v>
      </c>
      <c r="K1893" t="s">
        <v>94</v>
      </c>
      <c r="L1893" t="s">
        <v>1285</v>
      </c>
      <c r="M1893" t="s">
        <v>31</v>
      </c>
      <c r="N1893" t="s">
        <v>46</v>
      </c>
      <c r="O1893" t="s">
        <v>1286</v>
      </c>
      <c r="P1893">
        <v>211.37200000000001</v>
      </c>
      <c r="Q1893">
        <v>2</v>
      </c>
      <c r="R1893">
        <v>0.3</v>
      </c>
      <c r="S1893">
        <v>-45.293999999999997</v>
      </c>
      <c r="T1893" t="s">
        <v>84</v>
      </c>
      <c r="U1893" t="s">
        <v>114</v>
      </c>
    </row>
    <row r="1894" spans="1:21" x14ac:dyDescent="0.25">
      <c r="A1894" t="s">
        <v>4146</v>
      </c>
      <c r="B1894" s="1">
        <v>43087</v>
      </c>
      <c r="C1894" s="1">
        <v>43093</v>
      </c>
      <c r="D1894" t="s">
        <v>40</v>
      </c>
      <c r="E1894" t="s">
        <v>4029</v>
      </c>
      <c r="F1894" t="s">
        <v>4030</v>
      </c>
      <c r="G1894" t="s">
        <v>91</v>
      </c>
      <c r="H1894" t="s">
        <v>26</v>
      </c>
      <c r="I1894" t="s">
        <v>906</v>
      </c>
      <c r="J1894" t="s">
        <v>239</v>
      </c>
      <c r="K1894" t="s">
        <v>94</v>
      </c>
      <c r="L1894" t="s">
        <v>3583</v>
      </c>
      <c r="M1894" t="s">
        <v>31</v>
      </c>
      <c r="N1894" t="s">
        <v>57</v>
      </c>
      <c r="O1894" t="s">
        <v>3584</v>
      </c>
      <c r="P1894">
        <v>99.95</v>
      </c>
      <c r="Q1894">
        <v>5</v>
      </c>
      <c r="R1894">
        <v>0</v>
      </c>
      <c r="S1894">
        <v>22.988499999999998</v>
      </c>
      <c r="T1894" t="s">
        <v>130</v>
      </c>
      <c r="U1894" t="s">
        <v>97</v>
      </c>
    </row>
    <row r="1895" spans="1:21" x14ac:dyDescent="0.25">
      <c r="A1895" t="s">
        <v>4147</v>
      </c>
      <c r="B1895" s="1">
        <v>42443</v>
      </c>
      <c r="C1895" s="1">
        <v>42448</v>
      </c>
      <c r="D1895" t="s">
        <v>40</v>
      </c>
      <c r="E1895" t="s">
        <v>3498</v>
      </c>
      <c r="F1895" t="s">
        <v>3499</v>
      </c>
      <c r="G1895" t="s">
        <v>91</v>
      </c>
      <c r="H1895" t="s">
        <v>26</v>
      </c>
      <c r="I1895" t="s">
        <v>4148</v>
      </c>
      <c r="J1895" t="s">
        <v>239</v>
      </c>
      <c r="K1895" t="s">
        <v>94</v>
      </c>
      <c r="L1895" t="s">
        <v>1148</v>
      </c>
      <c r="M1895" t="s">
        <v>31</v>
      </c>
      <c r="N1895" t="s">
        <v>57</v>
      </c>
      <c r="O1895" t="s">
        <v>1149</v>
      </c>
      <c r="P1895">
        <v>16.739999999999998</v>
      </c>
      <c r="Q1895">
        <v>2</v>
      </c>
      <c r="R1895">
        <v>0</v>
      </c>
      <c r="S1895">
        <v>4.3524000000000003</v>
      </c>
      <c r="T1895" t="s">
        <v>59</v>
      </c>
      <c r="U1895" t="s">
        <v>196</v>
      </c>
    </row>
    <row r="1896" spans="1:21" x14ac:dyDescent="0.25">
      <c r="A1896" t="s">
        <v>4149</v>
      </c>
      <c r="B1896" s="1">
        <v>43018</v>
      </c>
      <c r="C1896" s="1">
        <v>43024</v>
      </c>
      <c r="D1896" t="s">
        <v>40</v>
      </c>
      <c r="E1896" t="s">
        <v>3349</v>
      </c>
      <c r="F1896" t="s">
        <v>3350</v>
      </c>
      <c r="G1896" t="s">
        <v>25</v>
      </c>
      <c r="H1896" t="s">
        <v>26</v>
      </c>
      <c r="I1896" t="s">
        <v>180</v>
      </c>
      <c r="J1896" t="s">
        <v>135</v>
      </c>
      <c r="K1896" t="s">
        <v>94</v>
      </c>
      <c r="L1896" t="s">
        <v>3217</v>
      </c>
      <c r="M1896" t="s">
        <v>31</v>
      </c>
      <c r="N1896" t="s">
        <v>37</v>
      </c>
      <c r="O1896" t="s">
        <v>3218</v>
      </c>
      <c r="P1896">
        <v>239.358</v>
      </c>
      <c r="Q1896">
        <v>3</v>
      </c>
      <c r="R1896">
        <v>0.3</v>
      </c>
      <c r="S1896">
        <v>-47.871600000000001</v>
      </c>
      <c r="T1896" t="s">
        <v>130</v>
      </c>
      <c r="U1896" t="s">
        <v>49</v>
      </c>
    </row>
    <row r="1897" spans="1:21" x14ac:dyDescent="0.25">
      <c r="A1897" t="s">
        <v>4150</v>
      </c>
      <c r="B1897" s="1">
        <v>43091</v>
      </c>
      <c r="C1897" s="1">
        <v>43097</v>
      </c>
      <c r="D1897" t="s">
        <v>40</v>
      </c>
      <c r="E1897" t="s">
        <v>4151</v>
      </c>
      <c r="F1897" t="s">
        <v>4152</v>
      </c>
      <c r="G1897" t="s">
        <v>25</v>
      </c>
      <c r="H1897" t="s">
        <v>26</v>
      </c>
      <c r="I1897" t="s">
        <v>478</v>
      </c>
      <c r="J1897" t="s">
        <v>142</v>
      </c>
      <c r="K1897" t="s">
        <v>29</v>
      </c>
      <c r="L1897" t="s">
        <v>343</v>
      </c>
      <c r="M1897" t="s">
        <v>31</v>
      </c>
      <c r="N1897" t="s">
        <v>46</v>
      </c>
      <c r="O1897" t="s">
        <v>344</v>
      </c>
      <c r="P1897">
        <v>934.95600000000002</v>
      </c>
      <c r="Q1897">
        <v>6</v>
      </c>
      <c r="R1897">
        <v>0.4</v>
      </c>
      <c r="S1897">
        <v>-249.32159999999999</v>
      </c>
      <c r="T1897" t="s">
        <v>130</v>
      </c>
      <c r="U1897" t="s">
        <v>97</v>
      </c>
    </row>
    <row r="1898" spans="1:21" x14ac:dyDescent="0.25">
      <c r="A1898" t="s">
        <v>4153</v>
      </c>
      <c r="B1898" s="1">
        <v>41859</v>
      </c>
      <c r="C1898" s="1">
        <v>41861</v>
      </c>
      <c r="D1898" t="s">
        <v>22</v>
      </c>
      <c r="E1898" t="s">
        <v>966</v>
      </c>
      <c r="F1898" t="s">
        <v>967</v>
      </c>
      <c r="G1898" t="s">
        <v>25</v>
      </c>
      <c r="H1898" t="s">
        <v>26</v>
      </c>
      <c r="I1898" t="s">
        <v>607</v>
      </c>
      <c r="J1898" t="s">
        <v>44</v>
      </c>
      <c r="K1898" t="s">
        <v>29</v>
      </c>
      <c r="L1898" t="s">
        <v>1604</v>
      </c>
      <c r="M1898" t="s">
        <v>31</v>
      </c>
      <c r="N1898" t="s">
        <v>32</v>
      </c>
      <c r="O1898" t="s">
        <v>1605</v>
      </c>
      <c r="P1898">
        <v>155.45599999999999</v>
      </c>
      <c r="Q1898">
        <v>4</v>
      </c>
      <c r="R1898">
        <v>0.2</v>
      </c>
      <c r="S1898">
        <v>-7.7728000000000002</v>
      </c>
      <c r="T1898" t="s">
        <v>71</v>
      </c>
      <c r="U1898" t="s">
        <v>254</v>
      </c>
    </row>
    <row r="1899" spans="1:21" x14ac:dyDescent="0.25">
      <c r="A1899" t="s">
        <v>4154</v>
      </c>
      <c r="B1899" s="1">
        <v>43094</v>
      </c>
      <c r="C1899" s="1">
        <v>43097</v>
      </c>
      <c r="D1899" t="s">
        <v>88</v>
      </c>
      <c r="E1899" t="s">
        <v>4155</v>
      </c>
      <c r="F1899" t="s">
        <v>4156</v>
      </c>
      <c r="G1899" t="s">
        <v>25</v>
      </c>
      <c r="H1899" t="s">
        <v>26</v>
      </c>
      <c r="I1899" t="s">
        <v>2051</v>
      </c>
      <c r="J1899" t="s">
        <v>44</v>
      </c>
      <c r="K1899" t="s">
        <v>29</v>
      </c>
      <c r="L1899" t="s">
        <v>2190</v>
      </c>
      <c r="M1899" t="s">
        <v>31</v>
      </c>
      <c r="N1899" t="s">
        <v>57</v>
      </c>
      <c r="O1899" t="s">
        <v>2191</v>
      </c>
      <c r="P1899">
        <v>21</v>
      </c>
      <c r="Q1899">
        <v>3</v>
      </c>
      <c r="R1899">
        <v>0.2</v>
      </c>
      <c r="S1899">
        <v>5.7750000000000004</v>
      </c>
      <c r="T1899" t="s">
        <v>34</v>
      </c>
      <c r="U1899" t="s">
        <v>97</v>
      </c>
    </row>
    <row r="1900" spans="1:21" x14ac:dyDescent="0.25">
      <c r="A1900" t="s">
        <v>4157</v>
      </c>
      <c r="B1900" s="1">
        <v>43064</v>
      </c>
      <c r="C1900" s="1">
        <v>43069</v>
      </c>
      <c r="D1900" t="s">
        <v>40</v>
      </c>
      <c r="E1900" t="s">
        <v>546</v>
      </c>
      <c r="F1900" t="s">
        <v>547</v>
      </c>
      <c r="G1900" t="s">
        <v>25</v>
      </c>
      <c r="H1900" t="s">
        <v>26</v>
      </c>
      <c r="I1900" t="s">
        <v>102</v>
      </c>
      <c r="J1900" t="s">
        <v>93</v>
      </c>
      <c r="K1900" t="s">
        <v>94</v>
      </c>
      <c r="L1900" t="s">
        <v>1083</v>
      </c>
      <c r="M1900" t="s">
        <v>31</v>
      </c>
      <c r="N1900" t="s">
        <v>37</v>
      </c>
      <c r="O1900" t="s">
        <v>1084</v>
      </c>
      <c r="P1900">
        <v>853.93</v>
      </c>
      <c r="Q1900">
        <v>5</v>
      </c>
      <c r="R1900">
        <v>0.3</v>
      </c>
      <c r="S1900">
        <v>-24.398</v>
      </c>
      <c r="T1900" t="s">
        <v>59</v>
      </c>
      <c r="U1900" t="s">
        <v>35</v>
      </c>
    </row>
    <row r="1901" spans="1:21" x14ac:dyDescent="0.25">
      <c r="A1901" t="s">
        <v>4158</v>
      </c>
      <c r="B1901" s="1">
        <v>42679</v>
      </c>
      <c r="C1901" s="1">
        <v>42681</v>
      </c>
      <c r="D1901" t="s">
        <v>88</v>
      </c>
      <c r="E1901" t="s">
        <v>3446</v>
      </c>
      <c r="F1901" t="s">
        <v>3447</v>
      </c>
      <c r="G1901" t="s">
        <v>25</v>
      </c>
      <c r="H1901" t="s">
        <v>26</v>
      </c>
      <c r="I1901" t="s">
        <v>3540</v>
      </c>
      <c r="J1901" t="s">
        <v>717</v>
      </c>
      <c r="K1901" t="s">
        <v>29</v>
      </c>
      <c r="L1901" t="s">
        <v>1958</v>
      </c>
      <c r="M1901" t="s">
        <v>31</v>
      </c>
      <c r="N1901" t="s">
        <v>57</v>
      </c>
      <c r="O1901" t="s">
        <v>1959</v>
      </c>
      <c r="P1901">
        <v>273.95999999999998</v>
      </c>
      <c r="Q1901">
        <v>2</v>
      </c>
      <c r="R1901">
        <v>0</v>
      </c>
      <c r="S1901">
        <v>71.229600000000005</v>
      </c>
      <c r="T1901" t="s">
        <v>71</v>
      </c>
      <c r="U1901" t="s">
        <v>35</v>
      </c>
    </row>
    <row r="1902" spans="1:21" x14ac:dyDescent="0.25">
      <c r="A1902" t="s">
        <v>4158</v>
      </c>
      <c r="B1902" s="1">
        <v>42679</v>
      </c>
      <c r="C1902" s="1">
        <v>42681</v>
      </c>
      <c r="D1902" t="s">
        <v>88</v>
      </c>
      <c r="E1902" t="s">
        <v>3446</v>
      </c>
      <c r="F1902" t="s">
        <v>3447</v>
      </c>
      <c r="G1902" t="s">
        <v>25</v>
      </c>
      <c r="H1902" t="s">
        <v>26</v>
      </c>
      <c r="I1902" t="s">
        <v>3540</v>
      </c>
      <c r="J1902" t="s">
        <v>717</v>
      </c>
      <c r="K1902" t="s">
        <v>29</v>
      </c>
      <c r="L1902" t="s">
        <v>3677</v>
      </c>
      <c r="M1902" t="s">
        <v>31</v>
      </c>
      <c r="N1902" t="s">
        <v>57</v>
      </c>
      <c r="O1902" t="s">
        <v>3678</v>
      </c>
      <c r="P1902">
        <v>756.8</v>
      </c>
      <c r="Q1902">
        <v>5</v>
      </c>
      <c r="R1902">
        <v>0</v>
      </c>
      <c r="S1902">
        <v>75.680000000000007</v>
      </c>
      <c r="T1902" t="s">
        <v>71</v>
      </c>
      <c r="U1902" t="s">
        <v>35</v>
      </c>
    </row>
    <row r="1903" spans="1:21" x14ac:dyDescent="0.25">
      <c r="A1903" t="s">
        <v>4159</v>
      </c>
      <c r="B1903" s="1">
        <v>42677</v>
      </c>
      <c r="C1903" s="1">
        <v>42681</v>
      </c>
      <c r="D1903" t="s">
        <v>40</v>
      </c>
      <c r="E1903" t="s">
        <v>2082</v>
      </c>
      <c r="F1903" t="s">
        <v>2083</v>
      </c>
      <c r="G1903" t="s">
        <v>101</v>
      </c>
      <c r="H1903" t="s">
        <v>26</v>
      </c>
      <c r="I1903" t="s">
        <v>66</v>
      </c>
      <c r="J1903" t="s">
        <v>67</v>
      </c>
      <c r="K1903" t="s">
        <v>68</v>
      </c>
      <c r="L1903" t="s">
        <v>467</v>
      </c>
      <c r="M1903" t="s">
        <v>31</v>
      </c>
      <c r="N1903" t="s">
        <v>37</v>
      </c>
      <c r="O1903" t="s">
        <v>468</v>
      </c>
      <c r="P1903">
        <v>470.15499999999997</v>
      </c>
      <c r="Q1903">
        <v>7</v>
      </c>
      <c r="R1903">
        <v>0.3</v>
      </c>
      <c r="S1903">
        <v>-13.433</v>
      </c>
      <c r="T1903" t="s">
        <v>84</v>
      </c>
      <c r="U1903" t="s">
        <v>35</v>
      </c>
    </row>
    <row r="1904" spans="1:21" x14ac:dyDescent="0.25">
      <c r="A1904" t="s">
        <v>4160</v>
      </c>
      <c r="B1904" s="1">
        <v>42818</v>
      </c>
      <c r="C1904" s="1">
        <v>42822</v>
      </c>
      <c r="D1904" t="s">
        <v>40</v>
      </c>
      <c r="E1904" t="s">
        <v>1792</v>
      </c>
      <c r="F1904" t="s">
        <v>1793</v>
      </c>
      <c r="G1904" t="s">
        <v>25</v>
      </c>
      <c r="H1904" t="s">
        <v>26</v>
      </c>
      <c r="I1904" t="s">
        <v>174</v>
      </c>
      <c r="J1904" t="s">
        <v>121</v>
      </c>
      <c r="K1904" t="s">
        <v>68</v>
      </c>
      <c r="L1904" t="s">
        <v>856</v>
      </c>
      <c r="M1904" t="s">
        <v>31</v>
      </c>
      <c r="N1904" t="s">
        <v>37</v>
      </c>
      <c r="O1904" t="s">
        <v>857</v>
      </c>
      <c r="P1904">
        <v>271.76400000000001</v>
      </c>
      <c r="Q1904">
        <v>2</v>
      </c>
      <c r="R1904">
        <v>0.1</v>
      </c>
      <c r="S1904">
        <v>60.392000000000003</v>
      </c>
      <c r="T1904" t="s">
        <v>84</v>
      </c>
      <c r="U1904" t="s">
        <v>196</v>
      </c>
    </row>
    <row r="1905" spans="1:21" x14ac:dyDescent="0.25">
      <c r="A1905" t="s">
        <v>4161</v>
      </c>
      <c r="B1905" s="1">
        <v>42850</v>
      </c>
      <c r="C1905" s="1">
        <v>42852</v>
      </c>
      <c r="D1905" t="s">
        <v>22</v>
      </c>
      <c r="E1905" t="s">
        <v>2868</v>
      </c>
      <c r="F1905" t="s">
        <v>2869</v>
      </c>
      <c r="G1905" t="s">
        <v>25</v>
      </c>
      <c r="H1905" t="s">
        <v>26</v>
      </c>
      <c r="I1905" t="s">
        <v>53</v>
      </c>
      <c r="J1905" t="s">
        <v>54</v>
      </c>
      <c r="K1905" t="s">
        <v>55</v>
      </c>
      <c r="L1905" t="s">
        <v>349</v>
      </c>
      <c r="M1905" t="s">
        <v>31</v>
      </c>
      <c r="N1905" t="s">
        <v>32</v>
      </c>
      <c r="O1905" t="s">
        <v>350</v>
      </c>
      <c r="P1905">
        <v>344.98099999999999</v>
      </c>
      <c r="Q1905">
        <v>7</v>
      </c>
      <c r="R1905">
        <v>0.15</v>
      </c>
      <c r="S1905">
        <v>28.4102</v>
      </c>
      <c r="T1905" t="s">
        <v>71</v>
      </c>
      <c r="U1905" t="s">
        <v>114</v>
      </c>
    </row>
    <row r="1906" spans="1:21" x14ac:dyDescent="0.25">
      <c r="A1906" t="s">
        <v>4162</v>
      </c>
      <c r="B1906" s="1">
        <v>43062</v>
      </c>
      <c r="C1906" s="1">
        <v>43065</v>
      </c>
      <c r="D1906" t="s">
        <v>88</v>
      </c>
      <c r="E1906" t="s">
        <v>2325</v>
      </c>
      <c r="F1906" t="s">
        <v>2326</v>
      </c>
      <c r="G1906" t="s">
        <v>91</v>
      </c>
      <c r="H1906" t="s">
        <v>26</v>
      </c>
      <c r="I1906" t="s">
        <v>1740</v>
      </c>
      <c r="J1906" t="s">
        <v>93</v>
      </c>
      <c r="K1906" t="s">
        <v>94</v>
      </c>
      <c r="L1906" t="s">
        <v>1235</v>
      </c>
      <c r="M1906" t="s">
        <v>31</v>
      </c>
      <c r="N1906" t="s">
        <v>46</v>
      </c>
      <c r="O1906" t="s">
        <v>1236</v>
      </c>
      <c r="P1906">
        <v>127.785</v>
      </c>
      <c r="Q1906">
        <v>1</v>
      </c>
      <c r="R1906">
        <v>0.3</v>
      </c>
      <c r="S1906">
        <v>-31.0335</v>
      </c>
      <c r="T1906" t="s">
        <v>34</v>
      </c>
      <c r="U1906" t="s">
        <v>35</v>
      </c>
    </row>
    <row r="1907" spans="1:21" x14ac:dyDescent="0.25">
      <c r="A1907" t="s">
        <v>4163</v>
      </c>
      <c r="B1907" s="1">
        <v>42435</v>
      </c>
      <c r="C1907" s="1">
        <v>42441</v>
      </c>
      <c r="D1907" t="s">
        <v>40</v>
      </c>
      <c r="E1907" t="s">
        <v>178</v>
      </c>
      <c r="F1907" t="s">
        <v>179</v>
      </c>
      <c r="G1907" t="s">
        <v>25</v>
      </c>
      <c r="H1907" t="s">
        <v>26</v>
      </c>
      <c r="I1907" t="s">
        <v>134</v>
      </c>
      <c r="J1907" t="s">
        <v>135</v>
      </c>
      <c r="K1907" t="s">
        <v>94</v>
      </c>
      <c r="L1907" t="s">
        <v>219</v>
      </c>
      <c r="M1907" t="s">
        <v>31</v>
      </c>
      <c r="N1907" t="s">
        <v>57</v>
      </c>
      <c r="O1907" t="s">
        <v>220</v>
      </c>
      <c r="P1907">
        <v>159.04</v>
      </c>
      <c r="Q1907">
        <v>5</v>
      </c>
      <c r="R1907">
        <v>0.6</v>
      </c>
      <c r="S1907">
        <v>-194.82400000000001</v>
      </c>
      <c r="T1907" t="s">
        <v>130</v>
      </c>
      <c r="U1907" t="s">
        <v>196</v>
      </c>
    </row>
    <row r="1908" spans="1:21" x14ac:dyDescent="0.25">
      <c r="A1908" t="s">
        <v>4163</v>
      </c>
      <c r="B1908" s="1">
        <v>42435</v>
      </c>
      <c r="C1908" s="1">
        <v>42441</v>
      </c>
      <c r="D1908" t="s">
        <v>40</v>
      </c>
      <c r="E1908" t="s">
        <v>178</v>
      </c>
      <c r="F1908" t="s">
        <v>179</v>
      </c>
      <c r="G1908" t="s">
        <v>25</v>
      </c>
      <c r="H1908" t="s">
        <v>26</v>
      </c>
      <c r="I1908" t="s">
        <v>134</v>
      </c>
      <c r="J1908" t="s">
        <v>135</v>
      </c>
      <c r="K1908" t="s">
        <v>94</v>
      </c>
      <c r="L1908" t="s">
        <v>1901</v>
      </c>
      <c r="M1908" t="s">
        <v>31</v>
      </c>
      <c r="N1908" t="s">
        <v>46</v>
      </c>
      <c r="O1908" t="s">
        <v>1902</v>
      </c>
      <c r="P1908">
        <v>145.97999999999999</v>
      </c>
      <c r="Q1908">
        <v>2</v>
      </c>
      <c r="R1908">
        <v>0.5</v>
      </c>
      <c r="S1908">
        <v>-99.266400000000004</v>
      </c>
      <c r="T1908" t="s">
        <v>130</v>
      </c>
      <c r="U1908" t="s">
        <v>196</v>
      </c>
    </row>
    <row r="1909" spans="1:21" x14ac:dyDescent="0.25">
      <c r="A1909" t="s">
        <v>4164</v>
      </c>
      <c r="B1909" s="1">
        <v>42341</v>
      </c>
      <c r="C1909" s="1">
        <v>42345</v>
      </c>
      <c r="D1909" t="s">
        <v>40</v>
      </c>
      <c r="E1909" t="s">
        <v>4165</v>
      </c>
      <c r="F1909" t="s">
        <v>4166</v>
      </c>
      <c r="G1909" t="s">
        <v>25</v>
      </c>
      <c r="H1909" t="s">
        <v>26</v>
      </c>
      <c r="I1909" t="s">
        <v>607</v>
      </c>
      <c r="J1909" t="s">
        <v>1037</v>
      </c>
      <c r="K1909" t="s">
        <v>29</v>
      </c>
      <c r="L1909" t="s">
        <v>757</v>
      </c>
      <c r="M1909" t="s">
        <v>31</v>
      </c>
      <c r="N1909" t="s">
        <v>57</v>
      </c>
      <c r="O1909" t="s">
        <v>758</v>
      </c>
      <c r="P1909">
        <v>77.951999999999998</v>
      </c>
      <c r="Q1909">
        <v>3</v>
      </c>
      <c r="R1909">
        <v>0.2</v>
      </c>
      <c r="S1909">
        <v>12.667199999999999</v>
      </c>
      <c r="T1909" t="s">
        <v>84</v>
      </c>
      <c r="U1909" t="s">
        <v>97</v>
      </c>
    </row>
    <row r="1910" spans="1:21" x14ac:dyDescent="0.25">
      <c r="A1910" t="s">
        <v>4167</v>
      </c>
      <c r="B1910" s="1">
        <v>42362</v>
      </c>
      <c r="C1910" s="1">
        <v>42368</v>
      </c>
      <c r="D1910" t="s">
        <v>40</v>
      </c>
      <c r="E1910" t="s">
        <v>1867</v>
      </c>
      <c r="F1910" t="s">
        <v>1868</v>
      </c>
      <c r="G1910" t="s">
        <v>91</v>
      </c>
      <c r="H1910" t="s">
        <v>26</v>
      </c>
      <c r="I1910" t="s">
        <v>879</v>
      </c>
      <c r="J1910" t="s">
        <v>566</v>
      </c>
      <c r="K1910" t="s">
        <v>94</v>
      </c>
      <c r="L1910" t="s">
        <v>2525</v>
      </c>
      <c r="M1910" t="s">
        <v>31</v>
      </c>
      <c r="N1910" t="s">
        <v>57</v>
      </c>
      <c r="O1910" t="s">
        <v>2526</v>
      </c>
      <c r="P1910">
        <v>9.68</v>
      </c>
      <c r="Q1910">
        <v>2</v>
      </c>
      <c r="R1910">
        <v>0</v>
      </c>
      <c r="S1910">
        <v>3.7751999999999999</v>
      </c>
      <c r="T1910" t="s">
        <v>130</v>
      </c>
      <c r="U1910" t="s">
        <v>97</v>
      </c>
    </row>
    <row r="1911" spans="1:21" x14ac:dyDescent="0.25">
      <c r="A1911" t="s">
        <v>4168</v>
      </c>
      <c r="B1911" s="1">
        <v>43024</v>
      </c>
      <c r="C1911" s="1">
        <v>43029</v>
      </c>
      <c r="D1911" t="s">
        <v>40</v>
      </c>
      <c r="E1911" t="s">
        <v>3528</v>
      </c>
      <c r="F1911" t="s">
        <v>3529</v>
      </c>
      <c r="G1911" t="s">
        <v>91</v>
      </c>
      <c r="H1911" t="s">
        <v>26</v>
      </c>
      <c r="I1911" t="s">
        <v>158</v>
      </c>
      <c r="J1911" t="s">
        <v>142</v>
      </c>
      <c r="K1911" t="s">
        <v>29</v>
      </c>
      <c r="L1911" t="s">
        <v>1812</v>
      </c>
      <c r="M1911" t="s">
        <v>31</v>
      </c>
      <c r="N1911" t="s">
        <v>46</v>
      </c>
      <c r="O1911" t="s">
        <v>1813</v>
      </c>
      <c r="P1911">
        <v>1875.258</v>
      </c>
      <c r="Q1911">
        <v>7</v>
      </c>
      <c r="R1911">
        <v>0.4</v>
      </c>
      <c r="S1911">
        <v>-968.88329999999996</v>
      </c>
      <c r="T1911" t="s">
        <v>59</v>
      </c>
      <c r="U1911" t="s">
        <v>49</v>
      </c>
    </row>
    <row r="1912" spans="1:21" x14ac:dyDescent="0.25">
      <c r="A1912" t="s">
        <v>4169</v>
      </c>
      <c r="B1912" s="1">
        <v>42868</v>
      </c>
      <c r="C1912" s="1">
        <v>42872</v>
      </c>
      <c r="D1912" t="s">
        <v>40</v>
      </c>
      <c r="E1912" t="s">
        <v>1145</v>
      </c>
      <c r="F1912" t="s">
        <v>1146</v>
      </c>
      <c r="G1912" t="s">
        <v>101</v>
      </c>
      <c r="H1912" t="s">
        <v>26</v>
      </c>
      <c r="I1912" t="s">
        <v>66</v>
      </c>
      <c r="J1912" t="s">
        <v>67</v>
      </c>
      <c r="K1912" t="s">
        <v>68</v>
      </c>
      <c r="L1912" t="s">
        <v>669</v>
      </c>
      <c r="M1912" t="s">
        <v>31</v>
      </c>
      <c r="N1912" t="s">
        <v>37</v>
      </c>
      <c r="O1912" t="s">
        <v>670</v>
      </c>
      <c r="P1912">
        <v>458.43</v>
      </c>
      <c r="Q1912">
        <v>5</v>
      </c>
      <c r="R1912">
        <v>0.3</v>
      </c>
      <c r="S1912">
        <v>-124.431</v>
      </c>
      <c r="T1912" t="s">
        <v>84</v>
      </c>
      <c r="U1912" t="s">
        <v>162</v>
      </c>
    </row>
    <row r="1913" spans="1:21" x14ac:dyDescent="0.25">
      <c r="A1913" t="s">
        <v>4170</v>
      </c>
      <c r="B1913" s="1">
        <v>43057</v>
      </c>
      <c r="C1913" s="1">
        <v>43057</v>
      </c>
      <c r="D1913" t="s">
        <v>426</v>
      </c>
      <c r="E1913" t="s">
        <v>783</v>
      </c>
      <c r="F1913" t="s">
        <v>784</v>
      </c>
      <c r="G1913" t="s">
        <v>91</v>
      </c>
      <c r="H1913" t="s">
        <v>26</v>
      </c>
      <c r="I1913" t="s">
        <v>906</v>
      </c>
      <c r="J1913" t="s">
        <v>239</v>
      </c>
      <c r="K1913" t="s">
        <v>94</v>
      </c>
      <c r="L1913" t="s">
        <v>501</v>
      </c>
      <c r="M1913" t="s">
        <v>31</v>
      </c>
      <c r="N1913" t="s">
        <v>57</v>
      </c>
      <c r="O1913" t="s">
        <v>502</v>
      </c>
      <c r="P1913">
        <v>5.82</v>
      </c>
      <c r="Q1913">
        <v>2</v>
      </c>
      <c r="R1913">
        <v>0</v>
      </c>
      <c r="S1913">
        <v>2.7353999999999998</v>
      </c>
      <c r="T1913" t="s">
        <v>431</v>
      </c>
      <c r="U1913" t="s">
        <v>35</v>
      </c>
    </row>
    <row r="1914" spans="1:21" x14ac:dyDescent="0.25">
      <c r="A1914" t="s">
        <v>4171</v>
      </c>
      <c r="B1914" s="1">
        <v>42421</v>
      </c>
      <c r="C1914" s="1">
        <v>42422</v>
      </c>
      <c r="D1914" t="s">
        <v>88</v>
      </c>
      <c r="E1914" t="s">
        <v>1512</v>
      </c>
      <c r="F1914" t="s">
        <v>1513</v>
      </c>
      <c r="G1914" t="s">
        <v>91</v>
      </c>
      <c r="H1914" t="s">
        <v>26</v>
      </c>
      <c r="I1914" t="s">
        <v>174</v>
      </c>
      <c r="J1914" t="s">
        <v>121</v>
      </c>
      <c r="K1914" t="s">
        <v>68</v>
      </c>
      <c r="L1914" t="s">
        <v>364</v>
      </c>
      <c r="M1914" t="s">
        <v>31</v>
      </c>
      <c r="N1914" t="s">
        <v>57</v>
      </c>
      <c r="O1914" t="s">
        <v>365</v>
      </c>
      <c r="P1914">
        <v>135.80000000000001</v>
      </c>
      <c r="Q1914">
        <v>7</v>
      </c>
      <c r="R1914">
        <v>0</v>
      </c>
      <c r="S1914">
        <v>66.542000000000002</v>
      </c>
      <c r="T1914" t="s">
        <v>124</v>
      </c>
      <c r="U1914" t="s">
        <v>298</v>
      </c>
    </row>
    <row r="1915" spans="1:21" x14ac:dyDescent="0.25">
      <c r="A1915" t="s">
        <v>4172</v>
      </c>
      <c r="B1915" s="1">
        <v>41989</v>
      </c>
      <c r="C1915" s="1">
        <v>41991</v>
      </c>
      <c r="D1915" t="s">
        <v>22</v>
      </c>
      <c r="E1915" t="s">
        <v>794</v>
      </c>
      <c r="F1915" t="s">
        <v>795</v>
      </c>
      <c r="G1915" t="s">
        <v>25</v>
      </c>
      <c r="H1915" t="s">
        <v>26</v>
      </c>
      <c r="I1915" t="s">
        <v>879</v>
      </c>
      <c r="J1915" t="s">
        <v>717</v>
      </c>
      <c r="K1915" t="s">
        <v>29</v>
      </c>
      <c r="L1915" t="s">
        <v>1100</v>
      </c>
      <c r="M1915" t="s">
        <v>31</v>
      </c>
      <c r="N1915" t="s">
        <v>57</v>
      </c>
      <c r="O1915" t="s">
        <v>1101</v>
      </c>
      <c r="P1915">
        <v>29.46</v>
      </c>
      <c r="Q1915">
        <v>6</v>
      </c>
      <c r="R1915">
        <v>0</v>
      </c>
      <c r="S1915">
        <v>9.7218</v>
      </c>
      <c r="T1915" t="s">
        <v>71</v>
      </c>
      <c r="U1915" t="s">
        <v>97</v>
      </c>
    </row>
    <row r="1916" spans="1:21" x14ac:dyDescent="0.25">
      <c r="A1916" t="s">
        <v>4173</v>
      </c>
      <c r="B1916" s="1">
        <v>42604</v>
      </c>
      <c r="C1916" s="1">
        <v>42605</v>
      </c>
      <c r="D1916" t="s">
        <v>88</v>
      </c>
      <c r="E1916" t="s">
        <v>2277</v>
      </c>
      <c r="F1916" t="s">
        <v>2278</v>
      </c>
      <c r="G1916" t="s">
        <v>101</v>
      </c>
      <c r="H1916" t="s">
        <v>26</v>
      </c>
      <c r="I1916" t="s">
        <v>2344</v>
      </c>
      <c r="J1916" t="s">
        <v>181</v>
      </c>
      <c r="K1916" t="s">
        <v>55</v>
      </c>
      <c r="L1916" t="s">
        <v>641</v>
      </c>
      <c r="M1916" t="s">
        <v>31</v>
      </c>
      <c r="N1916" t="s">
        <v>57</v>
      </c>
      <c r="O1916" t="s">
        <v>642</v>
      </c>
      <c r="P1916">
        <v>98.328000000000003</v>
      </c>
      <c r="Q1916">
        <v>3</v>
      </c>
      <c r="R1916">
        <v>0.2</v>
      </c>
      <c r="S1916">
        <v>9.8328000000000007</v>
      </c>
      <c r="T1916" t="s">
        <v>124</v>
      </c>
      <c r="U1916" t="s">
        <v>254</v>
      </c>
    </row>
    <row r="1917" spans="1:21" x14ac:dyDescent="0.25">
      <c r="A1917" t="s">
        <v>4174</v>
      </c>
      <c r="B1917" s="1">
        <v>42184</v>
      </c>
      <c r="C1917" s="1">
        <v>42187</v>
      </c>
      <c r="D1917" t="s">
        <v>88</v>
      </c>
      <c r="E1917" t="s">
        <v>1369</v>
      </c>
      <c r="F1917" t="s">
        <v>1370</v>
      </c>
      <c r="G1917" t="s">
        <v>25</v>
      </c>
      <c r="H1917" t="s">
        <v>26</v>
      </c>
      <c r="I1917" t="s">
        <v>174</v>
      </c>
      <c r="J1917" t="s">
        <v>121</v>
      </c>
      <c r="K1917" t="s">
        <v>68</v>
      </c>
      <c r="L1917" t="s">
        <v>669</v>
      </c>
      <c r="M1917" t="s">
        <v>31</v>
      </c>
      <c r="N1917" t="s">
        <v>37</v>
      </c>
      <c r="O1917" t="s">
        <v>670</v>
      </c>
      <c r="P1917">
        <v>117.88200000000001</v>
      </c>
      <c r="Q1917">
        <v>1</v>
      </c>
      <c r="R1917">
        <v>0.1</v>
      </c>
      <c r="S1917">
        <v>1.3098000000000001</v>
      </c>
      <c r="T1917" t="s">
        <v>34</v>
      </c>
      <c r="U1917" t="s">
        <v>60</v>
      </c>
    </row>
    <row r="1918" spans="1:21" x14ac:dyDescent="0.25">
      <c r="A1918" t="s">
        <v>4175</v>
      </c>
      <c r="B1918" s="1">
        <v>42547</v>
      </c>
      <c r="C1918" s="1">
        <v>42553</v>
      </c>
      <c r="D1918" t="s">
        <v>40</v>
      </c>
      <c r="E1918" t="s">
        <v>3528</v>
      </c>
      <c r="F1918" t="s">
        <v>3529</v>
      </c>
      <c r="G1918" t="s">
        <v>91</v>
      </c>
      <c r="H1918" t="s">
        <v>26</v>
      </c>
      <c r="I1918" t="s">
        <v>174</v>
      </c>
      <c r="J1918" t="s">
        <v>121</v>
      </c>
      <c r="K1918" t="s">
        <v>68</v>
      </c>
      <c r="L1918" t="s">
        <v>1269</v>
      </c>
      <c r="M1918" t="s">
        <v>31</v>
      </c>
      <c r="N1918" t="s">
        <v>57</v>
      </c>
      <c r="O1918" t="s">
        <v>1270</v>
      </c>
      <c r="P1918">
        <v>37.74</v>
      </c>
      <c r="Q1918">
        <v>3</v>
      </c>
      <c r="R1918">
        <v>0</v>
      </c>
      <c r="S1918">
        <v>12.8316</v>
      </c>
      <c r="T1918" t="s">
        <v>130</v>
      </c>
      <c r="U1918" t="s">
        <v>60</v>
      </c>
    </row>
    <row r="1919" spans="1:21" x14ac:dyDescent="0.25">
      <c r="A1919" t="s">
        <v>4176</v>
      </c>
      <c r="B1919" s="1">
        <v>42630</v>
      </c>
      <c r="C1919" s="1">
        <v>42635</v>
      </c>
      <c r="D1919" t="s">
        <v>40</v>
      </c>
      <c r="E1919" t="s">
        <v>156</v>
      </c>
      <c r="F1919" t="s">
        <v>157</v>
      </c>
      <c r="G1919" t="s">
        <v>25</v>
      </c>
      <c r="H1919" t="s">
        <v>26</v>
      </c>
      <c r="I1919" t="s">
        <v>4177</v>
      </c>
      <c r="J1919" t="s">
        <v>435</v>
      </c>
      <c r="K1919" t="s">
        <v>68</v>
      </c>
      <c r="L1919" t="s">
        <v>803</v>
      </c>
      <c r="M1919" t="s">
        <v>31</v>
      </c>
      <c r="N1919" t="s">
        <v>57</v>
      </c>
      <c r="O1919" t="s">
        <v>804</v>
      </c>
      <c r="P1919">
        <v>14.82</v>
      </c>
      <c r="Q1919">
        <v>3</v>
      </c>
      <c r="R1919">
        <v>0</v>
      </c>
      <c r="S1919">
        <v>6.2244000000000002</v>
      </c>
      <c r="T1919" t="s">
        <v>59</v>
      </c>
      <c r="U1919" t="s">
        <v>78</v>
      </c>
    </row>
    <row r="1920" spans="1:21" x14ac:dyDescent="0.25">
      <c r="A1920" t="s">
        <v>4176</v>
      </c>
      <c r="B1920" s="1">
        <v>42630</v>
      </c>
      <c r="C1920" s="1">
        <v>42635</v>
      </c>
      <c r="D1920" t="s">
        <v>40</v>
      </c>
      <c r="E1920" t="s">
        <v>156</v>
      </c>
      <c r="F1920" t="s">
        <v>157</v>
      </c>
      <c r="G1920" t="s">
        <v>25</v>
      </c>
      <c r="H1920" t="s">
        <v>26</v>
      </c>
      <c r="I1920" t="s">
        <v>4177</v>
      </c>
      <c r="J1920" t="s">
        <v>435</v>
      </c>
      <c r="K1920" t="s">
        <v>68</v>
      </c>
      <c r="L1920" t="s">
        <v>552</v>
      </c>
      <c r="M1920" t="s">
        <v>31</v>
      </c>
      <c r="N1920" t="s">
        <v>57</v>
      </c>
      <c r="O1920" t="s">
        <v>553</v>
      </c>
      <c r="P1920">
        <v>191.82</v>
      </c>
      <c r="Q1920">
        <v>3</v>
      </c>
      <c r="R1920">
        <v>0</v>
      </c>
      <c r="S1920">
        <v>61.382399999999997</v>
      </c>
      <c r="T1920" t="s">
        <v>59</v>
      </c>
      <c r="U1920" t="s">
        <v>78</v>
      </c>
    </row>
    <row r="1921" spans="1:21" x14ac:dyDescent="0.25">
      <c r="A1921" t="s">
        <v>4178</v>
      </c>
      <c r="B1921" s="1">
        <v>42979</v>
      </c>
      <c r="C1921" s="1">
        <v>42979</v>
      </c>
      <c r="D1921" t="s">
        <v>426</v>
      </c>
      <c r="E1921" t="s">
        <v>1589</v>
      </c>
      <c r="F1921" t="s">
        <v>1590</v>
      </c>
      <c r="G1921" t="s">
        <v>91</v>
      </c>
      <c r="H1921" t="s">
        <v>26</v>
      </c>
      <c r="I1921" t="s">
        <v>192</v>
      </c>
      <c r="J1921" t="s">
        <v>193</v>
      </c>
      <c r="K1921" t="s">
        <v>55</v>
      </c>
      <c r="L1921" t="s">
        <v>318</v>
      </c>
      <c r="M1921" t="s">
        <v>31</v>
      </c>
      <c r="N1921" t="s">
        <v>46</v>
      </c>
      <c r="O1921" t="s">
        <v>319</v>
      </c>
      <c r="P1921">
        <v>283.56</v>
      </c>
      <c r="Q1921">
        <v>4</v>
      </c>
      <c r="R1921">
        <v>0</v>
      </c>
      <c r="S1921">
        <v>45.369599999999998</v>
      </c>
      <c r="T1921" t="s">
        <v>431</v>
      </c>
      <c r="U1921" t="s">
        <v>78</v>
      </c>
    </row>
    <row r="1922" spans="1:21" x14ac:dyDescent="0.25">
      <c r="A1922" t="s">
        <v>4179</v>
      </c>
      <c r="B1922" s="1">
        <v>42908</v>
      </c>
      <c r="C1922" s="1">
        <v>42912</v>
      </c>
      <c r="D1922" t="s">
        <v>40</v>
      </c>
      <c r="E1922" t="s">
        <v>672</v>
      </c>
      <c r="F1922" t="s">
        <v>673</v>
      </c>
      <c r="G1922" t="s">
        <v>101</v>
      </c>
      <c r="H1922" t="s">
        <v>26</v>
      </c>
      <c r="I1922" t="s">
        <v>289</v>
      </c>
      <c r="J1922" t="s">
        <v>290</v>
      </c>
      <c r="K1922" t="s">
        <v>94</v>
      </c>
      <c r="L1922" t="s">
        <v>36</v>
      </c>
      <c r="M1922" t="s">
        <v>31</v>
      </c>
      <c r="N1922" t="s">
        <v>37</v>
      </c>
      <c r="O1922" t="s">
        <v>38</v>
      </c>
      <c r="P1922">
        <v>487.96</v>
      </c>
      <c r="Q1922">
        <v>2</v>
      </c>
      <c r="R1922">
        <v>0</v>
      </c>
      <c r="S1922">
        <v>146.38800000000001</v>
      </c>
      <c r="T1922" t="s">
        <v>84</v>
      </c>
      <c r="U1922" t="s">
        <v>60</v>
      </c>
    </row>
    <row r="1923" spans="1:21" x14ac:dyDescent="0.25">
      <c r="A1923" t="s">
        <v>4180</v>
      </c>
      <c r="B1923" s="1">
        <v>41901</v>
      </c>
      <c r="C1923" s="1">
        <v>41906</v>
      </c>
      <c r="D1923" t="s">
        <v>40</v>
      </c>
      <c r="E1923" t="s">
        <v>4181</v>
      </c>
      <c r="F1923" t="s">
        <v>4182</v>
      </c>
      <c r="G1923" t="s">
        <v>91</v>
      </c>
      <c r="H1923" t="s">
        <v>26</v>
      </c>
      <c r="I1923" t="s">
        <v>3059</v>
      </c>
      <c r="J1923" t="s">
        <v>521</v>
      </c>
      <c r="K1923" t="s">
        <v>55</v>
      </c>
      <c r="L1923" t="s">
        <v>1466</v>
      </c>
      <c r="M1923" t="s">
        <v>31</v>
      </c>
      <c r="N1923" t="s">
        <v>46</v>
      </c>
      <c r="O1923" t="s">
        <v>1467</v>
      </c>
      <c r="P1923">
        <v>73.915000000000006</v>
      </c>
      <c r="Q1923">
        <v>1</v>
      </c>
      <c r="R1923">
        <v>0.5</v>
      </c>
      <c r="S1923">
        <v>-45.827300000000001</v>
      </c>
      <c r="T1923" t="s">
        <v>59</v>
      </c>
      <c r="U1923" t="s">
        <v>78</v>
      </c>
    </row>
    <row r="1924" spans="1:21" x14ac:dyDescent="0.25">
      <c r="A1924" t="s">
        <v>4183</v>
      </c>
      <c r="B1924" s="1">
        <v>41910</v>
      </c>
      <c r="C1924" s="1">
        <v>41915</v>
      </c>
      <c r="D1924" t="s">
        <v>40</v>
      </c>
      <c r="E1924" t="s">
        <v>3450</v>
      </c>
      <c r="F1924" t="s">
        <v>3451</v>
      </c>
      <c r="G1924" t="s">
        <v>25</v>
      </c>
      <c r="H1924" t="s">
        <v>26</v>
      </c>
      <c r="I1924" t="s">
        <v>4184</v>
      </c>
      <c r="J1924" t="s">
        <v>44</v>
      </c>
      <c r="K1924" t="s">
        <v>29</v>
      </c>
      <c r="L1924" t="s">
        <v>3618</v>
      </c>
      <c r="M1924" t="s">
        <v>31</v>
      </c>
      <c r="N1924" t="s">
        <v>57</v>
      </c>
      <c r="O1924" t="s">
        <v>3619</v>
      </c>
      <c r="P1924">
        <v>337.08800000000002</v>
      </c>
      <c r="Q1924">
        <v>4</v>
      </c>
      <c r="R1924">
        <v>0.2</v>
      </c>
      <c r="S1924">
        <v>16.854399999999998</v>
      </c>
      <c r="T1924" t="s">
        <v>59</v>
      </c>
      <c r="U1924" t="s">
        <v>78</v>
      </c>
    </row>
    <row r="1925" spans="1:21" x14ac:dyDescent="0.25">
      <c r="A1925" t="s">
        <v>4185</v>
      </c>
      <c r="B1925" s="1">
        <v>42310</v>
      </c>
      <c r="C1925" s="1">
        <v>42312</v>
      </c>
      <c r="D1925" t="s">
        <v>88</v>
      </c>
      <c r="E1925" t="s">
        <v>2652</v>
      </c>
      <c r="F1925" t="s">
        <v>2653</v>
      </c>
      <c r="G1925" t="s">
        <v>101</v>
      </c>
      <c r="H1925" t="s">
        <v>26</v>
      </c>
      <c r="I1925" t="s">
        <v>174</v>
      </c>
      <c r="J1925" t="s">
        <v>121</v>
      </c>
      <c r="K1925" t="s">
        <v>68</v>
      </c>
      <c r="L1925" t="s">
        <v>3592</v>
      </c>
      <c r="M1925" t="s">
        <v>31</v>
      </c>
      <c r="N1925" t="s">
        <v>37</v>
      </c>
      <c r="O1925" t="s">
        <v>3593</v>
      </c>
      <c r="P1925">
        <v>2621.3220000000001</v>
      </c>
      <c r="Q1925">
        <v>11</v>
      </c>
      <c r="R1925">
        <v>0.1</v>
      </c>
      <c r="S1925">
        <v>553.39020000000005</v>
      </c>
      <c r="T1925" t="s">
        <v>71</v>
      </c>
      <c r="U1925" t="s">
        <v>35</v>
      </c>
    </row>
    <row r="1926" spans="1:21" x14ac:dyDescent="0.25">
      <c r="A1926" t="s">
        <v>4186</v>
      </c>
      <c r="B1926" s="1">
        <v>42297</v>
      </c>
      <c r="C1926" s="1">
        <v>42301</v>
      </c>
      <c r="D1926" t="s">
        <v>40</v>
      </c>
      <c r="E1926" t="s">
        <v>2918</v>
      </c>
      <c r="F1926" t="s">
        <v>2919</v>
      </c>
      <c r="G1926" t="s">
        <v>25</v>
      </c>
      <c r="H1926" t="s">
        <v>26</v>
      </c>
      <c r="I1926" t="s">
        <v>53</v>
      </c>
      <c r="J1926" t="s">
        <v>54</v>
      </c>
      <c r="K1926" t="s">
        <v>55</v>
      </c>
      <c r="L1926" t="s">
        <v>2886</v>
      </c>
      <c r="M1926" t="s">
        <v>31</v>
      </c>
      <c r="N1926" t="s">
        <v>57</v>
      </c>
      <c r="O1926" t="s">
        <v>2887</v>
      </c>
      <c r="P1926">
        <v>74.760000000000005</v>
      </c>
      <c r="Q1926">
        <v>7</v>
      </c>
      <c r="R1926">
        <v>0</v>
      </c>
      <c r="S1926">
        <v>23.923200000000001</v>
      </c>
      <c r="T1926" t="s">
        <v>84</v>
      </c>
      <c r="U1926" t="s">
        <v>49</v>
      </c>
    </row>
    <row r="1927" spans="1:21" x14ac:dyDescent="0.25">
      <c r="A1927" t="s">
        <v>4186</v>
      </c>
      <c r="B1927" s="1">
        <v>42297</v>
      </c>
      <c r="C1927" s="1">
        <v>42301</v>
      </c>
      <c r="D1927" t="s">
        <v>40</v>
      </c>
      <c r="E1927" t="s">
        <v>2918</v>
      </c>
      <c r="F1927" t="s">
        <v>2919</v>
      </c>
      <c r="G1927" t="s">
        <v>25</v>
      </c>
      <c r="H1927" t="s">
        <v>26</v>
      </c>
      <c r="I1927" t="s">
        <v>53</v>
      </c>
      <c r="J1927" t="s">
        <v>54</v>
      </c>
      <c r="K1927" t="s">
        <v>55</v>
      </c>
      <c r="L1927" t="s">
        <v>3190</v>
      </c>
      <c r="M1927" t="s">
        <v>31</v>
      </c>
      <c r="N1927" t="s">
        <v>46</v>
      </c>
      <c r="O1927" t="s">
        <v>3191</v>
      </c>
      <c r="P1927">
        <v>364.77600000000001</v>
      </c>
      <c r="Q1927">
        <v>3</v>
      </c>
      <c r="R1927">
        <v>0.2</v>
      </c>
      <c r="S1927">
        <v>27.3582</v>
      </c>
      <c r="T1927" t="s">
        <v>84</v>
      </c>
      <c r="U1927" t="s">
        <v>49</v>
      </c>
    </row>
    <row r="1928" spans="1:21" x14ac:dyDescent="0.25">
      <c r="A1928" t="s">
        <v>4187</v>
      </c>
      <c r="B1928" s="1">
        <v>42535</v>
      </c>
      <c r="C1928" s="1">
        <v>42539</v>
      </c>
      <c r="D1928" t="s">
        <v>40</v>
      </c>
      <c r="E1928" t="s">
        <v>681</v>
      </c>
      <c r="F1928" t="s">
        <v>682</v>
      </c>
      <c r="G1928" t="s">
        <v>91</v>
      </c>
      <c r="H1928" t="s">
        <v>26</v>
      </c>
      <c r="I1928" t="s">
        <v>192</v>
      </c>
      <c r="J1928" t="s">
        <v>193</v>
      </c>
      <c r="K1928" t="s">
        <v>55</v>
      </c>
      <c r="L1928" t="s">
        <v>1135</v>
      </c>
      <c r="M1928" t="s">
        <v>31</v>
      </c>
      <c r="N1928" t="s">
        <v>46</v>
      </c>
      <c r="O1928" t="s">
        <v>1136</v>
      </c>
      <c r="P1928">
        <v>1115.17</v>
      </c>
      <c r="Q1928">
        <v>7</v>
      </c>
      <c r="R1928">
        <v>0</v>
      </c>
      <c r="S1928">
        <v>334.55099999999999</v>
      </c>
      <c r="T1928" t="s">
        <v>84</v>
      </c>
      <c r="U1928" t="s">
        <v>60</v>
      </c>
    </row>
    <row r="1929" spans="1:21" x14ac:dyDescent="0.25">
      <c r="A1929" t="s">
        <v>4188</v>
      </c>
      <c r="B1929" s="1">
        <v>42615</v>
      </c>
      <c r="C1929" s="1">
        <v>42618</v>
      </c>
      <c r="D1929" t="s">
        <v>22</v>
      </c>
      <c r="E1929" t="s">
        <v>244</v>
      </c>
      <c r="F1929" t="s">
        <v>245</v>
      </c>
      <c r="G1929" t="s">
        <v>25</v>
      </c>
      <c r="H1929" t="s">
        <v>26</v>
      </c>
      <c r="I1929" t="s">
        <v>801</v>
      </c>
      <c r="J1929" t="s">
        <v>193</v>
      </c>
      <c r="K1929" t="s">
        <v>55</v>
      </c>
      <c r="L1929" t="s">
        <v>115</v>
      </c>
      <c r="M1929" t="s">
        <v>31</v>
      </c>
      <c r="N1929" t="s">
        <v>37</v>
      </c>
      <c r="O1929" t="s">
        <v>116</v>
      </c>
      <c r="P1929">
        <v>215.976</v>
      </c>
      <c r="Q1929">
        <v>3</v>
      </c>
      <c r="R1929">
        <v>0.2</v>
      </c>
      <c r="S1929">
        <v>-2.6997</v>
      </c>
      <c r="T1929" t="s">
        <v>34</v>
      </c>
      <c r="U1929" t="s">
        <v>78</v>
      </c>
    </row>
    <row r="1930" spans="1:21" x14ac:dyDescent="0.25">
      <c r="A1930" t="s">
        <v>4189</v>
      </c>
      <c r="B1930" s="1">
        <v>43073</v>
      </c>
      <c r="C1930" s="1">
        <v>43074</v>
      </c>
      <c r="D1930" t="s">
        <v>88</v>
      </c>
      <c r="E1930" t="s">
        <v>2593</v>
      </c>
      <c r="F1930" t="s">
        <v>2594</v>
      </c>
      <c r="G1930" t="s">
        <v>91</v>
      </c>
      <c r="H1930" t="s">
        <v>26</v>
      </c>
      <c r="I1930" t="s">
        <v>66</v>
      </c>
      <c r="J1930" t="s">
        <v>67</v>
      </c>
      <c r="K1930" t="s">
        <v>68</v>
      </c>
      <c r="L1930" t="s">
        <v>380</v>
      </c>
      <c r="M1930" t="s">
        <v>31</v>
      </c>
      <c r="N1930" t="s">
        <v>57</v>
      </c>
      <c r="O1930" t="s">
        <v>381</v>
      </c>
      <c r="P1930">
        <v>11.352</v>
      </c>
      <c r="Q1930">
        <v>3</v>
      </c>
      <c r="R1930">
        <v>0.2</v>
      </c>
      <c r="S1930">
        <v>2.6960999999999999</v>
      </c>
      <c r="T1930" t="s">
        <v>124</v>
      </c>
      <c r="U1930" t="s">
        <v>97</v>
      </c>
    </row>
    <row r="1931" spans="1:21" x14ac:dyDescent="0.25">
      <c r="A1931" t="s">
        <v>4190</v>
      </c>
      <c r="B1931" s="1">
        <v>42416</v>
      </c>
      <c r="C1931" s="1">
        <v>42423</v>
      </c>
      <c r="D1931" t="s">
        <v>40</v>
      </c>
      <c r="E1931" t="s">
        <v>3998</v>
      </c>
      <c r="F1931" t="s">
        <v>3999</v>
      </c>
      <c r="G1931" t="s">
        <v>25</v>
      </c>
      <c r="H1931" t="s">
        <v>26</v>
      </c>
      <c r="I1931" t="s">
        <v>27</v>
      </c>
      <c r="J1931" t="s">
        <v>28</v>
      </c>
      <c r="K1931" t="s">
        <v>29</v>
      </c>
      <c r="L1931" t="s">
        <v>219</v>
      </c>
      <c r="M1931" t="s">
        <v>31</v>
      </c>
      <c r="N1931" t="s">
        <v>57</v>
      </c>
      <c r="O1931" t="s">
        <v>220</v>
      </c>
      <c r="P1931">
        <v>318.08</v>
      </c>
      <c r="Q1931">
        <v>4</v>
      </c>
      <c r="R1931">
        <v>0</v>
      </c>
      <c r="S1931">
        <v>34.988799999999998</v>
      </c>
      <c r="T1931" t="s">
        <v>48</v>
      </c>
      <c r="U1931" t="s">
        <v>298</v>
      </c>
    </row>
    <row r="1932" spans="1:21" x14ac:dyDescent="0.25">
      <c r="A1932" t="s">
        <v>4191</v>
      </c>
      <c r="B1932" s="1">
        <v>42639</v>
      </c>
      <c r="C1932" s="1">
        <v>42643</v>
      </c>
      <c r="D1932" t="s">
        <v>40</v>
      </c>
      <c r="E1932" t="s">
        <v>4192</v>
      </c>
      <c r="F1932" t="s">
        <v>4193</v>
      </c>
      <c r="G1932" t="s">
        <v>91</v>
      </c>
      <c r="H1932" t="s">
        <v>26</v>
      </c>
      <c r="I1932" t="s">
        <v>102</v>
      </c>
      <c r="J1932" t="s">
        <v>93</v>
      </c>
      <c r="K1932" t="s">
        <v>94</v>
      </c>
      <c r="L1932" t="s">
        <v>143</v>
      </c>
      <c r="M1932" t="s">
        <v>31</v>
      </c>
      <c r="N1932" t="s">
        <v>37</v>
      </c>
      <c r="O1932" t="s">
        <v>144</v>
      </c>
      <c r="P1932">
        <v>454.96499999999997</v>
      </c>
      <c r="Q1932">
        <v>5</v>
      </c>
      <c r="R1932">
        <v>0.3</v>
      </c>
      <c r="S1932">
        <v>-136.48949999999999</v>
      </c>
      <c r="T1932" t="s">
        <v>84</v>
      </c>
      <c r="U1932" t="s">
        <v>78</v>
      </c>
    </row>
    <row r="1933" spans="1:21" x14ac:dyDescent="0.25">
      <c r="A1933" t="s">
        <v>4194</v>
      </c>
      <c r="B1933" s="1">
        <v>42183</v>
      </c>
      <c r="C1933" s="1">
        <v>42188</v>
      </c>
      <c r="D1933" t="s">
        <v>22</v>
      </c>
      <c r="E1933" t="s">
        <v>1939</v>
      </c>
      <c r="F1933" t="s">
        <v>1940</v>
      </c>
      <c r="G1933" t="s">
        <v>91</v>
      </c>
      <c r="H1933" t="s">
        <v>26</v>
      </c>
      <c r="I1933" t="s">
        <v>120</v>
      </c>
      <c r="J1933" t="s">
        <v>232</v>
      </c>
      <c r="K1933" t="s">
        <v>68</v>
      </c>
      <c r="L1933" t="s">
        <v>1549</v>
      </c>
      <c r="M1933" t="s">
        <v>31</v>
      </c>
      <c r="N1933" t="s">
        <v>32</v>
      </c>
      <c r="O1933" t="s">
        <v>1550</v>
      </c>
      <c r="P1933">
        <v>482.94</v>
      </c>
      <c r="Q1933">
        <v>6</v>
      </c>
      <c r="R1933">
        <v>0.5</v>
      </c>
      <c r="S1933">
        <v>-376.69319999999999</v>
      </c>
      <c r="T1933" t="s">
        <v>59</v>
      </c>
      <c r="U1933" t="s">
        <v>60</v>
      </c>
    </row>
    <row r="1934" spans="1:21" x14ac:dyDescent="0.25">
      <c r="A1934" t="s">
        <v>4195</v>
      </c>
      <c r="B1934" s="1">
        <v>42315</v>
      </c>
      <c r="C1934" s="1">
        <v>42320</v>
      </c>
      <c r="D1934" t="s">
        <v>40</v>
      </c>
      <c r="E1934" t="s">
        <v>1263</v>
      </c>
      <c r="F1934" t="s">
        <v>1264</v>
      </c>
      <c r="G1934" t="s">
        <v>25</v>
      </c>
      <c r="H1934" t="s">
        <v>26</v>
      </c>
      <c r="I1934" t="s">
        <v>102</v>
      </c>
      <c r="J1934" t="s">
        <v>93</v>
      </c>
      <c r="K1934" t="s">
        <v>94</v>
      </c>
      <c r="L1934" t="s">
        <v>2396</v>
      </c>
      <c r="M1934" t="s">
        <v>31</v>
      </c>
      <c r="N1934" t="s">
        <v>57</v>
      </c>
      <c r="O1934" t="s">
        <v>2397</v>
      </c>
      <c r="P1934">
        <v>64.959999999999994</v>
      </c>
      <c r="Q1934">
        <v>5</v>
      </c>
      <c r="R1934">
        <v>0.6</v>
      </c>
      <c r="S1934">
        <v>-84.447999999999993</v>
      </c>
      <c r="T1934" t="s">
        <v>59</v>
      </c>
      <c r="U1934" t="s">
        <v>35</v>
      </c>
    </row>
    <row r="1935" spans="1:21" x14ac:dyDescent="0.25">
      <c r="A1935" t="s">
        <v>4196</v>
      </c>
      <c r="B1935" s="1">
        <v>42754</v>
      </c>
      <c r="C1935" s="1">
        <v>42759</v>
      </c>
      <c r="D1935" t="s">
        <v>22</v>
      </c>
      <c r="E1935" t="s">
        <v>1764</v>
      </c>
      <c r="F1935" t="s">
        <v>1765</v>
      </c>
      <c r="G1935" t="s">
        <v>25</v>
      </c>
      <c r="H1935" t="s">
        <v>26</v>
      </c>
      <c r="I1935" t="s">
        <v>66</v>
      </c>
      <c r="J1935" t="s">
        <v>67</v>
      </c>
      <c r="K1935" t="s">
        <v>68</v>
      </c>
      <c r="L1935" t="s">
        <v>698</v>
      </c>
      <c r="M1935" t="s">
        <v>31</v>
      </c>
      <c r="N1935" t="s">
        <v>57</v>
      </c>
      <c r="O1935" t="s">
        <v>699</v>
      </c>
      <c r="P1935">
        <v>31.968</v>
      </c>
      <c r="Q1935">
        <v>2</v>
      </c>
      <c r="R1935">
        <v>0.2</v>
      </c>
      <c r="S1935">
        <v>6.3936000000000002</v>
      </c>
      <c r="T1935" t="s">
        <v>59</v>
      </c>
      <c r="U1935" t="s">
        <v>170</v>
      </c>
    </row>
    <row r="1936" spans="1:21" x14ac:dyDescent="0.25">
      <c r="A1936" t="s">
        <v>4196</v>
      </c>
      <c r="B1936" s="1">
        <v>42754</v>
      </c>
      <c r="C1936" s="1">
        <v>42759</v>
      </c>
      <c r="D1936" t="s">
        <v>22</v>
      </c>
      <c r="E1936" t="s">
        <v>1764</v>
      </c>
      <c r="F1936" t="s">
        <v>1765</v>
      </c>
      <c r="G1936" t="s">
        <v>25</v>
      </c>
      <c r="H1936" t="s">
        <v>26</v>
      </c>
      <c r="I1936" t="s">
        <v>66</v>
      </c>
      <c r="J1936" t="s">
        <v>67</v>
      </c>
      <c r="K1936" t="s">
        <v>68</v>
      </c>
      <c r="L1936" t="s">
        <v>982</v>
      </c>
      <c r="M1936" t="s">
        <v>31</v>
      </c>
      <c r="N1936" t="s">
        <v>37</v>
      </c>
      <c r="O1936" t="s">
        <v>983</v>
      </c>
      <c r="P1936">
        <v>887.27099999999996</v>
      </c>
      <c r="Q1936">
        <v>3</v>
      </c>
      <c r="R1936">
        <v>0.3</v>
      </c>
      <c r="S1936">
        <v>-63.3765</v>
      </c>
      <c r="T1936" t="s">
        <v>59</v>
      </c>
      <c r="U1936" t="s">
        <v>170</v>
      </c>
    </row>
    <row r="1937" spans="1:21" x14ac:dyDescent="0.25">
      <c r="A1937" t="s">
        <v>4197</v>
      </c>
      <c r="B1937" s="1">
        <v>42600</v>
      </c>
      <c r="C1937" s="1">
        <v>42602</v>
      </c>
      <c r="D1937" t="s">
        <v>22</v>
      </c>
      <c r="E1937" t="s">
        <v>3034</v>
      </c>
      <c r="F1937" t="s">
        <v>3035</v>
      </c>
      <c r="G1937" t="s">
        <v>101</v>
      </c>
      <c r="H1937" t="s">
        <v>26</v>
      </c>
      <c r="I1937" t="s">
        <v>102</v>
      </c>
      <c r="J1937" t="s">
        <v>93</v>
      </c>
      <c r="K1937" t="s">
        <v>94</v>
      </c>
      <c r="L1937" t="s">
        <v>928</v>
      </c>
      <c r="M1937" t="s">
        <v>31</v>
      </c>
      <c r="N1937" t="s">
        <v>57</v>
      </c>
      <c r="O1937" t="s">
        <v>317</v>
      </c>
      <c r="P1937">
        <v>9.5519999999999996</v>
      </c>
      <c r="Q1937">
        <v>3</v>
      </c>
      <c r="R1937">
        <v>0.6</v>
      </c>
      <c r="S1937">
        <v>-3.8208000000000002</v>
      </c>
      <c r="T1937" t="s">
        <v>71</v>
      </c>
      <c r="U1937" t="s">
        <v>254</v>
      </c>
    </row>
    <row r="1938" spans="1:21" x14ac:dyDescent="0.25">
      <c r="A1938" t="s">
        <v>4197</v>
      </c>
      <c r="B1938" s="1">
        <v>42600</v>
      </c>
      <c r="C1938" s="1">
        <v>42602</v>
      </c>
      <c r="D1938" t="s">
        <v>22</v>
      </c>
      <c r="E1938" t="s">
        <v>3034</v>
      </c>
      <c r="F1938" t="s">
        <v>3035</v>
      </c>
      <c r="G1938" t="s">
        <v>101</v>
      </c>
      <c r="H1938" t="s">
        <v>26</v>
      </c>
      <c r="I1938" t="s">
        <v>102</v>
      </c>
      <c r="J1938" t="s">
        <v>93</v>
      </c>
      <c r="K1938" t="s">
        <v>94</v>
      </c>
      <c r="L1938" t="s">
        <v>2426</v>
      </c>
      <c r="M1938" t="s">
        <v>31</v>
      </c>
      <c r="N1938" t="s">
        <v>57</v>
      </c>
      <c r="O1938" t="s">
        <v>2427</v>
      </c>
      <c r="P1938">
        <v>5.3440000000000003</v>
      </c>
      <c r="Q1938">
        <v>4</v>
      </c>
      <c r="R1938">
        <v>0.6</v>
      </c>
      <c r="S1938">
        <v>-2.1375999999999999</v>
      </c>
      <c r="T1938" t="s">
        <v>71</v>
      </c>
      <c r="U1938" t="s">
        <v>254</v>
      </c>
    </row>
    <row r="1939" spans="1:21" x14ac:dyDescent="0.25">
      <c r="A1939" t="s">
        <v>4198</v>
      </c>
      <c r="B1939" s="1">
        <v>42453</v>
      </c>
      <c r="C1939" s="1">
        <v>42455</v>
      </c>
      <c r="D1939" t="s">
        <v>22</v>
      </c>
      <c r="E1939" t="s">
        <v>3879</v>
      </c>
      <c r="F1939" t="s">
        <v>3880</v>
      </c>
      <c r="G1939" t="s">
        <v>25</v>
      </c>
      <c r="H1939" t="s">
        <v>26</v>
      </c>
      <c r="I1939" t="s">
        <v>694</v>
      </c>
      <c r="J1939" t="s">
        <v>232</v>
      </c>
      <c r="K1939" t="s">
        <v>68</v>
      </c>
      <c r="L1939" t="s">
        <v>1968</v>
      </c>
      <c r="M1939" t="s">
        <v>31</v>
      </c>
      <c r="N1939" t="s">
        <v>32</v>
      </c>
      <c r="O1939" t="s">
        <v>1969</v>
      </c>
      <c r="P1939">
        <v>301.47000000000003</v>
      </c>
      <c r="Q1939">
        <v>3</v>
      </c>
      <c r="R1939">
        <v>0.5</v>
      </c>
      <c r="S1939">
        <v>-241.17599999999999</v>
      </c>
      <c r="T1939" t="s">
        <v>71</v>
      </c>
      <c r="U1939" t="s">
        <v>196</v>
      </c>
    </row>
    <row r="1940" spans="1:21" x14ac:dyDescent="0.25">
      <c r="A1940" t="s">
        <v>4199</v>
      </c>
      <c r="B1940" s="1">
        <v>42883</v>
      </c>
      <c r="C1940" s="1">
        <v>42887</v>
      </c>
      <c r="D1940" t="s">
        <v>40</v>
      </c>
      <c r="E1940" t="s">
        <v>2095</v>
      </c>
      <c r="F1940" t="s">
        <v>2096</v>
      </c>
      <c r="G1940" t="s">
        <v>91</v>
      </c>
      <c r="H1940" t="s">
        <v>26</v>
      </c>
      <c r="I1940" t="s">
        <v>4200</v>
      </c>
      <c r="J1940" t="s">
        <v>1090</v>
      </c>
      <c r="K1940" t="s">
        <v>68</v>
      </c>
      <c r="L1940" t="s">
        <v>1291</v>
      </c>
      <c r="M1940" t="s">
        <v>31</v>
      </c>
      <c r="N1940" t="s">
        <v>57</v>
      </c>
      <c r="O1940" t="s">
        <v>1292</v>
      </c>
      <c r="P1940">
        <v>27.46</v>
      </c>
      <c r="Q1940">
        <v>2</v>
      </c>
      <c r="R1940">
        <v>0</v>
      </c>
      <c r="S1940">
        <v>9.8856000000000002</v>
      </c>
      <c r="T1940" t="s">
        <v>84</v>
      </c>
      <c r="U1940" t="s">
        <v>162</v>
      </c>
    </row>
    <row r="1941" spans="1:21" x14ac:dyDescent="0.25">
      <c r="A1941" t="s">
        <v>4201</v>
      </c>
      <c r="B1941" s="1">
        <v>42583</v>
      </c>
      <c r="C1941" s="1">
        <v>42585</v>
      </c>
      <c r="D1941" t="s">
        <v>22</v>
      </c>
      <c r="E1941" t="s">
        <v>4202</v>
      </c>
      <c r="F1941" t="s">
        <v>4203</v>
      </c>
      <c r="G1941" t="s">
        <v>25</v>
      </c>
      <c r="H1941" t="s">
        <v>26</v>
      </c>
      <c r="I1941" t="s">
        <v>66</v>
      </c>
      <c r="J1941" t="s">
        <v>67</v>
      </c>
      <c r="K1941" t="s">
        <v>68</v>
      </c>
      <c r="L1941" t="s">
        <v>552</v>
      </c>
      <c r="M1941" t="s">
        <v>31</v>
      </c>
      <c r="N1941" t="s">
        <v>57</v>
      </c>
      <c r="O1941" t="s">
        <v>3126</v>
      </c>
      <c r="P1941">
        <v>19.312000000000001</v>
      </c>
      <c r="Q1941">
        <v>2</v>
      </c>
      <c r="R1941">
        <v>0.2</v>
      </c>
      <c r="S1941">
        <v>3.1381999999999999</v>
      </c>
      <c r="T1941" t="s">
        <v>71</v>
      </c>
      <c r="U1941" t="s">
        <v>254</v>
      </c>
    </row>
    <row r="1942" spans="1:21" x14ac:dyDescent="0.25">
      <c r="A1942" t="s">
        <v>4204</v>
      </c>
      <c r="B1942" s="1">
        <v>42712</v>
      </c>
      <c r="C1942" s="1">
        <v>42716</v>
      </c>
      <c r="D1942" t="s">
        <v>40</v>
      </c>
      <c r="E1942" t="s">
        <v>1473</v>
      </c>
      <c r="F1942" t="s">
        <v>1474</v>
      </c>
      <c r="G1942" t="s">
        <v>25</v>
      </c>
      <c r="H1942" t="s">
        <v>26</v>
      </c>
      <c r="I1942" t="s">
        <v>4205</v>
      </c>
      <c r="J1942" t="s">
        <v>239</v>
      </c>
      <c r="K1942" t="s">
        <v>94</v>
      </c>
      <c r="L1942" t="s">
        <v>1954</v>
      </c>
      <c r="M1942" t="s">
        <v>31</v>
      </c>
      <c r="N1942" t="s">
        <v>32</v>
      </c>
      <c r="O1942" t="s">
        <v>1955</v>
      </c>
      <c r="P1942">
        <v>405.86</v>
      </c>
      <c r="Q1942">
        <v>7</v>
      </c>
      <c r="R1942">
        <v>0</v>
      </c>
      <c r="S1942">
        <v>32.468800000000002</v>
      </c>
      <c r="T1942" t="s">
        <v>84</v>
      </c>
      <c r="U1942" t="s">
        <v>97</v>
      </c>
    </row>
    <row r="1943" spans="1:21" x14ac:dyDescent="0.25">
      <c r="A1943" t="s">
        <v>4204</v>
      </c>
      <c r="B1943" s="1">
        <v>42712</v>
      </c>
      <c r="C1943" s="1">
        <v>42716</v>
      </c>
      <c r="D1943" t="s">
        <v>40</v>
      </c>
      <c r="E1943" t="s">
        <v>1473</v>
      </c>
      <c r="F1943" t="s">
        <v>1474</v>
      </c>
      <c r="G1943" t="s">
        <v>25</v>
      </c>
      <c r="H1943" t="s">
        <v>26</v>
      </c>
      <c r="I1943" t="s">
        <v>4205</v>
      </c>
      <c r="J1943" t="s">
        <v>239</v>
      </c>
      <c r="K1943" t="s">
        <v>94</v>
      </c>
      <c r="L1943" t="s">
        <v>806</v>
      </c>
      <c r="M1943" t="s">
        <v>31</v>
      </c>
      <c r="N1943" t="s">
        <v>37</v>
      </c>
      <c r="O1943" t="s">
        <v>807</v>
      </c>
      <c r="P1943">
        <v>680.01</v>
      </c>
      <c r="Q1943">
        <v>3</v>
      </c>
      <c r="R1943">
        <v>0</v>
      </c>
      <c r="S1943">
        <v>176.80260000000001</v>
      </c>
      <c r="T1943" t="s">
        <v>84</v>
      </c>
      <c r="U1943" t="s">
        <v>97</v>
      </c>
    </row>
    <row r="1944" spans="1:21" x14ac:dyDescent="0.25">
      <c r="A1944" t="s">
        <v>4206</v>
      </c>
      <c r="B1944" s="1">
        <v>42705</v>
      </c>
      <c r="C1944" s="1">
        <v>42705</v>
      </c>
      <c r="D1944" t="s">
        <v>426</v>
      </c>
      <c r="E1944" t="s">
        <v>2440</v>
      </c>
      <c r="F1944" t="s">
        <v>2441</v>
      </c>
      <c r="G1944" t="s">
        <v>101</v>
      </c>
      <c r="H1944" t="s">
        <v>26</v>
      </c>
      <c r="I1944" t="s">
        <v>3448</v>
      </c>
      <c r="J1944" t="s">
        <v>54</v>
      </c>
      <c r="K1944" t="s">
        <v>55</v>
      </c>
      <c r="L1944" t="s">
        <v>586</v>
      </c>
      <c r="M1944" t="s">
        <v>31</v>
      </c>
      <c r="N1944" t="s">
        <v>57</v>
      </c>
      <c r="O1944" t="s">
        <v>587</v>
      </c>
      <c r="P1944">
        <v>31.96</v>
      </c>
      <c r="Q1944">
        <v>2</v>
      </c>
      <c r="R1944">
        <v>0</v>
      </c>
      <c r="S1944">
        <v>1.5980000000000001</v>
      </c>
      <c r="T1944" t="s">
        <v>431</v>
      </c>
      <c r="U1944" t="s">
        <v>97</v>
      </c>
    </row>
    <row r="1945" spans="1:21" x14ac:dyDescent="0.25">
      <c r="A1945" t="s">
        <v>4207</v>
      </c>
      <c r="B1945" s="1">
        <v>42954</v>
      </c>
      <c r="C1945" s="1">
        <v>42958</v>
      </c>
      <c r="D1945" t="s">
        <v>40</v>
      </c>
      <c r="E1945" t="s">
        <v>414</v>
      </c>
      <c r="F1945" t="s">
        <v>415</v>
      </c>
      <c r="G1945" t="s">
        <v>25</v>
      </c>
      <c r="H1945" t="s">
        <v>26</v>
      </c>
      <c r="I1945" t="s">
        <v>3772</v>
      </c>
      <c r="J1945" t="s">
        <v>54</v>
      </c>
      <c r="K1945" t="s">
        <v>55</v>
      </c>
      <c r="L1945" t="s">
        <v>85</v>
      </c>
      <c r="M1945" t="s">
        <v>31</v>
      </c>
      <c r="N1945" t="s">
        <v>57</v>
      </c>
      <c r="O1945" t="s">
        <v>86</v>
      </c>
      <c r="P1945">
        <v>51.75</v>
      </c>
      <c r="Q1945">
        <v>1</v>
      </c>
      <c r="R1945">
        <v>0</v>
      </c>
      <c r="S1945">
        <v>15.525</v>
      </c>
      <c r="T1945" t="s">
        <v>84</v>
      </c>
      <c r="U1945" t="s">
        <v>254</v>
      </c>
    </row>
    <row r="1946" spans="1:21" x14ac:dyDescent="0.25">
      <c r="A1946" t="s">
        <v>4207</v>
      </c>
      <c r="B1946" s="1">
        <v>42954</v>
      </c>
      <c r="C1946" s="1">
        <v>42958</v>
      </c>
      <c r="D1946" t="s">
        <v>40</v>
      </c>
      <c r="E1946" t="s">
        <v>414</v>
      </c>
      <c r="F1946" t="s">
        <v>415</v>
      </c>
      <c r="G1946" t="s">
        <v>25</v>
      </c>
      <c r="H1946" t="s">
        <v>26</v>
      </c>
      <c r="I1946" t="s">
        <v>3772</v>
      </c>
      <c r="J1946" t="s">
        <v>54</v>
      </c>
      <c r="K1946" t="s">
        <v>55</v>
      </c>
      <c r="L1946" t="s">
        <v>4208</v>
      </c>
      <c r="M1946" t="s">
        <v>31</v>
      </c>
      <c r="N1946" t="s">
        <v>37</v>
      </c>
      <c r="O1946" t="s">
        <v>4209</v>
      </c>
      <c r="P1946">
        <v>207.184</v>
      </c>
      <c r="Q1946">
        <v>1</v>
      </c>
      <c r="R1946">
        <v>0.2</v>
      </c>
      <c r="S1946">
        <v>25.898</v>
      </c>
      <c r="T1946" t="s">
        <v>84</v>
      </c>
      <c r="U1946" t="s">
        <v>254</v>
      </c>
    </row>
    <row r="1947" spans="1:21" x14ac:dyDescent="0.25">
      <c r="A1947" t="s">
        <v>4210</v>
      </c>
      <c r="B1947" s="1">
        <v>41769</v>
      </c>
      <c r="C1947" s="1">
        <v>41774</v>
      </c>
      <c r="D1947" t="s">
        <v>40</v>
      </c>
      <c r="E1947" t="s">
        <v>1127</v>
      </c>
      <c r="F1947" t="s">
        <v>1128</v>
      </c>
      <c r="G1947" t="s">
        <v>25</v>
      </c>
      <c r="H1947" t="s">
        <v>26</v>
      </c>
      <c r="I1947" t="s">
        <v>1492</v>
      </c>
      <c r="J1947" t="s">
        <v>54</v>
      </c>
      <c r="K1947" t="s">
        <v>55</v>
      </c>
      <c r="L1947" t="s">
        <v>2274</v>
      </c>
      <c r="M1947" t="s">
        <v>31</v>
      </c>
      <c r="N1947" t="s">
        <v>37</v>
      </c>
      <c r="O1947" t="s">
        <v>2275</v>
      </c>
      <c r="P1947">
        <v>256.78399999999999</v>
      </c>
      <c r="Q1947">
        <v>1</v>
      </c>
      <c r="R1947">
        <v>0.2</v>
      </c>
      <c r="S1947">
        <v>32.097999999999999</v>
      </c>
      <c r="T1947" t="s">
        <v>59</v>
      </c>
      <c r="U1947" t="s">
        <v>162</v>
      </c>
    </row>
    <row r="1948" spans="1:21" x14ac:dyDescent="0.25">
      <c r="A1948" t="s">
        <v>4211</v>
      </c>
      <c r="B1948" s="1">
        <v>42660</v>
      </c>
      <c r="C1948" s="1">
        <v>42663</v>
      </c>
      <c r="D1948" t="s">
        <v>88</v>
      </c>
      <c r="E1948" t="s">
        <v>2937</v>
      </c>
      <c r="F1948" t="s">
        <v>2938</v>
      </c>
      <c r="G1948" t="s">
        <v>25</v>
      </c>
      <c r="H1948" t="s">
        <v>26</v>
      </c>
      <c r="I1948" t="s">
        <v>4212</v>
      </c>
      <c r="J1948" t="s">
        <v>363</v>
      </c>
      <c r="K1948" t="s">
        <v>68</v>
      </c>
      <c r="L1948" t="s">
        <v>543</v>
      </c>
      <c r="M1948" t="s">
        <v>31</v>
      </c>
      <c r="N1948" t="s">
        <v>32</v>
      </c>
      <c r="O1948" t="s">
        <v>544</v>
      </c>
      <c r="P1948">
        <v>120.98</v>
      </c>
      <c r="Q1948">
        <v>1</v>
      </c>
      <c r="R1948">
        <v>0</v>
      </c>
      <c r="S1948">
        <v>12.098000000000001</v>
      </c>
      <c r="T1948" t="s">
        <v>34</v>
      </c>
      <c r="U1948" t="s">
        <v>49</v>
      </c>
    </row>
    <row r="1949" spans="1:21" x14ac:dyDescent="0.25">
      <c r="A1949" t="s">
        <v>4213</v>
      </c>
      <c r="B1949" s="1">
        <v>41981</v>
      </c>
      <c r="C1949" s="1">
        <v>41988</v>
      </c>
      <c r="D1949" t="s">
        <v>40</v>
      </c>
      <c r="E1949" t="s">
        <v>665</v>
      </c>
      <c r="F1949" t="s">
        <v>666</v>
      </c>
      <c r="G1949" t="s">
        <v>91</v>
      </c>
      <c r="H1949" t="s">
        <v>26</v>
      </c>
      <c r="I1949" t="s">
        <v>329</v>
      </c>
      <c r="J1949" t="s">
        <v>54</v>
      </c>
      <c r="K1949" t="s">
        <v>55</v>
      </c>
      <c r="L1949" t="s">
        <v>128</v>
      </c>
      <c r="M1949" t="s">
        <v>31</v>
      </c>
      <c r="N1949" t="s">
        <v>57</v>
      </c>
      <c r="O1949" t="s">
        <v>129</v>
      </c>
      <c r="P1949">
        <v>39.880000000000003</v>
      </c>
      <c r="Q1949">
        <v>2</v>
      </c>
      <c r="R1949">
        <v>0</v>
      </c>
      <c r="S1949">
        <v>11.166399999999999</v>
      </c>
      <c r="T1949" t="s">
        <v>48</v>
      </c>
      <c r="U1949" t="s">
        <v>97</v>
      </c>
    </row>
    <row r="1950" spans="1:21" x14ac:dyDescent="0.25">
      <c r="A1950" t="s">
        <v>4213</v>
      </c>
      <c r="B1950" s="1">
        <v>41981</v>
      </c>
      <c r="C1950" s="1">
        <v>41988</v>
      </c>
      <c r="D1950" t="s">
        <v>40</v>
      </c>
      <c r="E1950" t="s">
        <v>665</v>
      </c>
      <c r="F1950" t="s">
        <v>666</v>
      </c>
      <c r="G1950" t="s">
        <v>91</v>
      </c>
      <c r="H1950" t="s">
        <v>26</v>
      </c>
      <c r="I1950" t="s">
        <v>329</v>
      </c>
      <c r="J1950" t="s">
        <v>54</v>
      </c>
      <c r="K1950" t="s">
        <v>55</v>
      </c>
      <c r="L1950" t="s">
        <v>1422</v>
      </c>
      <c r="M1950" t="s">
        <v>31</v>
      </c>
      <c r="N1950" t="s">
        <v>57</v>
      </c>
      <c r="O1950" t="s">
        <v>1423</v>
      </c>
      <c r="P1950">
        <v>79.44</v>
      </c>
      <c r="Q1950">
        <v>3</v>
      </c>
      <c r="R1950">
        <v>0</v>
      </c>
      <c r="S1950">
        <v>28.598400000000002</v>
      </c>
      <c r="T1950" t="s">
        <v>48</v>
      </c>
      <c r="U1950" t="s">
        <v>97</v>
      </c>
    </row>
    <row r="1951" spans="1:21" x14ac:dyDescent="0.25">
      <c r="A1951" t="s">
        <v>4214</v>
      </c>
      <c r="B1951" s="1">
        <v>42232</v>
      </c>
      <c r="C1951" s="1">
        <v>42236</v>
      </c>
      <c r="D1951" t="s">
        <v>40</v>
      </c>
      <c r="E1951" t="s">
        <v>1469</v>
      </c>
      <c r="F1951" t="s">
        <v>1470</v>
      </c>
      <c r="G1951" t="s">
        <v>25</v>
      </c>
      <c r="H1951" t="s">
        <v>26</v>
      </c>
      <c r="I1951" t="s">
        <v>66</v>
      </c>
      <c r="J1951" t="s">
        <v>67</v>
      </c>
      <c r="K1951" t="s">
        <v>68</v>
      </c>
      <c r="L1951" t="s">
        <v>1870</v>
      </c>
      <c r="M1951" t="s">
        <v>31</v>
      </c>
      <c r="N1951" t="s">
        <v>32</v>
      </c>
      <c r="O1951" t="s">
        <v>1871</v>
      </c>
      <c r="P1951">
        <v>301.47000000000003</v>
      </c>
      <c r="Q1951">
        <v>3</v>
      </c>
      <c r="R1951">
        <v>0.5</v>
      </c>
      <c r="S1951">
        <v>-204.99959999999999</v>
      </c>
      <c r="T1951" t="s">
        <v>84</v>
      </c>
      <c r="U1951" t="s">
        <v>254</v>
      </c>
    </row>
    <row r="1952" spans="1:21" x14ac:dyDescent="0.25">
      <c r="A1952" t="s">
        <v>4215</v>
      </c>
      <c r="B1952" s="1">
        <v>43021</v>
      </c>
      <c r="C1952" s="1">
        <v>43022</v>
      </c>
      <c r="D1952" t="s">
        <v>88</v>
      </c>
      <c r="E1952" t="s">
        <v>2108</v>
      </c>
      <c r="F1952" t="s">
        <v>2109</v>
      </c>
      <c r="G1952" t="s">
        <v>25</v>
      </c>
      <c r="H1952" t="s">
        <v>26</v>
      </c>
      <c r="I1952" t="s">
        <v>1406</v>
      </c>
      <c r="J1952" t="s">
        <v>1407</v>
      </c>
      <c r="K1952" t="s">
        <v>29</v>
      </c>
      <c r="L1952" t="s">
        <v>307</v>
      </c>
      <c r="M1952" t="s">
        <v>31</v>
      </c>
      <c r="N1952" t="s">
        <v>46</v>
      </c>
      <c r="O1952" t="s">
        <v>308</v>
      </c>
      <c r="P1952">
        <v>1504.52</v>
      </c>
      <c r="Q1952">
        <v>4</v>
      </c>
      <c r="R1952">
        <v>0</v>
      </c>
      <c r="S1952">
        <v>346.03960000000001</v>
      </c>
      <c r="T1952" t="s">
        <v>124</v>
      </c>
      <c r="U1952" t="s">
        <v>49</v>
      </c>
    </row>
    <row r="1953" spans="1:21" x14ac:dyDescent="0.25">
      <c r="A1953" t="s">
        <v>4216</v>
      </c>
      <c r="B1953" s="1">
        <v>42615</v>
      </c>
      <c r="C1953" s="1">
        <v>42619</v>
      </c>
      <c r="D1953" t="s">
        <v>40</v>
      </c>
      <c r="E1953" t="s">
        <v>638</v>
      </c>
      <c r="F1953" t="s">
        <v>639</v>
      </c>
      <c r="G1953" t="s">
        <v>25</v>
      </c>
      <c r="H1953" t="s">
        <v>26</v>
      </c>
      <c r="I1953" t="s">
        <v>53</v>
      </c>
      <c r="J1953" t="s">
        <v>54</v>
      </c>
      <c r="K1953" t="s">
        <v>55</v>
      </c>
      <c r="L1953" t="s">
        <v>1578</v>
      </c>
      <c r="M1953" t="s">
        <v>31</v>
      </c>
      <c r="N1953" t="s">
        <v>57</v>
      </c>
      <c r="O1953" t="s">
        <v>1579</v>
      </c>
      <c r="P1953">
        <v>94.68</v>
      </c>
      <c r="Q1953">
        <v>9</v>
      </c>
      <c r="R1953">
        <v>0</v>
      </c>
      <c r="S1953">
        <v>31.244399999999999</v>
      </c>
      <c r="T1953" t="s">
        <v>84</v>
      </c>
      <c r="U1953" t="s">
        <v>78</v>
      </c>
    </row>
    <row r="1954" spans="1:21" x14ac:dyDescent="0.25">
      <c r="A1954" t="s">
        <v>4216</v>
      </c>
      <c r="B1954" s="1">
        <v>42615</v>
      </c>
      <c r="C1954" s="1">
        <v>42619</v>
      </c>
      <c r="D1954" t="s">
        <v>40</v>
      </c>
      <c r="E1954" t="s">
        <v>638</v>
      </c>
      <c r="F1954" t="s">
        <v>639</v>
      </c>
      <c r="G1954" t="s">
        <v>25</v>
      </c>
      <c r="H1954" t="s">
        <v>26</v>
      </c>
      <c r="I1954" t="s">
        <v>53</v>
      </c>
      <c r="J1954" t="s">
        <v>54</v>
      </c>
      <c r="K1954" t="s">
        <v>55</v>
      </c>
      <c r="L1954" t="s">
        <v>61</v>
      </c>
      <c r="M1954" t="s">
        <v>31</v>
      </c>
      <c r="N1954" t="s">
        <v>46</v>
      </c>
      <c r="O1954" t="s">
        <v>62</v>
      </c>
      <c r="P1954">
        <v>568.72799999999995</v>
      </c>
      <c r="Q1954">
        <v>3</v>
      </c>
      <c r="R1954">
        <v>0.2</v>
      </c>
      <c r="S1954">
        <v>28.436399999999999</v>
      </c>
      <c r="T1954" t="s">
        <v>84</v>
      </c>
      <c r="U1954" t="s">
        <v>78</v>
      </c>
    </row>
    <row r="1955" spans="1:21" x14ac:dyDescent="0.25">
      <c r="A1955" t="s">
        <v>4217</v>
      </c>
      <c r="B1955" s="1">
        <v>42777</v>
      </c>
      <c r="C1955" s="1">
        <v>42780</v>
      </c>
      <c r="D1955" t="s">
        <v>88</v>
      </c>
      <c r="E1955" t="s">
        <v>1685</v>
      </c>
      <c r="F1955" t="s">
        <v>1686</v>
      </c>
      <c r="G1955" t="s">
        <v>25</v>
      </c>
      <c r="H1955" t="s">
        <v>26</v>
      </c>
      <c r="I1955" t="s">
        <v>348</v>
      </c>
      <c r="J1955" t="s">
        <v>232</v>
      </c>
      <c r="K1955" t="s">
        <v>68</v>
      </c>
      <c r="L1955" t="s">
        <v>921</v>
      </c>
      <c r="M1955" t="s">
        <v>31</v>
      </c>
      <c r="N1955" t="s">
        <v>57</v>
      </c>
      <c r="O1955" t="s">
        <v>922</v>
      </c>
      <c r="P1955">
        <v>147.56800000000001</v>
      </c>
      <c r="Q1955">
        <v>2</v>
      </c>
      <c r="R1955">
        <v>0.2</v>
      </c>
      <c r="S1955">
        <v>-3.6892</v>
      </c>
      <c r="T1955" t="s">
        <v>34</v>
      </c>
      <c r="U1955" t="s">
        <v>298</v>
      </c>
    </row>
    <row r="1956" spans="1:21" x14ac:dyDescent="0.25">
      <c r="A1956" t="s">
        <v>4218</v>
      </c>
      <c r="B1956" s="1">
        <v>41829</v>
      </c>
      <c r="C1956" s="1">
        <v>41834</v>
      </c>
      <c r="D1956" t="s">
        <v>40</v>
      </c>
      <c r="E1956" t="s">
        <v>766</v>
      </c>
      <c r="F1956" t="s">
        <v>767</v>
      </c>
      <c r="G1956" t="s">
        <v>101</v>
      </c>
      <c r="H1956" t="s">
        <v>26</v>
      </c>
      <c r="I1956" t="s">
        <v>329</v>
      </c>
      <c r="J1956" t="s">
        <v>54</v>
      </c>
      <c r="K1956" t="s">
        <v>55</v>
      </c>
      <c r="L1956" t="s">
        <v>2623</v>
      </c>
      <c r="M1956" t="s">
        <v>31</v>
      </c>
      <c r="N1956" t="s">
        <v>32</v>
      </c>
      <c r="O1956" t="s">
        <v>2624</v>
      </c>
      <c r="P1956">
        <v>119.833</v>
      </c>
      <c r="Q1956">
        <v>1</v>
      </c>
      <c r="R1956">
        <v>0.15</v>
      </c>
      <c r="S1956">
        <v>7.0490000000000004</v>
      </c>
      <c r="T1956" t="s">
        <v>59</v>
      </c>
      <c r="U1956" t="s">
        <v>72</v>
      </c>
    </row>
    <row r="1957" spans="1:21" x14ac:dyDescent="0.25">
      <c r="A1957" t="s">
        <v>4219</v>
      </c>
      <c r="B1957" s="1">
        <v>41681</v>
      </c>
      <c r="C1957" s="1">
        <v>41685</v>
      </c>
      <c r="D1957" t="s">
        <v>22</v>
      </c>
      <c r="E1957" t="s">
        <v>868</v>
      </c>
      <c r="F1957" t="s">
        <v>869</v>
      </c>
      <c r="G1957" t="s">
        <v>25</v>
      </c>
      <c r="H1957" t="s">
        <v>26</v>
      </c>
      <c r="I1957" t="s">
        <v>158</v>
      </c>
      <c r="J1957" t="s">
        <v>566</v>
      </c>
      <c r="K1957" t="s">
        <v>94</v>
      </c>
      <c r="L1957" t="s">
        <v>136</v>
      </c>
      <c r="M1957" t="s">
        <v>31</v>
      </c>
      <c r="N1957" t="s">
        <v>37</v>
      </c>
      <c r="O1957" t="s">
        <v>137</v>
      </c>
      <c r="P1957">
        <v>60.89</v>
      </c>
      <c r="Q1957">
        <v>1</v>
      </c>
      <c r="R1957">
        <v>0</v>
      </c>
      <c r="S1957">
        <v>15.2225</v>
      </c>
      <c r="T1957" t="s">
        <v>84</v>
      </c>
      <c r="U1957" t="s">
        <v>298</v>
      </c>
    </row>
    <row r="1958" spans="1:21" x14ac:dyDescent="0.25">
      <c r="A1958" t="s">
        <v>4219</v>
      </c>
      <c r="B1958" s="1">
        <v>41681</v>
      </c>
      <c r="C1958" s="1">
        <v>41685</v>
      </c>
      <c r="D1958" t="s">
        <v>22</v>
      </c>
      <c r="E1958" t="s">
        <v>868</v>
      </c>
      <c r="F1958" t="s">
        <v>869</v>
      </c>
      <c r="G1958" t="s">
        <v>25</v>
      </c>
      <c r="H1958" t="s">
        <v>26</v>
      </c>
      <c r="I1958" t="s">
        <v>158</v>
      </c>
      <c r="J1958" t="s">
        <v>566</v>
      </c>
      <c r="K1958" t="s">
        <v>94</v>
      </c>
      <c r="L1958" t="s">
        <v>1854</v>
      </c>
      <c r="M1958" t="s">
        <v>31</v>
      </c>
      <c r="N1958" t="s">
        <v>57</v>
      </c>
      <c r="O1958" t="s">
        <v>1855</v>
      </c>
      <c r="P1958">
        <v>332.94</v>
      </c>
      <c r="Q1958">
        <v>3</v>
      </c>
      <c r="R1958">
        <v>0</v>
      </c>
      <c r="S1958">
        <v>53.270400000000002</v>
      </c>
      <c r="T1958" t="s">
        <v>84</v>
      </c>
      <c r="U1958" t="s">
        <v>298</v>
      </c>
    </row>
    <row r="1959" spans="1:21" x14ac:dyDescent="0.25">
      <c r="A1959" t="s">
        <v>4220</v>
      </c>
      <c r="B1959" s="1">
        <v>42980</v>
      </c>
      <c r="C1959" s="1">
        <v>42980</v>
      </c>
      <c r="D1959" t="s">
        <v>426</v>
      </c>
      <c r="E1959" t="s">
        <v>3200</v>
      </c>
      <c r="F1959" t="s">
        <v>3201</v>
      </c>
      <c r="G1959" t="s">
        <v>101</v>
      </c>
      <c r="H1959" t="s">
        <v>26</v>
      </c>
      <c r="I1959" t="s">
        <v>192</v>
      </c>
      <c r="J1959" t="s">
        <v>193</v>
      </c>
      <c r="K1959" t="s">
        <v>55</v>
      </c>
      <c r="L1959" t="s">
        <v>115</v>
      </c>
      <c r="M1959" t="s">
        <v>31</v>
      </c>
      <c r="N1959" t="s">
        <v>37</v>
      </c>
      <c r="O1959" t="s">
        <v>116</v>
      </c>
      <c r="P1959">
        <v>215.976</v>
      </c>
      <c r="Q1959">
        <v>3</v>
      </c>
      <c r="R1959">
        <v>0.2</v>
      </c>
      <c r="S1959">
        <v>-2.6997</v>
      </c>
      <c r="T1959" t="s">
        <v>431</v>
      </c>
      <c r="U1959" t="s">
        <v>78</v>
      </c>
    </row>
    <row r="1960" spans="1:21" x14ac:dyDescent="0.25">
      <c r="A1960" t="s">
        <v>4221</v>
      </c>
      <c r="B1960" s="1">
        <v>42286</v>
      </c>
      <c r="C1960" s="1">
        <v>42290</v>
      </c>
      <c r="D1960" t="s">
        <v>40</v>
      </c>
      <c r="E1960" t="s">
        <v>4222</v>
      </c>
      <c r="F1960" t="s">
        <v>4223</v>
      </c>
      <c r="G1960" t="s">
        <v>25</v>
      </c>
      <c r="H1960" t="s">
        <v>26</v>
      </c>
      <c r="I1960" t="s">
        <v>289</v>
      </c>
      <c r="J1960" t="s">
        <v>290</v>
      </c>
      <c r="K1960" t="s">
        <v>94</v>
      </c>
      <c r="L1960" t="s">
        <v>143</v>
      </c>
      <c r="M1960" t="s">
        <v>31</v>
      </c>
      <c r="N1960" t="s">
        <v>37</v>
      </c>
      <c r="O1960" t="s">
        <v>144</v>
      </c>
      <c r="P1960">
        <v>389.97</v>
      </c>
      <c r="Q1960">
        <v>3</v>
      </c>
      <c r="R1960">
        <v>0</v>
      </c>
      <c r="S1960">
        <v>35.097299999999997</v>
      </c>
      <c r="T1960" t="s">
        <v>84</v>
      </c>
      <c r="U1960" t="s">
        <v>49</v>
      </c>
    </row>
    <row r="1961" spans="1:21" x14ac:dyDescent="0.25">
      <c r="A1961" t="s">
        <v>4224</v>
      </c>
      <c r="B1961" s="1">
        <v>41678</v>
      </c>
      <c r="C1961" s="1">
        <v>41679</v>
      </c>
      <c r="D1961" t="s">
        <v>88</v>
      </c>
      <c r="E1961" t="s">
        <v>393</v>
      </c>
      <c r="F1961" t="s">
        <v>394</v>
      </c>
      <c r="G1961" t="s">
        <v>101</v>
      </c>
      <c r="H1961" t="s">
        <v>26</v>
      </c>
      <c r="I1961" t="s">
        <v>1340</v>
      </c>
      <c r="J1961" t="s">
        <v>1341</v>
      </c>
      <c r="K1961" t="s">
        <v>55</v>
      </c>
      <c r="L1961" t="s">
        <v>2878</v>
      </c>
      <c r="M1961" t="s">
        <v>31</v>
      </c>
      <c r="N1961" t="s">
        <v>57</v>
      </c>
      <c r="O1961" t="s">
        <v>2879</v>
      </c>
      <c r="P1961">
        <v>14.56</v>
      </c>
      <c r="Q1961">
        <v>2</v>
      </c>
      <c r="R1961">
        <v>0</v>
      </c>
      <c r="S1961">
        <v>5.5327999999999999</v>
      </c>
      <c r="T1961" t="s">
        <v>124</v>
      </c>
      <c r="U1961" t="s">
        <v>298</v>
      </c>
    </row>
    <row r="1962" spans="1:21" x14ac:dyDescent="0.25">
      <c r="A1962" t="s">
        <v>4225</v>
      </c>
      <c r="B1962" s="1">
        <v>42272</v>
      </c>
      <c r="C1962" s="1">
        <v>42272</v>
      </c>
      <c r="D1962" t="s">
        <v>426</v>
      </c>
      <c r="E1962" t="s">
        <v>629</v>
      </c>
      <c r="F1962" t="s">
        <v>630</v>
      </c>
      <c r="G1962" t="s">
        <v>25</v>
      </c>
      <c r="H1962" t="s">
        <v>26</v>
      </c>
      <c r="I1962" t="s">
        <v>2729</v>
      </c>
      <c r="J1962" t="s">
        <v>121</v>
      </c>
      <c r="K1962" t="s">
        <v>68</v>
      </c>
      <c r="L1962" t="s">
        <v>3217</v>
      </c>
      <c r="M1962" t="s">
        <v>31</v>
      </c>
      <c r="N1962" t="s">
        <v>37</v>
      </c>
      <c r="O1962" t="s">
        <v>3218</v>
      </c>
      <c r="P1962">
        <v>102.58199999999999</v>
      </c>
      <c r="Q1962">
        <v>1</v>
      </c>
      <c r="R1962">
        <v>0.1</v>
      </c>
      <c r="S1962">
        <v>6.8388</v>
      </c>
      <c r="T1962" t="s">
        <v>431</v>
      </c>
      <c r="U1962" t="s">
        <v>78</v>
      </c>
    </row>
    <row r="1963" spans="1:21" x14ac:dyDescent="0.25">
      <c r="A1963" t="s">
        <v>4226</v>
      </c>
      <c r="B1963" s="1">
        <v>42502</v>
      </c>
      <c r="C1963" s="1">
        <v>42507</v>
      </c>
      <c r="D1963" t="s">
        <v>40</v>
      </c>
      <c r="E1963" t="s">
        <v>1867</v>
      </c>
      <c r="F1963" t="s">
        <v>1868</v>
      </c>
      <c r="G1963" t="s">
        <v>91</v>
      </c>
      <c r="H1963" t="s">
        <v>26</v>
      </c>
      <c r="I1963" t="s">
        <v>174</v>
      </c>
      <c r="J1963" t="s">
        <v>121</v>
      </c>
      <c r="K1963" t="s">
        <v>68</v>
      </c>
      <c r="L1963" t="s">
        <v>2426</v>
      </c>
      <c r="M1963" t="s">
        <v>31</v>
      </c>
      <c r="N1963" t="s">
        <v>57</v>
      </c>
      <c r="O1963" t="s">
        <v>2427</v>
      </c>
      <c r="P1963">
        <v>10.02</v>
      </c>
      <c r="Q1963">
        <v>3</v>
      </c>
      <c r="R1963">
        <v>0</v>
      </c>
      <c r="S1963">
        <v>4.4088000000000003</v>
      </c>
      <c r="T1963" t="s">
        <v>59</v>
      </c>
      <c r="U1963" t="s">
        <v>162</v>
      </c>
    </row>
    <row r="1964" spans="1:21" x14ac:dyDescent="0.25">
      <c r="A1964" t="s">
        <v>4227</v>
      </c>
      <c r="B1964" s="1">
        <v>43070</v>
      </c>
      <c r="C1964" s="1">
        <v>43074</v>
      </c>
      <c r="D1964" t="s">
        <v>40</v>
      </c>
      <c r="E1964" t="s">
        <v>3684</v>
      </c>
      <c r="F1964" t="s">
        <v>3685</v>
      </c>
      <c r="G1964" t="s">
        <v>25</v>
      </c>
      <c r="H1964" t="s">
        <v>26</v>
      </c>
      <c r="I1964" t="s">
        <v>66</v>
      </c>
      <c r="J1964" t="s">
        <v>67</v>
      </c>
      <c r="K1964" t="s">
        <v>68</v>
      </c>
      <c r="L1964" t="s">
        <v>576</v>
      </c>
      <c r="M1964" t="s">
        <v>31</v>
      </c>
      <c r="N1964" t="s">
        <v>37</v>
      </c>
      <c r="O1964" t="s">
        <v>577</v>
      </c>
      <c r="P1964">
        <v>398.97199999999998</v>
      </c>
      <c r="Q1964">
        <v>2</v>
      </c>
      <c r="R1964">
        <v>0.3</v>
      </c>
      <c r="S1964">
        <v>-28.498000000000001</v>
      </c>
      <c r="T1964" t="s">
        <v>84</v>
      </c>
      <c r="U1964" t="s">
        <v>97</v>
      </c>
    </row>
    <row r="1965" spans="1:21" x14ac:dyDescent="0.25">
      <c r="A1965" t="s">
        <v>4228</v>
      </c>
      <c r="B1965" s="1">
        <v>42633</v>
      </c>
      <c r="C1965" s="1">
        <v>42637</v>
      </c>
      <c r="D1965" t="s">
        <v>40</v>
      </c>
      <c r="E1965" t="s">
        <v>4229</v>
      </c>
      <c r="F1965" t="s">
        <v>4230</v>
      </c>
      <c r="G1965" t="s">
        <v>101</v>
      </c>
      <c r="H1965" t="s">
        <v>26</v>
      </c>
      <c r="I1965" t="s">
        <v>192</v>
      </c>
      <c r="J1965" t="s">
        <v>193</v>
      </c>
      <c r="K1965" t="s">
        <v>55</v>
      </c>
      <c r="L1965" t="s">
        <v>2734</v>
      </c>
      <c r="M1965" t="s">
        <v>31</v>
      </c>
      <c r="N1965" t="s">
        <v>32</v>
      </c>
      <c r="O1965" t="s">
        <v>2735</v>
      </c>
      <c r="P1965">
        <v>163.88</v>
      </c>
      <c r="Q1965">
        <v>2</v>
      </c>
      <c r="R1965">
        <v>0</v>
      </c>
      <c r="S1965">
        <v>40.97</v>
      </c>
      <c r="T1965" t="s">
        <v>84</v>
      </c>
      <c r="U1965" t="s">
        <v>78</v>
      </c>
    </row>
    <row r="1966" spans="1:21" x14ac:dyDescent="0.25">
      <c r="A1966" t="s">
        <v>4231</v>
      </c>
      <c r="B1966" s="1">
        <v>41961</v>
      </c>
      <c r="C1966" s="1">
        <v>41966</v>
      </c>
      <c r="D1966" t="s">
        <v>40</v>
      </c>
      <c r="E1966" t="s">
        <v>427</v>
      </c>
      <c r="F1966" t="s">
        <v>428</v>
      </c>
      <c r="G1966" t="s">
        <v>91</v>
      </c>
      <c r="H1966" t="s">
        <v>26</v>
      </c>
      <c r="I1966" t="s">
        <v>238</v>
      </c>
      <c r="J1966" t="s">
        <v>239</v>
      </c>
      <c r="K1966" t="s">
        <v>94</v>
      </c>
      <c r="L1966" t="s">
        <v>669</v>
      </c>
      <c r="M1966" t="s">
        <v>31</v>
      </c>
      <c r="N1966" t="s">
        <v>37</v>
      </c>
      <c r="O1966" t="s">
        <v>670</v>
      </c>
      <c r="P1966">
        <v>392.94</v>
      </c>
      <c r="Q1966">
        <v>3</v>
      </c>
      <c r="R1966">
        <v>0</v>
      </c>
      <c r="S1966">
        <v>43.223399999999998</v>
      </c>
      <c r="T1966" t="s">
        <v>59</v>
      </c>
      <c r="U1966" t="s">
        <v>35</v>
      </c>
    </row>
    <row r="1967" spans="1:21" x14ac:dyDescent="0.25">
      <c r="A1967" t="s">
        <v>4232</v>
      </c>
      <c r="B1967" s="1">
        <v>42329</v>
      </c>
      <c r="C1967" s="1">
        <v>42332</v>
      </c>
      <c r="D1967" t="s">
        <v>88</v>
      </c>
      <c r="E1967" t="s">
        <v>4233</v>
      </c>
      <c r="F1967" t="s">
        <v>4234</v>
      </c>
      <c r="G1967" t="s">
        <v>25</v>
      </c>
      <c r="H1967" t="s">
        <v>26</v>
      </c>
      <c r="I1967" t="s">
        <v>1036</v>
      </c>
      <c r="J1967" t="s">
        <v>1037</v>
      </c>
      <c r="K1967" t="s">
        <v>29</v>
      </c>
      <c r="L1967" t="s">
        <v>284</v>
      </c>
      <c r="M1967" t="s">
        <v>31</v>
      </c>
      <c r="N1967" t="s">
        <v>57</v>
      </c>
      <c r="O1967" t="s">
        <v>285</v>
      </c>
      <c r="P1967">
        <v>18.175999999999998</v>
      </c>
      <c r="Q1967">
        <v>1</v>
      </c>
      <c r="R1967">
        <v>0.2</v>
      </c>
      <c r="S1967">
        <v>4.7712000000000003</v>
      </c>
      <c r="T1967" t="s">
        <v>34</v>
      </c>
      <c r="U1967" t="s">
        <v>35</v>
      </c>
    </row>
    <row r="1968" spans="1:21" x14ac:dyDescent="0.25">
      <c r="A1968" t="s">
        <v>4235</v>
      </c>
      <c r="B1968" s="1">
        <v>42905</v>
      </c>
      <c r="C1968" s="1">
        <v>42912</v>
      </c>
      <c r="D1968" t="s">
        <v>40</v>
      </c>
      <c r="E1968" t="s">
        <v>3397</v>
      </c>
      <c r="F1968" t="s">
        <v>3398</v>
      </c>
      <c r="G1968" t="s">
        <v>101</v>
      </c>
      <c r="H1968" t="s">
        <v>26</v>
      </c>
      <c r="I1968" t="s">
        <v>1740</v>
      </c>
      <c r="J1968" t="s">
        <v>93</v>
      </c>
      <c r="K1968" t="s">
        <v>94</v>
      </c>
      <c r="L1968" t="s">
        <v>700</v>
      </c>
      <c r="M1968" t="s">
        <v>31</v>
      </c>
      <c r="N1968" t="s">
        <v>46</v>
      </c>
      <c r="O1968" t="s">
        <v>701</v>
      </c>
      <c r="P1968">
        <v>457.48500000000001</v>
      </c>
      <c r="Q1968">
        <v>3</v>
      </c>
      <c r="R1968">
        <v>0.3</v>
      </c>
      <c r="S1968">
        <v>-84.961500000000001</v>
      </c>
      <c r="T1968" t="s">
        <v>48</v>
      </c>
      <c r="U1968" t="s">
        <v>60</v>
      </c>
    </row>
    <row r="1969" spans="1:21" x14ac:dyDescent="0.25">
      <c r="A1969" t="s">
        <v>4236</v>
      </c>
      <c r="B1969" s="1">
        <v>43069</v>
      </c>
      <c r="C1969" s="1">
        <v>43072</v>
      </c>
      <c r="D1969" t="s">
        <v>88</v>
      </c>
      <c r="E1969" t="s">
        <v>1716</v>
      </c>
      <c r="F1969" t="s">
        <v>1717</v>
      </c>
      <c r="G1969" t="s">
        <v>25</v>
      </c>
      <c r="H1969" t="s">
        <v>26</v>
      </c>
      <c r="I1969" t="s">
        <v>66</v>
      </c>
      <c r="J1969" t="s">
        <v>67</v>
      </c>
      <c r="K1969" t="s">
        <v>68</v>
      </c>
      <c r="L1969" t="s">
        <v>1601</v>
      </c>
      <c r="M1969" t="s">
        <v>31</v>
      </c>
      <c r="N1969" t="s">
        <v>37</v>
      </c>
      <c r="O1969" t="s">
        <v>1602</v>
      </c>
      <c r="P1969">
        <v>1079.316</v>
      </c>
      <c r="Q1969">
        <v>6</v>
      </c>
      <c r="R1969">
        <v>0.3</v>
      </c>
      <c r="S1969">
        <v>-15.418799999999999</v>
      </c>
      <c r="T1969" t="s">
        <v>34</v>
      </c>
      <c r="U1969" t="s">
        <v>35</v>
      </c>
    </row>
    <row r="1970" spans="1:21" x14ac:dyDescent="0.25">
      <c r="A1970" t="s">
        <v>4237</v>
      </c>
      <c r="B1970" s="1">
        <v>42883</v>
      </c>
      <c r="C1970" s="1">
        <v>42887</v>
      </c>
      <c r="D1970" t="s">
        <v>40</v>
      </c>
      <c r="E1970" t="s">
        <v>4238</v>
      </c>
      <c r="F1970" t="s">
        <v>4239</v>
      </c>
      <c r="G1970" t="s">
        <v>91</v>
      </c>
      <c r="H1970" t="s">
        <v>26</v>
      </c>
      <c r="I1970" t="s">
        <v>694</v>
      </c>
      <c r="J1970" t="s">
        <v>232</v>
      </c>
      <c r="K1970" t="s">
        <v>68</v>
      </c>
      <c r="L1970" t="s">
        <v>349</v>
      </c>
      <c r="M1970" t="s">
        <v>31</v>
      </c>
      <c r="N1970" t="s">
        <v>32</v>
      </c>
      <c r="O1970" t="s">
        <v>350</v>
      </c>
      <c r="P1970">
        <v>115.96</v>
      </c>
      <c r="Q1970">
        <v>4</v>
      </c>
      <c r="R1970">
        <v>0.5</v>
      </c>
      <c r="S1970">
        <v>-64.937600000000003</v>
      </c>
      <c r="T1970" t="s">
        <v>84</v>
      </c>
      <c r="U1970" t="s">
        <v>162</v>
      </c>
    </row>
    <row r="1971" spans="1:21" x14ac:dyDescent="0.25">
      <c r="A1971" t="s">
        <v>4240</v>
      </c>
      <c r="B1971" s="1">
        <v>42112</v>
      </c>
      <c r="C1971" s="1">
        <v>42116</v>
      </c>
      <c r="D1971" t="s">
        <v>22</v>
      </c>
      <c r="E1971" t="s">
        <v>470</v>
      </c>
      <c r="F1971" t="s">
        <v>471</v>
      </c>
      <c r="G1971" t="s">
        <v>91</v>
      </c>
      <c r="H1971" t="s">
        <v>26</v>
      </c>
      <c r="I1971" t="s">
        <v>4241</v>
      </c>
      <c r="J1971" t="s">
        <v>93</v>
      </c>
      <c r="K1971" t="s">
        <v>94</v>
      </c>
      <c r="L1971" t="s">
        <v>511</v>
      </c>
      <c r="M1971" t="s">
        <v>31</v>
      </c>
      <c r="N1971" t="s">
        <v>37</v>
      </c>
      <c r="O1971" t="s">
        <v>512</v>
      </c>
      <c r="P1971">
        <v>56.686</v>
      </c>
      <c r="Q1971">
        <v>1</v>
      </c>
      <c r="R1971">
        <v>0.3</v>
      </c>
      <c r="S1971">
        <v>-20.245000000000001</v>
      </c>
      <c r="T1971" t="s">
        <v>84</v>
      </c>
      <c r="U1971" t="s">
        <v>114</v>
      </c>
    </row>
    <row r="1972" spans="1:21" x14ac:dyDescent="0.25">
      <c r="A1972" t="s">
        <v>4242</v>
      </c>
      <c r="B1972" s="1">
        <v>42936</v>
      </c>
      <c r="C1972" s="1">
        <v>42941</v>
      </c>
      <c r="D1972" t="s">
        <v>40</v>
      </c>
      <c r="E1972" t="s">
        <v>681</v>
      </c>
      <c r="F1972" t="s">
        <v>682</v>
      </c>
      <c r="G1972" t="s">
        <v>91</v>
      </c>
      <c r="H1972" t="s">
        <v>26</v>
      </c>
      <c r="I1972" t="s">
        <v>174</v>
      </c>
      <c r="J1972" t="s">
        <v>121</v>
      </c>
      <c r="K1972" t="s">
        <v>68</v>
      </c>
      <c r="L1972" t="s">
        <v>4243</v>
      </c>
      <c r="M1972" t="s">
        <v>31</v>
      </c>
      <c r="N1972" t="s">
        <v>37</v>
      </c>
      <c r="O1972" t="s">
        <v>4244</v>
      </c>
      <c r="P1972">
        <v>163.76400000000001</v>
      </c>
      <c r="Q1972">
        <v>2</v>
      </c>
      <c r="R1972">
        <v>0.1</v>
      </c>
      <c r="S1972">
        <v>25.474399999999999</v>
      </c>
      <c r="T1972" t="s">
        <v>59</v>
      </c>
      <c r="U1972" t="s">
        <v>72</v>
      </c>
    </row>
    <row r="1973" spans="1:21" x14ac:dyDescent="0.25">
      <c r="A1973" t="s">
        <v>4242</v>
      </c>
      <c r="B1973" s="1">
        <v>42936</v>
      </c>
      <c r="C1973" s="1">
        <v>42941</v>
      </c>
      <c r="D1973" t="s">
        <v>40</v>
      </c>
      <c r="E1973" t="s">
        <v>681</v>
      </c>
      <c r="F1973" t="s">
        <v>682</v>
      </c>
      <c r="G1973" t="s">
        <v>91</v>
      </c>
      <c r="H1973" t="s">
        <v>26</v>
      </c>
      <c r="I1973" t="s">
        <v>174</v>
      </c>
      <c r="J1973" t="s">
        <v>121</v>
      </c>
      <c r="K1973" t="s">
        <v>68</v>
      </c>
      <c r="L1973" t="s">
        <v>3289</v>
      </c>
      <c r="M1973" t="s">
        <v>31</v>
      </c>
      <c r="N1973" t="s">
        <v>57</v>
      </c>
      <c r="O1973" t="s">
        <v>3290</v>
      </c>
      <c r="P1973">
        <v>183.92</v>
      </c>
      <c r="Q1973">
        <v>4</v>
      </c>
      <c r="R1973">
        <v>0</v>
      </c>
      <c r="S1973">
        <v>31.266400000000001</v>
      </c>
      <c r="T1973" t="s">
        <v>59</v>
      </c>
      <c r="U1973" t="s">
        <v>72</v>
      </c>
    </row>
    <row r="1974" spans="1:21" x14ac:dyDescent="0.25">
      <c r="A1974" t="s">
        <v>4245</v>
      </c>
      <c r="B1974" s="1">
        <v>42678</v>
      </c>
      <c r="C1974" s="1">
        <v>42682</v>
      </c>
      <c r="D1974" t="s">
        <v>40</v>
      </c>
      <c r="E1974" t="s">
        <v>4246</v>
      </c>
      <c r="F1974" t="s">
        <v>4247</v>
      </c>
      <c r="G1974" t="s">
        <v>25</v>
      </c>
      <c r="H1974" t="s">
        <v>26</v>
      </c>
      <c r="I1974" t="s">
        <v>102</v>
      </c>
      <c r="J1974" t="s">
        <v>93</v>
      </c>
      <c r="K1974" t="s">
        <v>94</v>
      </c>
      <c r="L1974" t="s">
        <v>2205</v>
      </c>
      <c r="M1974" t="s">
        <v>31</v>
      </c>
      <c r="N1974" t="s">
        <v>57</v>
      </c>
      <c r="O1974" t="s">
        <v>2206</v>
      </c>
      <c r="P1974">
        <v>11.375999999999999</v>
      </c>
      <c r="Q1974">
        <v>3</v>
      </c>
      <c r="R1974">
        <v>0.6</v>
      </c>
      <c r="S1974">
        <v>-5.6879999999999997</v>
      </c>
      <c r="T1974" t="s">
        <v>84</v>
      </c>
      <c r="U1974" t="s">
        <v>35</v>
      </c>
    </row>
    <row r="1975" spans="1:21" x14ac:dyDescent="0.25">
      <c r="A1975" t="s">
        <v>4245</v>
      </c>
      <c r="B1975" s="1">
        <v>42678</v>
      </c>
      <c r="C1975" s="1">
        <v>42682</v>
      </c>
      <c r="D1975" t="s">
        <v>40</v>
      </c>
      <c r="E1975" t="s">
        <v>4246</v>
      </c>
      <c r="F1975" t="s">
        <v>4247</v>
      </c>
      <c r="G1975" t="s">
        <v>25</v>
      </c>
      <c r="H1975" t="s">
        <v>26</v>
      </c>
      <c r="I1975" t="s">
        <v>102</v>
      </c>
      <c r="J1975" t="s">
        <v>93</v>
      </c>
      <c r="K1975" t="s">
        <v>94</v>
      </c>
      <c r="L1975" t="s">
        <v>597</v>
      </c>
      <c r="M1975" t="s">
        <v>31</v>
      </c>
      <c r="N1975" t="s">
        <v>57</v>
      </c>
      <c r="O1975" t="s">
        <v>598</v>
      </c>
      <c r="P1975">
        <v>66.111999999999995</v>
      </c>
      <c r="Q1975">
        <v>4</v>
      </c>
      <c r="R1975">
        <v>0.6</v>
      </c>
      <c r="S1975">
        <v>-84.2928</v>
      </c>
      <c r="T1975" t="s">
        <v>84</v>
      </c>
      <c r="U1975" t="s">
        <v>35</v>
      </c>
    </row>
    <row r="1976" spans="1:21" x14ac:dyDescent="0.25">
      <c r="A1976" t="s">
        <v>4248</v>
      </c>
      <c r="B1976" s="1">
        <v>43001</v>
      </c>
      <c r="C1976" s="1">
        <v>43007</v>
      </c>
      <c r="D1976" t="s">
        <v>40</v>
      </c>
      <c r="E1976" t="s">
        <v>1594</v>
      </c>
      <c r="F1976" t="s">
        <v>1595</v>
      </c>
      <c r="G1976" t="s">
        <v>25</v>
      </c>
      <c r="H1976" t="s">
        <v>26</v>
      </c>
      <c r="I1976" t="s">
        <v>53</v>
      </c>
      <c r="J1976" t="s">
        <v>54</v>
      </c>
      <c r="K1976" t="s">
        <v>55</v>
      </c>
      <c r="L1976" t="s">
        <v>1096</v>
      </c>
      <c r="M1976" t="s">
        <v>31</v>
      </c>
      <c r="N1976" t="s">
        <v>37</v>
      </c>
      <c r="O1976" t="s">
        <v>1097</v>
      </c>
      <c r="P1976">
        <v>594.81600000000003</v>
      </c>
      <c r="Q1976">
        <v>2</v>
      </c>
      <c r="R1976">
        <v>0.2</v>
      </c>
      <c r="S1976">
        <v>59.4816</v>
      </c>
      <c r="T1976" t="s">
        <v>130</v>
      </c>
      <c r="U1976" t="s">
        <v>78</v>
      </c>
    </row>
    <row r="1977" spans="1:21" x14ac:dyDescent="0.25">
      <c r="A1977" t="s">
        <v>4249</v>
      </c>
      <c r="B1977" s="1">
        <v>42985</v>
      </c>
      <c r="C1977" s="1">
        <v>42988</v>
      </c>
      <c r="D1977" t="s">
        <v>88</v>
      </c>
      <c r="E1977" t="s">
        <v>1917</v>
      </c>
      <c r="F1977" t="s">
        <v>1918</v>
      </c>
      <c r="G1977" t="s">
        <v>25</v>
      </c>
      <c r="H1977" t="s">
        <v>26</v>
      </c>
      <c r="I1977" t="s">
        <v>846</v>
      </c>
      <c r="J1977" t="s">
        <v>193</v>
      </c>
      <c r="K1977" t="s">
        <v>55</v>
      </c>
      <c r="L1977" t="s">
        <v>2796</v>
      </c>
      <c r="M1977" t="s">
        <v>31</v>
      </c>
      <c r="N1977" t="s">
        <v>57</v>
      </c>
      <c r="O1977" t="s">
        <v>2797</v>
      </c>
      <c r="P1977">
        <v>80.959999999999994</v>
      </c>
      <c r="Q1977">
        <v>4</v>
      </c>
      <c r="R1977">
        <v>0</v>
      </c>
      <c r="S1977">
        <v>34.812800000000003</v>
      </c>
      <c r="T1977" t="s">
        <v>34</v>
      </c>
      <c r="U1977" t="s">
        <v>78</v>
      </c>
    </row>
    <row r="1978" spans="1:21" x14ac:dyDescent="0.25">
      <c r="A1978" t="s">
        <v>4250</v>
      </c>
      <c r="B1978" s="1">
        <v>42856</v>
      </c>
      <c r="C1978" s="1">
        <v>42857</v>
      </c>
      <c r="D1978" t="s">
        <v>88</v>
      </c>
      <c r="E1978" t="s">
        <v>1473</v>
      </c>
      <c r="F1978" t="s">
        <v>1474</v>
      </c>
      <c r="G1978" t="s">
        <v>25</v>
      </c>
      <c r="H1978" t="s">
        <v>26</v>
      </c>
      <c r="I1978" t="s">
        <v>1099</v>
      </c>
      <c r="J1978" t="s">
        <v>44</v>
      </c>
      <c r="K1978" t="s">
        <v>29</v>
      </c>
      <c r="L1978" t="s">
        <v>30</v>
      </c>
      <c r="M1978" t="s">
        <v>31</v>
      </c>
      <c r="N1978" t="s">
        <v>32</v>
      </c>
      <c r="O1978" t="s">
        <v>33</v>
      </c>
      <c r="P1978">
        <v>314.35199999999998</v>
      </c>
      <c r="Q1978">
        <v>3</v>
      </c>
      <c r="R1978">
        <v>0.2</v>
      </c>
      <c r="S1978">
        <v>-15.717599999999999</v>
      </c>
      <c r="T1978" t="s">
        <v>124</v>
      </c>
      <c r="U1978" t="s">
        <v>162</v>
      </c>
    </row>
    <row r="1979" spans="1:21" x14ac:dyDescent="0.25">
      <c r="A1979" t="s">
        <v>4251</v>
      </c>
      <c r="B1979" s="1">
        <v>42783</v>
      </c>
      <c r="C1979" s="1">
        <v>42786</v>
      </c>
      <c r="D1979" t="s">
        <v>88</v>
      </c>
      <c r="E1979" t="s">
        <v>749</v>
      </c>
      <c r="F1979" t="s">
        <v>750</v>
      </c>
      <c r="G1979" t="s">
        <v>101</v>
      </c>
      <c r="H1979" t="s">
        <v>26</v>
      </c>
      <c r="I1979" t="s">
        <v>120</v>
      </c>
      <c r="J1979" t="s">
        <v>232</v>
      </c>
      <c r="K1979" t="s">
        <v>68</v>
      </c>
      <c r="L1979" t="s">
        <v>3190</v>
      </c>
      <c r="M1979" t="s">
        <v>31</v>
      </c>
      <c r="N1979" t="s">
        <v>46</v>
      </c>
      <c r="O1979" t="s">
        <v>3191</v>
      </c>
      <c r="P1979">
        <v>455.97</v>
      </c>
      <c r="Q1979">
        <v>5</v>
      </c>
      <c r="R1979">
        <v>0.4</v>
      </c>
      <c r="S1979">
        <v>-106.393</v>
      </c>
      <c r="T1979" t="s">
        <v>34</v>
      </c>
      <c r="U1979" t="s">
        <v>298</v>
      </c>
    </row>
    <row r="1980" spans="1:21" x14ac:dyDescent="0.25">
      <c r="A1980" t="s">
        <v>4251</v>
      </c>
      <c r="B1980" s="1">
        <v>42783</v>
      </c>
      <c r="C1980" s="1">
        <v>42786</v>
      </c>
      <c r="D1980" t="s">
        <v>88</v>
      </c>
      <c r="E1980" t="s">
        <v>749</v>
      </c>
      <c r="F1980" t="s">
        <v>750</v>
      </c>
      <c r="G1980" t="s">
        <v>101</v>
      </c>
      <c r="H1980" t="s">
        <v>26</v>
      </c>
      <c r="I1980" t="s">
        <v>120</v>
      </c>
      <c r="J1980" t="s">
        <v>232</v>
      </c>
      <c r="K1980" t="s">
        <v>68</v>
      </c>
      <c r="L1980" t="s">
        <v>1543</v>
      </c>
      <c r="M1980" t="s">
        <v>31</v>
      </c>
      <c r="N1980" t="s">
        <v>57</v>
      </c>
      <c r="O1980" t="s">
        <v>1544</v>
      </c>
      <c r="P1980">
        <v>30.143999999999998</v>
      </c>
      <c r="Q1980">
        <v>2</v>
      </c>
      <c r="R1980">
        <v>0.2</v>
      </c>
      <c r="S1980">
        <v>8.2896000000000001</v>
      </c>
      <c r="T1980" t="s">
        <v>34</v>
      </c>
      <c r="U1980" t="s">
        <v>298</v>
      </c>
    </row>
    <row r="1981" spans="1:21" x14ac:dyDescent="0.25">
      <c r="A1981" t="s">
        <v>4251</v>
      </c>
      <c r="B1981" s="1">
        <v>42783</v>
      </c>
      <c r="C1981" s="1">
        <v>42786</v>
      </c>
      <c r="D1981" t="s">
        <v>88</v>
      </c>
      <c r="E1981" t="s">
        <v>749</v>
      </c>
      <c r="F1981" t="s">
        <v>750</v>
      </c>
      <c r="G1981" t="s">
        <v>101</v>
      </c>
      <c r="H1981" t="s">
        <v>26</v>
      </c>
      <c r="I1981" t="s">
        <v>120</v>
      </c>
      <c r="J1981" t="s">
        <v>232</v>
      </c>
      <c r="K1981" t="s">
        <v>68</v>
      </c>
      <c r="L1981" t="s">
        <v>1601</v>
      </c>
      <c r="M1981" t="s">
        <v>31</v>
      </c>
      <c r="N1981" t="s">
        <v>37</v>
      </c>
      <c r="O1981" t="s">
        <v>1602</v>
      </c>
      <c r="P1981">
        <v>899.43</v>
      </c>
      <c r="Q1981">
        <v>5</v>
      </c>
      <c r="R1981">
        <v>0.3</v>
      </c>
      <c r="S1981">
        <v>-12.849</v>
      </c>
      <c r="T1981" t="s">
        <v>34</v>
      </c>
      <c r="U1981" t="s">
        <v>298</v>
      </c>
    </row>
    <row r="1982" spans="1:21" x14ac:dyDescent="0.25">
      <c r="A1982" t="s">
        <v>4252</v>
      </c>
      <c r="B1982" s="1">
        <v>42726</v>
      </c>
      <c r="C1982" s="1">
        <v>42732</v>
      </c>
      <c r="D1982" t="s">
        <v>40</v>
      </c>
      <c r="E1982" t="s">
        <v>2643</v>
      </c>
      <c r="F1982" t="s">
        <v>2644</v>
      </c>
      <c r="G1982" t="s">
        <v>25</v>
      </c>
      <c r="H1982" t="s">
        <v>26</v>
      </c>
      <c r="I1982" t="s">
        <v>4253</v>
      </c>
      <c r="J1982" t="s">
        <v>54</v>
      </c>
      <c r="K1982" t="s">
        <v>55</v>
      </c>
      <c r="L1982" t="s">
        <v>3618</v>
      </c>
      <c r="M1982" t="s">
        <v>31</v>
      </c>
      <c r="N1982" t="s">
        <v>57</v>
      </c>
      <c r="O1982" t="s">
        <v>3619</v>
      </c>
      <c r="P1982">
        <v>842.72</v>
      </c>
      <c r="Q1982">
        <v>8</v>
      </c>
      <c r="R1982">
        <v>0</v>
      </c>
      <c r="S1982">
        <v>202.25280000000001</v>
      </c>
      <c r="T1982" t="s">
        <v>130</v>
      </c>
      <c r="U1982" t="s">
        <v>97</v>
      </c>
    </row>
    <row r="1983" spans="1:21" x14ac:dyDescent="0.25">
      <c r="A1983" t="s">
        <v>4252</v>
      </c>
      <c r="B1983" s="1">
        <v>42726</v>
      </c>
      <c r="C1983" s="1">
        <v>42732</v>
      </c>
      <c r="D1983" t="s">
        <v>40</v>
      </c>
      <c r="E1983" t="s">
        <v>2643</v>
      </c>
      <c r="F1983" t="s">
        <v>2644</v>
      </c>
      <c r="G1983" t="s">
        <v>25</v>
      </c>
      <c r="H1983" t="s">
        <v>26</v>
      </c>
      <c r="I1983" t="s">
        <v>4253</v>
      </c>
      <c r="J1983" t="s">
        <v>54</v>
      </c>
      <c r="K1983" t="s">
        <v>55</v>
      </c>
      <c r="L1983" t="s">
        <v>187</v>
      </c>
      <c r="M1983" t="s">
        <v>31</v>
      </c>
      <c r="N1983" t="s">
        <v>57</v>
      </c>
      <c r="O1983" t="s">
        <v>188</v>
      </c>
      <c r="P1983">
        <v>41.96</v>
      </c>
      <c r="Q1983">
        <v>2</v>
      </c>
      <c r="R1983">
        <v>0</v>
      </c>
      <c r="S1983">
        <v>10.909599999999999</v>
      </c>
      <c r="T1983" t="s">
        <v>130</v>
      </c>
      <c r="U1983" t="s">
        <v>97</v>
      </c>
    </row>
    <row r="1984" spans="1:21" x14ac:dyDescent="0.25">
      <c r="A1984" t="s">
        <v>4254</v>
      </c>
      <c r="B1984" s="1">
        <v>42636</v>
      </c>
      <c r="C1984" s="1">
        <v>42640</v>
      </c>
      <c r="D1984" t="s">
        <v>40</v>
      </c>
      <c r="E1984" t="s">
        <v>4255</v>
      </c>
      <c r="F1984" t="s">
        <v>4256</v>
      </c>
      <c r="G1984" t="s">
        <v>91</v>
      </c>
      <c r="H1984" t="s">
        <v>26</v>
      </c>
      <c r="I1984" t="s">
        <v>192</v>
      </c>
      <c r="J1984" t="s">
        <v>193</v>
      </c>
      <c r="K1984" t="s">
        <v>55</v>
      </c>
      <c r="L1984" t="s">
        <v>489</v>
      </c>
      <c r="M1984" t="s">
        <v>31</v>
      </c>
      <c r="N1984" t="s">
        <v>37</v>
      </c>
      <c r="O1984" t="s">
        <v>490</v>
      </c>
      <c r="P1984">
        <v>184.75200000000001</v>
      </c>
      <c r="Q1984">
        <v>3</v>
      </c>
      <c r="R1984">
        <v>0.2</v>
      </c>
      <c r="S1984">
        <v>-20.784600000000001</v>
      </c>
      <c r="T1984" t="s">
        <v>84</v>
      </c>
      <c r="U1984" t="s">
        <v>78</v>
      </c>
    </row>
    <row r="1985" spans="1:21" x14ac:dyDescent="0.25">
      <c r="A1985" t="s">
        <v>4257</v>
      </c>
      <c r="B1985" s="1">
        <v>43002</v>
      </c>
      <c r="C1985" s="1">
        <v>43004</v>
      </c>
      <c r="D1985" t="s">
        <v>88</v>
      </c>
      <c r="E1985" t="s">
        <v>546</v>
      </c>
      <c r="F1985" t="s">
        <v>547</v>
      </c>
      <c r="G1985" t="s">
        <v>25</v>
      </c>
      <c r="H1985" t="s">
        <v>26</v>
      </c>
      <c r="I1985" t="s">
        <v>134</v>
      </c>
      <c r="J1985" t="s">
        <v>135</v>
      </c>
      <c r="K1985" t="s">
        <v>94</v>
      </c>
      <c r="L1985" t="s">
        <v>1096</v>
      </c>
      <c r="M1985" t="s">
        <v>31</v>
      </c>
      <c r="N1985" t="s">
        <v>37</v>
      </c>
      <c r="O1985" t="s">
        <v>1097</v>
      </c>
      <c r="P1985">
        <v>520.46400000000006</v>
      </c>
      <c r="Q1985">
        <v>2</v>
      </c>
      <c r="R1985">
        <v>0.3</v>
      </c>
      <c r="S1985">
        <v>-14.8704</v>
      </c>
      <c r="T1985" t="s">
        <v>71</v>
      </c>
      <c r="U1985" t="s">
        <v>78</v>
      </c>
    </row>
    <row r="1986" spans="1:21" x14ac:dyDescent="0.25">
      <c r="A1986" t="s">
        <v>4258</v>
      </c>
      <c r="B1986" s="1">
        <v>42394</v>
      </c>
      <c r="C1986" s="1">
        <v>42397</v>
      </c>
      <c r="D1986" t="s">
        <v>22</v>
      </c>
      <c r="E1986" t="s">
        <v>226</v>
      </c>
      <c r="F1986" t="s">
        <v>227</v>
      </c>
      <c r="G1986" t="s">
        <v>91</v>
      </c>
      <c r="H1986" t="s">
        <v>26</v>
      </c>
      <c r="I1986" t="s">
        <v>174</v>
      </c>
      <c r="J1986" t="s">
        <v>121</v>
      </c>
      <c r="K1986" t="s">
        <v>68</v>
      </c>
      <c r="L1986" t="s">
        <v>785</v>
      </c>
      <c r="M1986" t="s">
        <v>31</v>
      </c>
      <c r="N1986" t="s">
        <v>46</v>
      </c>
      <c r="O1986" t="s">
        <v>786</v>
      </c>
      <c r="P1986">
        <v>313.72199999999998</v>
      </c>
      <c r="Q1986">
        <v>3</v>
      </c>
      <c r="R1986">
        <v>0.4</v>
      </c>
      <c r="S1986">
        <v>-99.345299999999995</v>
      </c>
      <c r="T1986" t="s">
        <v>34</v>
      </c>
      <c r="U1986" t="s">
        <v>170</v>
      </c>
    </row>
    <row r="1987" spans="1:21" x14ac:dyDescent="0.25">
      <c r="A1987" t="s">
        <v>4258</v>
      </c>
      <c r="B1987" s="1">
        <v>42394</v>
      </c>
      <c r="C1987" s="1">
        <v>42397</v>
      </c>
      <c r="D1987" t="s">
        <v>22</v>
      </c>
      <c r="E1987" t="s">
        <v>226</v>
      </c>
      <c r="F1987" t="s">
        <v>227</v>
      </c>
      <c r="G1987" t="s">
        <v>91</v>
      </c>
      <c r="H1987" t="s">
        <v>26</v>
      </c>
      <c r="I1987" t="s">
        <v>174</v>
      </c>
      <c r="J1987" t="s">
        <v>121</v>
      </c>
      <c r="K1987" t="s">
        <v>68</v>
      </c>
      <c r="L1987" t="s">
        <v>3289</v>
      </c>
      <c r="M1987" t="s">
        <v>31</v>
      </c>
      <c r="N1987" t="s">
        <v>57</v>
      </c>
      <c r="O1987" t="s">
        <v>3290</v>
      </c>
      <c r="P1987">
        <v>45.98</v>
      </c>
      <c r="Q1987">
        <v>1</v>
      </c>
      <c r="R1987">
        <v>0</v>
      </c>
      <c r="S1987">
        <v>7.8166000000000002</v>
      </c>
      <c r="T1987" t="s">
        <v>34</v>
      </c>
      <c r="U1987" t="s">
        <v>170</v>
      </c>
    </row>
    <row r="1988" spans="1:21" x14ac:dyDescent="0.25">
      <c r="A1988" t="s">
        <v>4259</v>
      </c>
      <c r="B1988" s="1">
        <v>42815</v>
      </c>
      <c r="C1988" s="1">
        <v>42819</v>
      </c>
      <c r="D1988" t="s">
        <v>40</v>
      </c>
      <c r="E1988" t="s">
        <v>132</v>
      </c>
      <c r="F1988" t="s">
        <v>133</v>
      </c>
      <c r="G1988" t="s">
        <v>101</v>
      </c>
      <c r="H1988" t="s">
        <v>26</v>
      </c>
      <c r="I1988" t="s">
        <v>192</v>
      </c>
      <c r="J1988" t="s">
        <v>193</v>
      </c>
      <c r="K1988" t="s">
        <v>55</v>
      </c>
      <c r="L1988" t="s">
        <v>1719</v>
      </c>
      <c r="M1988" t="s">
        <v>31</v>
      </c>
      <c r="N1988" t="s">
        <v>57</v>
      </c>
      <c r="O1988" t="s">
        <v>1720</v>
      </c>
      <c r="P1988">
        <v>22.14</v>
      </c>
      <c r="Q1988">
        <v>3</v>
      </c>
      <c r="R1988">
        <v>0</v>
      </c>
      <c r="S1988">
        <v>6.4206000000000003</v>
      </c>
      <c r="T1988" t="s">
        <v>84</v>
      </c>
      <c r="U1988" t="s">
        <v>196</v>
      </c>
    </row>
    <row r="1989" spans="1:21" x14ac:dyDescent="0.25">
      <c r="A1989" t="s">
        <v>4260</v>
      </c>
      <c r="B1989" s="1">
        <v>43046</v>
      </c>
      <c r="C1989" s="1">
        <v>43048</v>
      </c>
      <c r="D1989" t="s">
        <v>22</v>
      </c>
      <c r="E1989" t="s">
        <v>3489</v>
      </c>
      <c r="F1989" t="s">
        <v>3490</v>
      </c>
      <c r="G1989" t="s">
        <v>91</v>
      </c>
      <c r="H1989" t="s">
        <v>26</v>
      </c>
      <c r="I1989" t="s">
        <v>2523</v>
      </c>
      <c r="J1989" t="s">
        <v>1090</v>
      </c>
      <c r="K1989" t="s">
        <v>68</v>
      </c>
      <c r="L1989" t="s">
        <v>2181</v>
      </c>
      <c r="M1989" t="s">
        <v>31</v>
      </c>
      <c r="N1989" t="s">
        <v>37</v>
      </c>
      <c r="O1989" t="s">
        <v>2182</v>
      </c>
      <c r="P1989">
        <v>272.97000000000003</v>
      </c>
      <c r="Q1989">
        <v>3</v>
      </c>
      <c r="R1989">
        <v>0</v>
      </c>
      <c r="S1989">
        <v>43.675199999999997</v>
      </c>
      <c r="T1989" t="s">
        <v>71</v>
      </c>
      <c r="U1989" t="s">
        <v>35</v>
      </c>
    </row>
    <row r="1990" spans="1:21" x14ac:dyDescent="0.25">
      <c r="A1990" t="s">
        <v>4261</v>
      </c>
      <c r="B1990" s="1">
        <v>42153</v>
      </c>
      <c r="C1990" s="1">
        <v>42155</v>
      </c>
      <c r="D1990" t="s">
        <v>88</v>
      </c>
      <c r="E1990" t="s">
        <v>3528</v>
      </c>
      <c r="F1990" t="s">
        <v>3529</v>
      </c>
      <c r="G1990" t="s">
        <v>91</v>
      </c>
      <c r="H1990" t="s">
        <v>26</v>
      </c>
      <c r="I1990" t="s">
        <v>348</v>
      </c>
      <c r="J1990" t="s">
        <v>232</v>
      </c>
      <c r="K1990" t="s">
        <v>68</v>
      </c>
      <c r="L1990" t="s">
        <v>3826</v>
      </c>
      <c r="M1990" t="s">
        <v>31</v>
      </c>
      <c r="N1990" t="s">
        <v>57</v>
      </c>
      <c r="O1990" t="s">
        <v>3827</v>
      </c>
      <c r="P1990">
        <v>41.567999999999998</v>
      </c>
      <c r="Q1990">
        <v>4</v>
      </c>
      <c r="R1990">
        <v>0.2</v>
      </c>
      <c r="S1990">
        <v>-4.1567999999999996</v>
      </c>
      <c r="T1990" t="s">
        <v>71</v>
      </c>
      <c r="U1990" t="s">
        <v>162</v>
      </c>
    </row>
    <row r="1991" spans="1:21" x14ac:dyDescent="0.25">
      <c r="A1991" t="s">
        <v>4261</v>
      </c>
      <c r="B1991" s="1">
        <v>42153</v>
      </c>
      <c r="C1991" s="1">
        <v>42155</v>
      </c>
      <c r="D1991" t="s">
        <v>88</v>
      </c>
      <c r="E1991" t="s">
        <v>3528</v>
      </c>
      <c r="F1991" t="s">
        <v>3529</v>
      </c>
      <c r="G1991" t="s">
        <v>91</v>
      </c>
      <c r="H1991" t="s">
        <v>26</v>
      </c>
      <c r="I1991" t="s">
        <v>348</v>
      </c>
      <c r="J1991" t="s">
        <v>232</v>
      </c>
      <c r="K1991" t="s">
        <v>68</v>
      </c>
      <c r="L1991" t="s">
        <v>160</v>
      </c>
      <c r="M1991" t="s">
        <v>31</v>
      </c>
      <c r="N1991" t="s">
        <v>37</v>
      </c>
      <c r="O1991" t="s">
        <v>161</v>
      </c>
      <c r="P1991">
        <v>317.05799999999999</v>
      </c>
      <c r="Q1991">
        <v>3</v>
      </c>
      <c r="R1991">
        <v>0.3</v>
      </c>
      <c r="S1991">
        <v>-86.058599999999998</v>
      </c>
      <c r="T1991" t="s">
        <v>71</v>
      </c>
      <c r="U1991" t="s">
        <v>162</v>
      </c>
    </row>
    <row r="1992" spans="1:21" x14ac:dyDescent="0.25">
      <c r="A1992" t="s">
        <v>4262</v>
      </c>
      <c r="B1992" s="1">
        <v>41996</v>
      </c>
      <c r="C1992" s="1">
        <v>42000</v>
      </c>
      <c r="D1992" t="s">
        <v>22</v>
      </c>
      <c r="E1992" t="s">
        <v>2841</v>
      </c>
      <c r="F1992" t="s">
        <v>2842</v>
      </c>
      <c r="G1992" t="s">
        <v>25</v>
      </c>
      <c r="H1992" t="s">
        <v>26</v>
      </c>
      <c r="I1992" t="s">
        <v>304</v>
      </c>
      <c r="J1992" t="s">
        <v>44</v>
      </c>
      <c r="K1992" t="s">
        <v>29</v>
      </c>
      <c r="L1992" t="s">
        <v>256</v>
      </c>
      <c r="M1992" t="s">
        <v>31</v>
      </c>
      <c r="N1992" t="s">
        <v>37</v>
      </c>
      <c r="O1992" t="s">
        <v>257</v>
      </c>
      <c r="P1992">
        <v>64.784000000000006</v>
      </c>
      <c r="Q1992">
        <v>1</v>
      </c>
      <c r="R1992">
        <v>0.2</v>
      </c>
      <c r="S1992">
        <v>6.4783999999999997</v>
      </c>
      <c r="T1992" t="s">
        <v>84</v>
      </c>
      <c r="U1992" t="s">
        <v>97</v>
      </c>
    </row>
    <row r="1993" spans="1:21" x14ac:dyDescent="0.25">
      <c r="A1993" t="s">
        <v>4263</v>
      </c>
      <c r="B1993" s="1">
        <v>42974</v>
      </c>
      <c r="C1993" s="1">
        <v>42978</v>
      </c>
      <c r="D1993" t="s">
        <v>40</v>
      </c>
      <c r="E1993" t="s">
        <v>1971</v>
      </c>
      <c r="F1993" t="s">
        <v>1972</v>
      </c>
      <c r="G1993" t="s">
        <v>25</v>
      </c>
      <c r="H1993" t="s">
        <v>26</v>
      </c>
      <c r="I1993" t="s">
        <v>915</v>
      </c>
      <c r="J1993" t="s">
        <v>521</v>
      </c>
      <c r="K1993" t="s">
        <v>55</v>
      </c>
      <c r="L1993" t="s">
        <v>1543</v>
      </c>
      <c r="M1993" t="s">
        <v>31</v>
      </c>
      <c r="N1993" t="s">
        <v>57</v>
      </c>
      <c r="O1993" t="s">
        <v>1544</v>
      </c>
      <c r="P1993">
        <v>120.57599999999999</v>
      </c>
      <c r="Q1993">
        <v>8</v>
      </c>
      <c r="R1993">
        <v>0.2</v>
      </c>
      <c r="S1993">
        <v>33.1584</v>
      </c>
      <c r="T1993" t="s">
        <v>84</v>
      </c>
      <c r="U1993" t="s">
        <v>254</v>
      </c>
    </row>
    <row r="1994" spans="1:21" x14ac:dyDescent="0.25">
      <c r="A1994" t="s">
        <v>4264</v>
      </c>
      <c r="B1994" s="1">
        <v>42302</v>
      </c>
      <c r="C1994" s="1">
        <v>42302</v>
      </c>
      <c r="D1994" t="s">
        <v>426</v>
      </c>
      <c r="E1994" t="s">
        <v>1009</v>
      </c>
      <c r="F1994" t="s">
        <v>1010</v>
      </c>
      <c r="G1994" t="s">
        <v>91</v>
      </c>
      <c r="H1994" t="s">
        <v>26</v>
      </c>
      <c r="I1994" t="s">
        <v>266</v>
      </c>
      <c r="J1994" t="s">
        <v>181</v>
      </c>
      <c r="K1994" t="s">
        <v>55</v>
      </c>
      <c r="L1994" t="s">
        <v>2181</v>
      </c>
      <c r="M1994" t="s">
        <v>31</v>
      </c>
      <c r="N1994" t="s">
        <v>37</v>
      </c>
      <c r="O1994" t="s">
        <v>2182</v>
      </c>
      <c r="P1994">
        <v>582.33600000000001</v>
      </c>
      <c r="Q1994">
        <v>8</v>
      </c>
      <c r="R1994">
        <v>0.2</v>
      </c>
      <c r="S1994">
        <v>-29.116800000000001</v>
      </c>
      <c r="T1994" t="s">
        <v>431</v>
      </c>
      <c r="U1994" t="s">
        <v>49</v>
      </c>
    </row>
    <row r="1995" spans="1:21" x14ac:dyDescent="0.25">
      <c r="A1995" t="s">
        <v>4265</v>
      </c>
      <c r="B1995" s="1">
        <v>41902</v>
      </c>
      <c r="C1995" s="1">
        <v>41905</v>
      </c>
      <c r="D1995" t="s">
        <v>88</v>
      </c>
      <c r="E1995" t="s">
        <v>4266</v>
      </c>
      <c r="F1995" t="s">
        <v>4267</v>
      </c>
      <c r="G1995" t="s">
        <v>25</v>
      </c>
      <c r="H1995" t="s">
        <v>26</v>
      </c>
      <c r="I1995" t="s">
        <v>174</v>
      </c>
      <c r="J1995" t="s">
        <v>121</v>
      </c>
      <c r="K1995" t="s">
        <v>68</v>
      </c>
      <c r="L1995" t="s">
        <v>852</v>
      </c>
      <c r="M1995" t="s">
        <v>31</v>
      </c>
      <c r="N1995" t="s">
        <v>37</v>
      </c>
      <c r="O1995" t="s">
        <v>853</v>
      </c>
      <c r="P1995">
        <v>631.78200000000004</v>
      </c>
      <c r="Q1995">
        <v>2</v>
      </c>
      <c r="R1995">
        <v>0.1</v>
      </c>
      <c r="S1995">
        <v>140.39599999999999</v>
      </c>
      <c r="T1995" t="s">
        <v>34</v>
      </c>
      <c r="U1995" t="s">
        <v>78</v>
      </c>
    </row>
    <row r="1996" spans="1:21" x14ac:dyDescent="0.25">
      <c r="A1996" t="s">
        <v>4265</v>
      </c>
      <c r="B1996" s="1">
        <v>41902</v>
      </c>
      <c r="C1996" s="1">
        <v>41905</v>
      </c>
      <c r="D1996" t="s">
        <v>88</v>
      </c>
      <c r="E1996" t="s">
        <v>4266</v>
      </c>
      <c r="F1996" t="s">
        <v>4267</v>
      </c>
      <c r="G1996" t="s">
        <v>25</v>
      </c>
      <c r="H1996" t="s">
        <v>26</v>
      </c>
      <c r="I1996" t="s">
        <v>174</v>
      </c>
      <c r="J1996" t="s">
        <v>121</v>
      </c>
      <c r="K1996" t="s">
        <v>68</v>
      </c>
      <c r="L1996" t="s">
        <v>1696</v>
      </c>
      <c r="M1996" t="s">
        <v>31</v>
      </c>
      <c r="N1996" t="s">
        <v>32</v>
      </c>
      <c r="O1996" t="s">
        <v>1697</v>
      </c>
      <c r="P1996">
        <v>801.56799999999998</v>
      </c>
      <c r="Q1996">
        <v>2</v>
      </c>
      <c r="R1996">
        <v>0.2</v>
      </c>
      <c r="S1996">
        <v>-10.019600000000001</v>
      </c>
      <c r="T1996" t="s">
        <v>34</v>
      </c>
      <c r="U1996" t="s">
        <v>78</v>
      </c>
    </row>
    <row r="1997" spans="1:21" x14ac:dyDescent="0.25">
      <c r="A1997" t="s">
        <v>4268</v>
      </c>
      <c r="B1997" s="1">
        <v>41814</v>
      </c>
      <c r="C1997" s="1">
        <v>41818</v>
      </c>
      <c r="D1997" t="s">
        <v>40</v>
      </c>
      <c r="E1997" t="s">
        <v>616</v>
      </c>
      <c r="F1997" t="s">
        <v>617</v>
      </c>
      <c r="G1997" t="s">
        <v>25</v>
      </c>
      <c r="H1997" t="s">
        <v>26</v>
      </c>
      <c r="I1997" t="s">
        <v>1223</v>
      </c>
      <c r="J1997" t="s">
        <v>521</v>
      </c>
      <c r="K1997" t="s">
        <v>55</v>
      </c>
      <c r="L1997" t="s">
        <v>2514</v>
      </c>
      <c r="M1997" t="s">
        <v>31</v>
      </c>
      <c r="N1997" t="s">
        <v>57</v>
      </c>
      <c r="O1997" t="s">
        <v>2515</v>
      </c>
      <c r="P1997">
        <v>4.2720000000000002</v>
      </c>
      <c r="Q1997">
        <v>2</v>
      </c>
      <c r="R1997">
        <v>0.2</v>
      </c>
      <c r="S1997">
        <v>0.96120000000000005</v>
      </c>
      <c r="T1997" t="s">
        <v>84</v>
      </c>
      <c r="U1997" t="s">
        <v>60</v>
      </c>
    </row>
    <row r="1998" spans="1:21" x14ac:dyDescent="0.25">
      <c r="A1998" t="s">
        <v>4269</v>
      </c>
      <c r="B1998" s="1">
        <v>42594</v>
      </c>
      <c r="C1998" s="1">
        <v>42599</v>
      </c>
      <c r="D1998" t="s">
        <v>22</v>
      </c>
      <c r="E1998" t="s">
        <v>1132</v>
      </c>
      <c r="F1998" t="s">
        <v>1133</v>
      </c>
      <c r="G1998" t="s">
        <v>25</v>
      </c>
      <c r="H1998" t="s">
        <v>26</v>
      </c>
      <c r="I1998" t="s">
        <v>174</v>
      </c>
      <c r="J1998" t="s">
        <v>121</v>
      </c>
      <c r="K1998" t="s">
        <v>68</v>
      </c>
      <c r="L1998" t="s">
        <v>785</v>
      </c>
      <c r="M1998" t="s">
        <v>31</v>
      </c>
      <c r="N1998" t="s">
        <v>46</v>
      </c>
      <c r="O1998" t="s">
        <v>786</v>
      </c>
      <c r="P1998">
        <v>209.148</v>
      </c>
      <c r="Q1998">
        <v>2</v>
      </c>
      <c r="R1998">
        <v>0.4</v>
      </c>
      <c r="S1998">
        <v>-66.230199999999996</v>
      </c>
      <c r="T1998" t="s">
        <v>59</v>
      </c>
      <c r="U1998" t="s">
        <v>254</v>
      </c>
    </row>
    <row r="1999" spans="1:21" x14ac:dyDescent="0.25">
      <c r="A1999" t="s">
        <v>4270</v>
      </c>
      <c r="B1999" s="1">
        <v>43000</v>
      </c>
      <c r="C1999" s="1">
        <v>43002</v>
      </c>
      <c r="D1999" t="s">
        <v>22</v>
      </c>
      <c r="E1999" t="s">
        <v>1171</v>
      </c>
      <c r="F1999" t="s">
        <v>1172</v>
      </c>
      <c r="G1999" t="s">
        <v>25</v>
      </c>
      <c r="H1999" t="s">
        <v>26</v>
      </c>
      <c r="I1999" t="s">
        <v>174</v>
      </c>
      <c r="J1999" t="s">
        <v>121</v>
      </c>
      <c r="K1999" t="s">
        <v>68</v>
      </c>
      <c r="L1999" t="s">
        <v>552</v>
      </c>
      <c r="M1999" t="s">
        <v>31</v>
      </c>
      <c r="N1999" t="s">
        <v>57</v>
      </c>
      <c r="O1999" t="s">
        <v>3126</v>
      </c>
      <c r="P1999">
        <v>12.07</v>
      </c>
      <c r="Q1999">
        <v>1</v>
      </c>
      <c r="R1999">
        <v>0</v>
      </c>
      <c r="S1999">
        <v>3.9830999999999999</v>
      </c>
      <c r="T1999" t="s">
        <v>71</v>
      </c>
      <c r="U1999" t="s">
        <v>78</v>
      </c>
    </row>
    <row r="2000" spans="1:21" x14ac:dyDescent="0.25">
      <c r="A2000" t="s">
        <v>4271</v>
      </c>
      <c r="B2000" s="1">
        <v>43079</v>
      </c>
      <c r="C2000" s="1">
        <v>43082</v>
      </c>
      <c r="D2000" t="s">
        <v>88</v>
      </c>
      <c r="E2000" t="s">
        <v>1731</v>
      </c>
      <c r="F2000" t="s">
        <v>1732</v>
      </c>
      <c r="G2000" t="s">
        <v>25</v>
      </c>
      <c r="H2000" t="s">
        <v>26</v>
      </c>
      <c r="I2000" t="s">
        <v>66</v>
      </c>
      <c r="J2000" t="s">
        <v>67</v>
      </c>
      <c r="K2000" t="s">
        <v>68</v>
      </c>
      <c r="L2000" t="s">
        <v>631</v>
      </c>
      <c r="M2000" t="s">
        <v>31</v>
      </c>
      <c r="N2000" t="s">
        <v>57</v>
      </c>
      <c r="O2000" t="s">
        <v>632</v>
      </c>
      <c r="P2000">
        <v>87.92</v>
      </c>
      <c r="Q2000">
        <v>5</v>
      </c>
      <c r="R2000">
        <v>0.2</v>
      </c>
      <c r="S2000">
        <v>15.385999999999999</v>
      </c>
      <c r="T2000" t="s">
        <v>34</v>
      </c>
      <c r="U2000" t="s">
        <v>97</v>
      </c>
    </row>
    <row r="2001" spans="1:21" x14ac:dyDescent="0.25">
      <c r="A2001" t="s">
        <v>4272</v>
      </c>
      <c r="B2001" s="1">
        <v>42031</v>
      </c>
      <c r="C2001" s="1">
        <v>42033</v>
      </c>
      <c r="D2001" t="s">
        <v>88</v>
      </c>
      <c r="E2001" t="s">
        <v>3684</v>
      </c>
      <c r="F2001" t="s">
        <v>3685</v>
      </c>
      <c r="G2001" t="s">
        <v>25</v>
      </c>
      <c r="H2001" t="s">
        <v>26</v>
      </c>
      <c r="I2001" t="s">
        <v>53</v>
      </c>
      <c r="J2001" t="s">
        <v>54</v>
      </c>
      <c r="K2001" t="s">
        <v>55</v>
      </c>
      <c r="L2001" t="s">
        <v>602</v>
      </c>
      <c r="M2001" t="s">
        <v>31</v>
      </c>
      <c r="N2001" t="s">
        <v>37</v>
      </c>
      <c r="O2001" t="s">
        <v>603</v>
      </c>
      <c r="P2001">
        <v>2803.92</v>
      </c>
      <c r="Q2001">
        <v>5</v>
      </c>
      <c r="R2001">
        <v>0.2</v>
      </c>
      <c r="S2001">
        <v>0</v>
      </c>
      <c r="T2001" t="s">
        <v>71</v>
      </c>
      <c r="U2001" t="s">
        <v>170</v>
      </c>
    </row>
    <row r="2002" spans="1:21" x14ac:dyDescent="0.25">
      <c r="A2002" t="s">
        <v>4273</v>
      </c>
      <c r="B2002" s="1">
        <v>42295</v>
      </c>
      <c r="C2002" s="1">
        <v>42299</v>
      </c>
      <c r="D2002" t="s">
        <v>40</v>
      </c>
      <c r="E2002" t="s">
        <v>2507</v>
      </c>
      <c r="F2002" t="s">
        <v>2508</v>
      </c>
      <c r="G2002" t="s">
        <v>25</v>
      </c>
      <c r="H2002" t="s">
        <v>26</v>
      </c>
      <c r="I2002" t="s">
        <v>192</v>
      </c>
      <c r="J2002" t="s">
        <v>193</v>
      </c>
      <c r="K2002" t="s">
        <v>55</v>
      </c>
      <c r="L2002" t="s">
        <v>320</v>
      </c>
      <c r="M2002" t="s">
        <v>31</v>
      </c>
      <c r="N2002" t="s">
        <v>57</v>
      </c>
      <c r="O2002" t="s">
        <v>321</v>
      </c>
      <c r="P2002">
        <v>10.11</v>
      </c>
      <c r="Q2002">
        <v>3</v>
      </c>
      <c r="R2002">
        <v>0</v>
      </c>
      <c r="S2002">
        <v>3.2351999999999999</v>
      </c>
      <c r="T2002" t="s">
        <v>84</v>
      </c>
      <c r="U2002" t="s">
        <v>49</v>
      </c>
    </row>
    <row r="2003" spans="1:21" x14ac:dyDescent="0.25">
      <c r="A2003" t="s">
        <v>4274</v>
      </c>
      <c r="B2003" s="1">
        <v>41894</v>
      </c>
      <c r="C2003" s="1">
        <v>41899</v>
      </c>
      <c r="D2003" t="s">
        <v>22</v>
      </c>
      <c r="E2003" t="s">
        <v>3845</v>
      </c>
      <c r="F2003" t="s">
        <v>3846</v>
      </c>
      <c r="G2003" t="s">
        <v>25</v>
      </c>
      <c r="H2003" t="s">
        <v>26</v>
      </c>
      <c r="I2003" t="s">
        <v>174</v>
      </c>
      <c r="J2003" t="s">
        <v>121</v>
      </c>
      <c r="K2003" t="s">
        <v>68</v>
      </c>
      <c r="L2003" t="s">
        <v>602</v>
      </c>
      <c r="M2003" t="s">
        <v>31</v>
      </c>
      <c r="N2003" t="s">
        <v>37</v>
      </c>
      <c r="O2003" t="s">
        <v>603</v>
      </c>
      <c r="P2003">
        <v>3785.2919999999999</v>
      </c>
      <c r="Q2003">
        <v>6</v>
      </c>
      <c r="R2003">
        <v>0.1</v>
      </c>
      <c r="S2003">
        <v>420.58800000000002</v>
      </c>
      <c r="T2003" t="s">
        <v>59</v>
      </c>
      <c r="U2003" t="s">
        <v>78</v>
      </c>
    </row>
    <row r="2004" spans="1:21" x14ac:dyDescent="0.25">
      <c r="A2004" t="s">
        <v>4275</v>
      </c>
      <c r="B2004" s="1">
        <v>41970</v>
      </c>
      <c r="C2004" s="1">
        <v>41974</v>
      </c>
      <c r="D2004" t="s">
        <v>40</v>
      </c>
      <c r="E2004" t="s">
        <v>2697</v>
      </c>
      <c r="F2004" t="s">
        <v>2698</v>
      </c>
      <c r="G2004" t="s">
        <v>91</v>
      </c>
      <c r="H2004" t="s">
        <v>26</v>
      </c>
      <c r="I2004" t="s">
        <v>2955</v>
      </c>
      <c r="J2004" t="s">
        <v>121</v>
      </c>
      <c r="K2004" t="s">
        <v>68</v>
      </c>
      <c r="L2004" t="s">
        <v>1124</v>
      </c>
      <c r="M2004" t="s">
        <v>31</v>
      </c>
      <c r="N2004" t="s">
        <v>57</v>
      </c>
      <c r="O2004" t="s">
        <v>1125</v>
      </c>
      <c r="P2004">
        <v>199.9</v>
      </c>
      <c r="Q2004">
        <v>5</v>
      </c>
      <c r="R2004">
        <v>0</v>
      </c>
      <c r="S2004">
        <v>39.979999999999997</v>
      </c>
      <c r="T2004" t="s">
        <v>84</v>
      </c>
      <c r="U2004" t="s">
        <v>35</v>
      </c>
    </row>
    <row r="2005" spans="1:21" x14ac:dyDescent="0.25">
      <c r="A2005" t="s">
        <v>4276</v>
      </c>
      <c r="B2005" s="1">
        <v>41770</v>
      </c>
      <c r="C2005" s="1">
        <v>41775</v>
      </c>
      <c r="D2005" t="s">
        <v>40</v>
      </c>
      <c r="E2005" t="s">
        <v>275</v>
      </c>
      <c r="F2005" t="s">
        <v>276</v>
      </c>
      <c r="G2005" t="s">
        <v>91</v>
      </c>
      <c r="H2005" t="s">
        <v>26</v>
      </c>
      <c r="I2005" t="s">
        <v>1869</v>
      </c>
      <c r="J2005" t="s">
        <v>93</v>
      </c>
      <c r="K2005" t="s">
        <v>94</v>
      </c>
      <c r="L2005" t="s">
        <v>480</v>
      </c>
      <c r="M2005" t="s">
        <v>31</v>
      </c>
      <c r="N2005" t="s">
        <v>37</v>
      </c>
      <c r="O2005" t="s">
        <v>481</v>
      </c>
      <c r="P2005">
        <v>1212.96</v>
      </c>
      <c r="Q2005">
        <v>8</v>
      </c>
      <c r="R2005">
        <v>0.3</v>
      </c>
      <c r="S2005">
        <v>-69.311999999999998</v>
      </c>
      <c r="T2005" t="s">
        <v>59</v>
      </c>
      <c r="U2005" t="s">
        <v>162</v>
      </c>
    </row>
    <row r="2006" spans="1:21" x14ac:dyDescent="0.25">
      <c r="A2006" t="s">
        <v>4277</v>
      </c>
      <c r="B2006" s="1">
        <v>42244</v>
      </c>
      <c r="C2006" s="1">
        <v>42248</v>
      </c>
      <c r="D2006" t="s">
        <v>40</v>
      </c>
      <c r="E2006" t="s">
        <v>377</v>
      </c>
      <c r="F2006" t="s">
        <v>378</v>
      </c>
      <c r="G2006" t="s">
        <v>91</v>
      </c>
      <c r="H2006" t="s">
        <v>26</v>
      </c>
      <c r="I2006" t="s">
        <v>1740</v>
      </c>
      <c r="J2006" t="s">
        <v>93</v>
      </c>
      <c r="K2006" t="s">
        <v>94</v>
      </c>
      <c r="L2006" t="s">
        <v>1466</v>
      </c>
      <c r="M2006" t="s">
        <v>31</v>
      </c>
      <c r="N2006" t="s">
        <v>46</v>
      </c>
      <c r="O2006" t="s">
        <v>1467</v>
      </c>
      <c r="P2006">
        <v>103.48099999999999</v>
      </c>
      <c r="Q2006">
        <v>1</v>
      </c>
      <c r="R2006">
        <v>0.3</v>
      </c>
      <c r="S2006">
        <v>-16.261299999999999</v>
      </c>
      <c r="T2006" t="s">
        <v>84</v>
      </c>
      <c r="U2006" t="s">
        <v>254</v>
      </c>
    </row>
    <row r="2007" spans="1:21" x14ac:dyDescent="0.25">
      <c r="A2007" t="s">
        <v>4278</v>
      </c>
      <c r="B2007" s="1">
        <v>42882</v>
      </c>
      <c r="C2007" s="1">
        <v>42889</v>
      </c>
      <c r="D2007" t="s">
        <v>40</v>
      </c>
      <c r="E2007" t="s">
        <v>2643</v>
      </c>
      <c r="F2007" t="s">
        <v>2644</v>
      </c>
      <c r="G2007" t="s">
        <v>25</v>
      </c>
      <c r="H2007" t="s">
        <v>26</v>
      </c>
      <c r="I2007" t="s">
        <v>2022</v>
      </c>
      <c r="J2007" t="s">
        <v>1523</v>
      </c>
      <c r="K2007" t="s">
        <v>94</v>
      </c>
      <c r="L2007" t="s">
        <v>95</v>
      </c>
      <c r="M2007" t="s">
        <v>31</v>
      </c>
      <c r="N2007" t="s">
        <v>57</v>
      </c>
      <c r="O2007" t="s">
        <v>96</v>
      </c>
      <c r="P2007">
        <v>477.3</v>
      </c>
      <c r="Q2007">
        <v>5</v>
      </c>
      <c r="R2007">
        <v>0</v>
      </c>
      <c r="S2007">
        <v>138.417</v>
      </c>
      <c r="T2007" t="s">
        <v>48</v>
      </c>
      <c r="U2007" t="s">
        <v>162</v>
      </c>
    </row>
    <row r="2008" spans="1:21" x14ac:dyDescent="0.25">
      <c r="A2008" t="s">
        <v>4279</v>
      </c>
      <c r="B2008" s="1">
        <v>43064</v>
      </c>
      <c r="C2008" s="1">
        <v>43069</v>
      </c>
      <c r="D2008" t="s">
        <v>22</v>
      </c>
      <c r="E2008" t="s">
        <v>3485</v>
      </c>
      <c r="F2008" t="s">
        <v>3486</v>
      </c>
      <c r="G2008" t="s">
        <v>91</v>
      </c>
      <c r="H2008" t="s">
        <v>26</v>
      </c>
      <c r="I2008" t="s">
        <v>866</v>
      </c>
      <c r="J2008" t="s">
        <v>28</v>
      </c>
      <c r="K2008" t="s">
        <v>29</v>
      </c>
      <c r="L2008" t="s">
        <v>1487</v>
      </c>
      <c r="M2008" t="s">
        <v>31</v>
      </c>
      <c r="N2008" t="s">
        <v>37</v>
      </c>
      <c r="O2008" t="s">
        <v>1488</v>
      </c>
      <c r="P2008">
        <v>701.96</v>
      </c>
      <c r="Q2008">
        <v>2</v>
      </c>
      <c r="R2008">
        <v>0</v>
      </c>
      <c r="S2008">
        <v>168.47040000000001</v>
      </c>
      <c r="T2008" t="s">
        <v>59</v>
      </c>
      <c r="U2008" t="s">
        <v>35</v>
      </c>
    </row>
    <row r="2009" spans="1:21" x14ac:dyDescent="0.25">
      <c r="A2009" t="s">
        <v>4280</v>
      </c>
      <c r="B2009" s="1">
        <v>42693</v>
      </c>
      <c r="C2009" s="1">
        <v>42697</v>
      </c>
      <c r="D2009" t="s">
        <v>40</v>
      </c>
      <c r="E2009" t="s">
        <v>483</v>
      </c>
      <c r="F2009" t="s">
        <v>484</v>
      </c>
      <c r="G2009" t="s">
        <v>91</v>
      </c>
      <c r="H2009" t="s">
        <v>26</v>
      </c>
      <c r="I2009" t="s">
        <v>192</v>
      </c>
      <c r="J2009" t="s">
        <v>193</v>
      </c>
      <c r="K2009" t="s">
        <v>55</v>
      </c>
      <c r="L2009" t="s">
        <v>586</v>
      </c>
      <c r="M2009" t="s">
        <v>31</v>
      </c>
      <c r="N2009" t="s">
        <v>57</v>
      </c>
      <c r="O2009" t="s">
        <v>587</v>
      </c>
      <c r="P2009">
        <v>31.96</v>
      </c>
      <c r="Q2009">
        <v>2</v>
      </c>
      <c r="R2009">
        <v>0</v>
      </c>
      <c r="S2009">
        <v>1.5980000000000001</v>
      </c>
      <c r="T2009" t="s">
        <v>84</v>
      </c>
      <c r="U2009" t="s">
        <v>35</v>
      </c>
    </row>
    <row r="2010" spans="1:21" x14ac:dyDescent="0.25">
      <c r="A2010" t="s">
        <v>4281</v>
      </c>
      <c r="B2010" s="1">
        <v>43044</v>
      </c>
      <c r="C2010" s="1">
        <v>43049</v>
      </c>
      <c r="D2010" t="s">
        <v>22</v>
      </c>
      <c r="E2010" t="s">
        <v>4282</v>
      </c>
      <c r="F2010" t="s">
        <v>4283</v>
      </c>
      <c r="G2010" t="s">
        <v>25</v>
      </c>
      <c r="H2010" t="s">
        <v>26</v>
      </c>
      <c r="I2010" t="s">
        <v>174</v>
      </c>
      <c r="J2010" t="s">
        <v>121</v>
      </c>
      <c r="K2010" t="s">
        <v>68</v>
      </c>
      <c r="L2010" t="s">
        <v>2567</v>
      </c>
      <c r="M2010" t="s">
        <v>31</v>
      </c>
      <c r="N2010" t="s">
        <v>46</v>
      </c>
      <c r="O2010" t="s">
        <v>2568</v>
      </c>
      <c r="P2010">
        <v>166.5</v>
      </c>
      <c r="Q2010">
        <v>2</v>
      </c>
      <c r="R2010">
        <v>0.4</v>
      </c>
      <c r="S2010">
        <v>-66.599999999999994</v>
      </c>
      <c r="T2010" t="s">
        <v>59</v>
      </c>
      <c r="U2010" t="s">
        <v>35</v>
      </c>
    </row>
    <row r="2011" spans="1:21" x14ac:dyDescent="0.25">
      <c r="A2011" t="s">
        <v>4281</v>
      </c>
      <c r="B2011" s="1">
        <v>43044</v>
      </c>
      <c r="C2011" s="1">
        <v>43049</v>
      </c>
      <c r="D2011" t="s">
        <v>22</v>
      </c>
      <c r="E2011" t="s">
        <v>4282</v>
      </c>
      <c r="F2011" t="s">
        <v>4283</v>
      </c>
      <c r="G2011" t="s">
        <v>25</v>
      </c>
      <c r="H2011" t="s">
        <v>26</v>
      </c>
      <c r="I2011" t="s">
        <v>174</v>
      </c>
      <c r="J2011" t="s">
        <v>121</v>
      </c>
      <c r="K2011" t="s">
        <v>68</v>
      </c>
      <c r="L2011" t="s">
        <v>2195</v>
      </c>
      <c r="M2011" t="s">
        <v>31</v>
      </c>
      <c r="N2011" t="s">
        <v>37</v>
      </c>
      <c r="O2011" t="s">
        <v>2196</v>
      </c>
      <c r="P2011">
        <v>128.124</v>
      </c>
      <c r="Q2011">
        <v>2</v>
      </c>
      <c r="R2011">
        <v>0.1</v>
      </c>
      <c r="S2011">
        <v>24.2012</v>
      </c>
      <c r="T2011" t="s">
        <v>59</v>
      </c>
      <c r="U2011" t="s">
        <v>35</v>
      </c>
    </row>
    <row r="2012" spans="1:21" x14ac:dyDescent="0.25">
      <c r="A2012" t="s">
        <v>4281</v>
      </c>
      <c r="B2012" s="1">
        <v>43044</v>
      </c>
      <c r="C2012" s="1">
        <v>43049</v>
      </c>
      <c r="D2012" t="s">
        <v>22</v>
      </c>
      <c r="E2012" t="s">
        <v>4282</v>
      </c>
      <c r="F2012" t="s">
        <v>4283</v>
      </c>
      <c r="G2012" t="s">
        <v>25</v>
      </c>
      <c r="H2012" t="s">
        <v>26</v>
      </c>
      <c r="I2012" t="s">
        <v>174</v>
      </c>
      <c r="J2012" t="s">
        <v>121</v>
      </c>
      <c r="K2012" t="s">
        <v>68</v>
      </c>
      <c r="L2012" t="s">
        <v>3224</v>
      </c>
      <c r="M2012" t="s">
        <v>31</v>
      </c>
      <c r="N2012" t="s">
        <v>57</v>
      </c>
      <c r="O2012" t="s">
        <v>3225</v>
      </c>
      <c r="P2012">
        <v>101.4</v>
      </c>
      <c r="Q2012">
        <v>5</v>
      </c>
      <c r="R2012">
        <v>0</v>
      </c>
      <c r="S2012">
        <v>38.531999999999996</v>
      </c>
      <c r="T2012" t="s">
        <v>59</v>
      </c>
      <c r="U2012" t="s">
        <v>35</v>
      </c>
    </row>
    <row r="2013" spans="1:21" x14ac:dyDescent="0.25">
      <c r="A2013" t="s">
        <v>4284</v>
      </c>
      <c r="B2013" s="1">
        <v>42155</v>
      </c>
      <c r="C2013" s="1">
        <v>42160</v>
      </c>
      <c r="D2013" t="s">
        <v>22</v>
      </c>
      <c r="E2013" t="s">
        <v>483</v>
      </c>
      <c r="F2013" t="s">
        <v>484</v>
      </c>
      <c r="G2013" t="s">
        <v>91</v>
      </c>
      <c r="H2013" t="s">
        <v>26</v>
      </c>
      <c r="I2013" t="s">
        <v>134</v>
      </c>
      <c r="J2013" t="s">
        <v>135</v>
      </c>
      <c r="K2013" t="s">
        <v>94</v>
      </c>
      <c r="L2013" t="s">
        <v>2450</v>
      </c>
      <c r="M2013" t="s">
        <v>31</v>
      </c>
      <c r="N2013" t="s">
        <v>57</v>
      </c>
      <c r="O2013" t="s">
        <v>2451</v>
      </c>
      <c r="P2013">
        <v>51.56</v>
      </c>
      <c r="Q2013">
        <v>2</v>
      </c>
      <c r="R2013">
        <v>0.6</v>
      </c>
      <c r="S2013">
        <v>-61.872</v>
      </c>
      <c r="T2013" t="s">
        <v>59</v>
      </c>
      <c r="U2013" t="s">
        <v>162</v>
      </c>
    </row>
    <row r="2014" spans="1:21" x14ac:dyDescent="0.25">
      <c r="A2014" t="s">
        <v>4285</v>
      </c>
      <c r="B2014" s="1">
        <v>42706</v>
      </c>
      <c r="C2014" s="1">
        <v>42708</v>
      </c>
      <c r="D2014" t="s">
        <v>22</v>
      </c>
      <c r="E2014" t="s">
        <v>2589</v>
      </c>
      <c r="F2014" t="s">
        <v>2590</v>
      </c>
      <c r="G2014" t="s">
        <v>91</v>
      </c>
      <c r="H2014" t="s">
        <v>26</v>
      </c>
      <c r="I2014" t="s">
        <v>102</v>
      </c>
      <c r="J2014" t="s">
        <v>93</v>
      </c>
      <c r="K2014" t="s">
        <v>94</v>
      </c>
      <c r="L2014" t="s">
        <v>2906</v>
      </c>
      <c r="M2014" t="s">
        <v>31</v>
      </c>
      <c r="N2014" t="s">
        <v>32</v>
      </c>
      <c r="O2014" t="s">
        <v>2907</v>
      </c>
      <c r="P2014">
        <v>781.86400000000003</v>
      </c>
      <c r="Q2014">
        <v>10</v>
      </c>
      <c r="R2014">
        <v>0.32</v>
      </c>
      <c r="S2014">
        <v>-137.976</v>
      </c>
      <c r="T2014" t="s">
        <v>71</v>
      </c>
      <c r="U2014" t="s">
        <v>97</v>
      </c>
    </row>
    <row r="2015" spans="1:21" x14ac:dyDescent="0.25">
      <c r="A2015" t="s">
        <v>4286</v>
      </c>
      <c r="B2015" s="1">
        <v>43020</v>
      </c>
      <c r="C2015" s="1">
        <v>43020</v>
      </c>
      <c r="D2015" t="s">
        <v>426</v>
      </c>
      <c r="E2015" t="s">
        <v>476</v>
      </c>
      <c r="F2015" t="s">
        <v>477</v>
      </c>
      <c r="G2015" t="s">
        <v>25</v>
      </c>
      <c r="H2015" t="s">
        <v>26</v>
      </c>
      <c r="I2015" t="s">
        <v>1989</v>
      </c>
      <c r="J2015" t="s">
        <v>4287</v>
      </c>
      <c r="K2015" t="s">
        <v>68</v>
      </c>
      <c r="L2015" t="s">
        <v>1078</v>
      </c>
      <c r="M2015" t="s">
        <v>31</v>
      </c>
      <c r="N2015" t="s">
        <v>46</v>
      </c>
      <c r="O2015" t="s">
        <v>1079</v>
      </c>
      <c r="P2015">
        <v>673.34400000000005</v>
      </c>
      <c r="Q2015">
        <v>3</v>
      </c>
      <c r="R2015">
        <v>0.3</v>
      </c>
      <c r="S2015">
        <v>-76.953599999999994</v>
      </c>
      <c r="T2015" t="s">
        <v>431</v>
      </c>
      <c r="U2015" t="s">
        <v>49</v>
      </c>
    </row>
    <row r="2016" spans="1:21" x14ac:dyDescent="0.25">
      <c r="A2016" t="s">
        <v>4288</v>
      </c>
      <c r="B2016" s="1">
        <v>42372</v>
      </c>
      <c r="C2016" s="1">
        <v>42377</v>
      </c>
      <c r="D2016" t="s">
        <v>40</v>
      </c>
      <c r="E2016" t="s">
        <v>2001</v>
      </c>
      <c r="F2016" t="s">
        <v>2002</v>
      </c>
      <c r="G2016" t="s">
        <v>91</v>
      </c>
      <c r="H2016" t="s">
        <v>26</v>
      </c>
      <c r="I2016" t="s">
        <v>4289</v>
      </c>
      <c r="J2016" t="s">
        <v>1523</v>
      </c>
      <c r="K2016" t="s">
        <v>94</v>
      </c>
      <c r="L2016" t="s">
        <v>442</v>
      </c>
      <c r="M2016" t="s">
        <v>31</v>
      </c>
      <c r="N2016" t="s">
        <v>46</v>
      </c>
      <c r="O2016" t="s">
        <v>443</v>
      </c>
      <c r="P2016">
        <v>1592.85</v>
      </c>
      <c r="Q2016">
        <v>7</v>
      </c>
      <c r="R2016">
        <v>0</v>
      </c>
      <c r="S2016">
        <v>350.42700000000002</v>
      </c>
      <c r="T2016" t="s">
        <v>59</v>
      </c>
      <c r="U2016" t="s">
        <v>170</v>
      </c>
    </row>
    <row r="2017" spans="1:21" x14ac:dyDescent="0.25">
      <c r="A2017" t="s">
        <v>4290</v>
      </c>
      <c r="B2017" s="1">
        <v>42516</v>
      </c>
      <c r="C2017" s="1">
        <v>42520</v>
      </c>
      <c r="D2017" t="s">
        <v>40</v>
      </c>
      <c r="E2017" t="s">
        <v>4291</v>
      </c>
      <c r="F2017" t="s">
        <v>4292</v>
      </c>
      <c r="G2017" t="s">
        <v>25</v>
      </c>
      <c r="H2017" t="s">
        <v>26</v>
      </c>
      <c r="I2017" t="s">
        <v>906</v>
      </c>
      <c r="J2017" t="s">
        <v>239</v>
      </c>
      <c r="K2017" t="s">
        <v>94</v>
      </c>
      <c r="L2017" t="s">
        <v>1452</v>
      </c>
      <c r="M2017" t="s">
        <v>31</v>
      </c>
      <c r="N2017" t="s">
        <v>57</v>
      </c>
      <c r="O2017" t="s">
        <v>1453</v>
      </c>
      <c r="P2017">
        <v>26.94</v>
      </c>
      <c r="Q2017">
        <v>3</v>
      </c>
      <c r="R2017">
        <v>0</v>
      </c>
      <c r="S2017">
        <v>11.3148</v>
      </c>
      <c r="T2017" t="s">
        <v>84</v>
      </c>
      <c r="U2017" t="s">
        <v>162</v>
      </c>
    </row>
    <row r="2018" spans="1:21" x14ac:dyDescent="0.25">
      <c r="A2018" t="s">
        <v>4293</v>
      </c>
      <c r="B2018" s="1">
        <v>42328</v>
      </c>
      <c r="C2018" s="1">
        <v>42332</v>
      </c>
      <c r="D2018" t="s">
        <v>40</v>
      </c>
      <c r="E2018" t="s">
        <v>3061</v>
      </c>
      <c r="F2018" t="s">
        <v>3062</v>
      </c>
      <c r="G2018" t="s">
        <v>25</v>
      </c>
      <c r="H2018" t="s">
        <v>26</v>
      </c>
      <c r="I2018" t="s">
        <v>329</v>
      </c>
      <c r="J2018" t="s">
        <v>54</v>
      </c>
      <c r="K2018" t="s">
        <v>55</v>
      </c>
      <c r="L2018" t="s">
        <v>2141</v>
      </c>
      <c r="M2018" t="s">
        <v>31</v>
      </c>
      <c r="N2018" t="s">
        <v>57</v>
      </c>
      <c r="O2018" t="s">
        <v>2142</v>
      </c>
      <c r="P2018">
        <v>32.04</v>
      </c>
      <c r="Q2018">
        <v>3</v>
      </c>
      <c r="R2018">
        <v>0</v>
      </c>
      <c r="S2018">
        <v>8.01</v>
      </c>
      <c r="T2018" t="s">
        <v>84</v>
      </c>
      <c r="U2018" t="s">
        <v>35</v>
      </c>
    </row>
    <row r="2019" spans="1:21" x14ac:dyDescent="0.25">
      <c r="A2019" t="s">
        <v>4294</v>
      </c>
      <c r="B2019" s="1">
        <v>42885</v>
      </c>
      <c r="C2019" s="1">
        <v>42889</v>
      </c>
      <c r="D2019" t="s">
        <v>22</v>
      </c>
      <c r="E2019" t="s">
        <v>1928</v>
      </c>
      <c r="F2019" t="s">
        <v>1929</v>
      </c>
      <c r="G2019" t="s">
        <v>25</v>
      </c>
      <c r="H2019" t="s">
        <v>26</v>
      </c>
      <c r="I2019" t="s">
        <v>1740</v>
      </c>
      <c r="J2019" t="s">
        <v>93</v>
      </c>
      <c r="K2019" t="s">
        <v>94</v>
      </c>
      <c r="L2019" t="s">
        <v>1000</v>
      </c>
      <c r="M2019" t="s">
        <v>31</v>
      </c>
      <c r="N2019" t="s">
        <v>32</v>
      </c>
      <c r="O2019" t="s">
        <v>1001</v>
      </c>
      <c r="P2019">
        <v>204.66640000000001</v>
      </c>
      <c r="Q2019">
        <v>1</v>
      </c>
      <c r="R2019">
        <v>0.32</v>
      </c>
      <c r="S2019">
        <v>-6.0195999999999996</v>
      </c>
      <c r="T2019" t="s">
        <v>84</v>
      </c>
      <c r="U2019" t="s">
        <v>162</v>
      </c>
    </row>
    <row r="2020" spans="1:21" x14ac:dyDescent="0.25">
      <c r="A2020" t="s">
        <v>4295</v>
      </c>
      <c r="B2020" s="1">
        <v>43074</v>
      </c>
      <c r="C2020" s="1">
        <v>43075</v>
      </c>
      <c r="D2020" t="s">
        <v>88</v>
      </c>
      <c r="E2020" t="s">
        <v>4296</v>
      </c>
      <c r="F2020" t="s">
        <v>4297</v>
      </c>
      <c r="G2020" t="s">
        <v>101</v>
      </c>
      <c r="H2020" t="s">
        <v>26</v>
      </c>
      <c r="I2020" t="s">
        <v>192</v>
      </c>
      <c r="J2020" t="s">
        <v>193</v>
      </c>
      <c r="K2020" t="s">
        <v>55</v>
      </c>
      <c r="L2020" t="s">
        <v>1124</v>
      </c>
      <c r="M2020" t="s">
        <v>31</v>
      </c>
      <c r="N2020" t="s">
        <v>57</v>
      </c>
      <c r="O2020" t="s">
        <v>1125</v>
      </c>
      <c r="P2020">
        <v>199.9</v>
      </c>
      <c r="Q2020">
        <v>5</v>
      </c>
      <c r="R2020">
        <v>0</v>
      </c>
      <c r="S2020">
        <v>39.979999999999997</v>
      </c>
      <c r="T2020" t="s">
        <v>124</v>
      </c>
      <c r="U2020" t="s">
        <v>97</v>
      </c>
    </row>
    <row r="2021" spans="1:21" x14ac:dyDescent="0.25">
      <c r="A2021" t="s">
        <v>4298</v>
      </c>
      <c r="B2021" s="1">
        <v>42670</v>
      </c>
      <c r="C2021" s="1">
        <v>42674</v>
      </c>
      <c r="D2021" t="s">
        <v>40</v>
      </c>
      <c r="E2021" t="s">
        <v>2849</v>
      </c>
      <c r="F2021" t="s">
        <v>2850</v>
      </c>
      <c r="G2021" t="s">
        <v>25</v>
      </c>
      <c r="H2021" t="s">
        <v>26</v>
      </c>
      <c r="I2021" t="s">
        <v>174</v>
      </c>
      <c r="J2021" t="s">
        <v>121</v>
      </c>
      <c r="K2021" t="s">
        <v>68</v>
      </c>
      <c r="L2021" t="s">
        <v>1766</v>
      </c>
      <c r="M2021" t="s">
        <v>31</v>
      </c>
      <c r="N2021" t="s">
        <v>37</v>
      </c>
      <c r="O2021" t="s">
        <v>1767</v>
      </c>
      <c r="P2021">
        <v>427.64400000000001</v>
      </c>
      <c r="Q2021">
        <v>14</v>
      </c>
      <c r="R2021">
        <v>0.1</v>
      </c>
      <c r="S2021">
        <v>80.777199999999993</v>
      </c>
      <c r="T2021" t="s">
        <v>84</v>
      </c>
      <c r="U2021" t="s">
        <v>49</v>
      </c>
    </row>
    <row r="2022" spans="1:21" x14ac:dyDescent="0.25">
      <c r="A2022" t="s">
        <v>4299</v>
      </c>
      <c r="B2022" s="1">
        <v>42898</v>
      </c>
      <c r="C2022" s="1">
        <v>42900</v>
      </c>
      <c r="D2022" t="s">
        <v>22</v>
      </c>
      <c r="E2022" t="s">
        <v>1429</v>
      </c>
      <c r="F2022" t="s">
        <v>1430</v>
      </c>
      <c r="G2022" t="s">
        <v>25</v>
      </c>
      <c r="H2022" t="s">
        <v>26</v>
      </c>
      <c r="I2022" t="s">
        <v>134</v>
      </c>
      <c r="J2022" t="s">
        <v>135</v>
      </c>
      <c r="K2022" t="s">
        <v>94</v>
      </c>
      <c r="L2022" t="s">
        <v>1719</v>
      </c>
      <c r="M2022" t="s">
        <v>31</v>
      </c>
      <c r="N2022" t="s">
        <v>57</v>
      </c>
      <c r="O2022" t="s">
        <v>1720</v>
      </c>
      <c r="P2022">
        <v>8.8559999999999999</v>
      </c>
      <c r="Q2022">
        <v>3</v>
      </c>
      <c r="R2022">
        <v>0.6</v>
      </c>
      <c r="S2022">
        <v>-6.8634000000000004</v>
      </c>
      <c r="T2022" t="s">
        <v>71</v>
      </c>
      <c r="U2022" t="s">
        <v>60</v>
      </c>
    </row>
    <row r="2023" spans="1:21" x14ac:dyDescent="0.25">
      <c r="A2023" t="s">
        <v>4300</v>
      </c>
      <c r="B2023" s="1">
        <v>42638</v>
      </c>
      <c r="C2023" s="1">
        <v>42640</v>
      </c>
      <c r="D2023" t="s">
        <v>88</v>
      </c>
      <c r="E2023" t="s">
        <v>2265</v>
      </c>
      <c r="F2023" t="s">
        <v>2266</v>
      </c>
      <c r="G2023" t="s">
        <v>91</v>
      </c>
      <c r="H2023" t="s">
        <v>26</v>
      </c>
      <c r="I2023" t="s">
        <v>329</v>
      </c>
      <c r="J2023" t="s">
        <v>54</v>
      </c>
      <c r="K2023" t="s">
        <v>55</v>
      </c>
      <c r="L2023" t="s">
        <v>261</v>
      </c>
      <c r="M2023" t="s">
        <v>31</v>
      </c>
      <c r="N2023" t="s">
        <v>32</v>
      </c>
      <c r="O2023" t="s">
        <v>262</v>
      </c>
      <c r="P2023">
        <v>477.666</v>
      </c>
      <c r="Q2023">
        <v>2</v>
      </c>
      <c r="R2023">
        <v>0.15</v>
      </c>
      <c r="S2023">
        <v>84.293999999999997</v>
      </c>
      <c r="T2023" t="s">
        <v>71</v>
      </c>
      <c r="U2023" t="s">
        <v>78</v>
      </c>
    </row>
    <row r="2024" spans="1:21" x14ac:dyDescent="0.25">
      <c r="A2024" t="s">
        <v>4301</v>
      </c>
      <c r="B2024" s="1">
        <v>42135</v>
      </c>
      <c r="C2024" s="1">
        <v>42140</v>
      </c>
      <c r="D2024" t="s">
        <v>22</v>
      </c>
      <c r="E2024" t="s">
        <v>132</v>
      </c>
      <c r="F2024" t="s">
        <v>133</v>
      </c>
      <c r="G2024" t="s">
        <v>101</v>
      </c>
      <c r="H2024" t="s">
        <v>26</v>
      </c>
      <c r="I2024" t="s">
        <v>520</v>
      </c>
      <c r="J2024" t="s">
        <v>521</v>
      </c>
      <c r="K2024" t="s">
        <v>55</v>
      </c>
      <c r="L2024" t="s">
        <v>1103</v>
      </c>
      <c r="M2024" t="s">
        <v>31</v>
      </c>
      <c r="N2024" t="s">
        <v>37</v>
      </c>
      <c r="O2024" t="s">
        <v>1104</v>
      </c>
      <c r="P2024">
        <v>191.96799999999999</v>
      </c>
      <c r="Q2024">
        <v>7</v>
      </c>
      <c r="R2024">
        <v>0.2</v>
      </c>
      <c r="S2024">
        <v>16.7972</v>
      </c>
      <c r="T2024" t="s">
        <v>59</v>
      </c>
      <c r="U2024" t="s">
        <v>162</v>
      </c>
    </row>
    <row r="2025" spans="1:21" x14ac:dyDescent="0.25">
      <c r="A2025" t="s">
        <v>4302</v>
      </c>
      <c r="B2025" s="1">
        <v>42222</v>
      </c>
      <c r="C2025" s="1">
        <v>42226</v>
      </c>
      <c r="D2025" t="s">
        <v>40</v>
      </c>
      <c r="E2025" t="s">
        <v>4303</v>
      </c>
      <c r="F2025" t="s">
        <v>4304</v>
      </c>
      <c r="G2025" t="s">
        <v>91</v>
      </c>
      <c r="H2025" t="s">
        <v>26</v>
      </c>
      <c r="I2025" t="s">
        <v>102</v>
      </c>
      <c r="J2025" t="s">
        <v>93</v>
      </c>
      <c r="K2025" t="s">
        <v>94</v>
      </c>
      <c r="L2025" t="s">
        <v>1447</v>
      </c>
      <c r="M2025" t="s">
        <v>31</v>
      </c>
      <c r="N2025" t="s">
        <v>32</v>
      </c>
      <c r="O2025" t="s">
        <v>1448</v>
      </c>
      <c r="P2025">
        <v>369.19920000000002</v>
      </c>
      <c r="Q2025">
        <v>3</v>
      </c>
      <c r="R2025">
        <v>0.32</v>
      </c>
      <c r="S2025">
        <v>-114.01739999999999</v>
      </c>
      <c r="T2025" t="s">
        <v>84</v>
      </c>
      <c r="U2025" t="s">
        <v>254</v>
      </c>
    </row>
    <row r="2026" spans="1:21" x14ac:dyDescent="0.25">
      <c r="A2026" t="s">
        <v>4305</v>
      </c>
      <c r="B2026" s="1">
        <v>42635</v>
      </c>
      <c r="C2026" s="1">
        <v>42640</v>
      </c>
      <c r="D2026" t="s">
        <v>40</v>
      </c>
      <c r="E2026" t="s">
        <v>2346</v>
      </c>
      <c r="F2026" t="s">
        <v>2347</v>
      </c>
      <c r="G2026" t="s">
        <v>91</v>
      </c>
      <c r="H2026" t="s">
        <v>26</v>
      </c>
      <c r="I2026" t="s">
        <v>1612</v>
      </c>
      <c r="J2026" t="s">
        <v>181</v>
      </c>
      <c r="K2026" t="s">
        <v>55</v>
      </c>
      <c r="L2026" t="s">
        <v>494</v>
      </c>
      <c r="M2026" t="s">
        <v>31</v>
      </c>
      <c r="N2026" t="s">
        <v>57</v>
      </c>
      <c r="O2026" t="s">
        <v>495</v>
      </c>
      <c r="P2026">
        <v>68.432000000000002</v>
      </c>
      <c r="Q2026">
        <v>7</v>
      </c>
      <c r="R2026">
        <v>0.2</v>
      </c>
      <c r="S2026">
        <v>8.5540000000000003</v>
      </c>
      <c r="T2026" t="s">
        <v>59</v>
      </c>
      <c r="U2026" t="s">
        <v>78</v>
      </c>
    </row>
    <row r="2027" spans="1:21" x14ac:dyDescent="0.25">
      <c r="A2027" t="s">
        <v>4306</v>
      </c>
      <c r="B2027" s="1">
        <v>42336</v>
      </c>
      <c r="C2027" s="1">
        <v>42340</v>
      </c>
      <c r="D2027" t="s">
        <v>40</v>
      </c>
      <c r="E2027" t="s">
        <v>2964</v>
      </c>
      <c r="F2027" t="s">
        <v>2965</v>
      </c>
      <c r="G2027" t="s">
        <v>25</v>
      </c>
      <c r="H2027" t="s">
        <v>26</v>
      </c>
      <c r="I2027" t="s">
        <v>348</v>
      </c>
      <c r="J2027" t="s">
        <v>232</v>
      </c>
      <c r="K2027" t="s">
        <v>68</v>
      </c>
      <c r="L2027" t="s">
        <v>168</v>
      </c>
      <c r="M2027" t="s">
        <v>31</v>
      </c>
      <c r="N2027" t="s">
        <v>57</v>
      </c>
      <c r="O2027" t="s">
        <v>169</v>
      </c>
      <c r="P2027">
        <v>71.12</v>
      </c>
      <c r="Q2027">
        <v>5</v>
      </c>
      <c r="R2027">
        <v>0.2</v>
      </c>
      <c r="S2027">
        <v>9.7789999999999999</v>
      </c>
      <c r="T2027" t="s">
        <v>84</v>
      </c>
      <c r="U2027" t="s">
        <v>35</v>
      </c>
    </row>
    <row r="2028" spans="1:21" x14ac:dyDescent="0.25">
      <c r="A2028" t="s">
        <v>4307</v>
      </c>
      <c r="B2028" s="1">
        <v>41929</v>
      </c>
      <c r="C2028" s="1">
        <v>41931</v>
      </c>
      <c r="D2028" t="s">
        <v>22</v>
      </c>
      <c r="E2028" t="s">
        <v>4308</v>
      </c>
      <c r="F2028" t="s">
        <v>4309</v>
      </c>
      <c r="G2028" t="s">
        <v>25</v>
      </c>
      <c r="H2028" t="s">
        <v>26</v>
      </c>
      <c r="I2028" t="s">
        <v>102</v>
      </c>
      <c r="J2028" t="s">
        <v>93</v>
      </c>
      <c r="K2028" t="s">
        <v>94</v>
      </c>
      <c r="L2028" t="s">
        <v>2327</v>
      </c>
      <c r="M2028" t="s">
        <v>31</v>
      </c>
      <c r="N2028" t="s">
        <v>57</v>
      </c>
      <c r="O2028" t="s">
        <v>2328</v>
      </c>
      <c r="P2028">
        <v>5.3120000000000003</v>
      </c>
      <c r="Q2028">
        <v>2</v>
      </c>
      <c r="R2028">
        <v>0.6</v>
      </c>
      <c r="S2028">
        <v>-1.5935999999999999</v>
      </c>
      <c r="T2028" t="s">
        <v>71</v>
      </c>
      <c r="U2028" t="s">
        <v>49</v>
      </c>
    </row>
    <row r="2029" spans="1:21" x14ac:dyDescent="0.25">
      <c r="A2029" t="s">
        <v>4310</v>
      </c>
      <c r="B2029" s="1">
        <v>42493</v>
      </c>
      <c r="C2029" s="1">
        <v>42495</v>
      </c>
      <c r="D2029" t="s">
        <v>88</v>
      </c>
      <c r="E2029" t="s">
        <v>4311</v>
      </c>
      <c r="F2029" t="s">
        <v>4312</v>
      </c>
      <c r="G2029" t="s">
        <v>25</v>
      </c>
      <c r="H2029" t="s">
        <v>26</v>
      </c>
      <c r="I2029" t="s">
        <v>231</v>
      </c>
      <c r="J2029" t="s">
        <v>232</v>
      </c>
      <c r="K2029" t="s">
        <v>68</v>
      </c>
      <c r="L2029" t="s">
        <v>2056</v>
      </c>
      <c r="M2029" t="s">
        <v>31</v>
      </c>
      <c r="N2029" t="s">
        <v>57</v>
      </c>
      <c r="O2029" t="s">
        <v>2057</v>
      </c>
      <c r="P2029">
        <v>51.968000000000004</v>
      </c>
      <c r="Q2029">
        <v>2</v>
      </c>
      <c r="R2029">
        <v>0.2</v>
      </c>
      <c r="S2029">
        <v>10.393599999999999</v>
      </c>
      <c r="T2029" t="s">
        <v>71</v>
      </c>
      <c r="U2029" t="s">
        <v>162</v>
      </c>
    </row>
    <row r="2030" spans="1:21" x14ac:dyDescent="0.25">
      <c r="A2030" t="s">
        <v>4313</v>
      </c>
      <c r="B2030" s="1">
        <v>41729</v>
      </c>
      <c r="C2030" s="1">
        <v>41729</v>
      </c>
      <c r="D2030" t="s">
        <v>426</v>
      </c>
      <c r="E2030" t="s">
        <v>3237</v>
      </c>
      <c r="F2030" t="s">
        <v>3238</v>
      </c>
      <c r="G2030" t="s">
        <v>25</v>
      </c>
      <c r="H2030" t="s">
        <v>26</v>
      </c>
      <c r="I2030" t="s">
        <v>304</v>
      </c>
      <c r="J2030" t="s">
        <v>44</v>
      </c>
      <c r="K2030" t="s">
        <v>29</v>
      </c>
      <c r="L2030" t="s">
        <v>330</v>
      </c>
      <c r="M2030" t="s">
        <v>31</v>
      </c>
      <c r="N2030" t="s">
        <v>37</v>
      </c>
      <c r="O2030" t="s">
        <v>331</v>
      </c>
      <c r="P2030">
        <v>1125.4880000000001</v>
      </c>
      <c r="Q2030">
        <v>7</v>
      </c>
      <c r="R2030">
        <v>0.2</v>
      </c>
      <c r="S2030">
        <v>98.480199999999996</v>
      </c>
      <c r="T2030" t="s">
        <v>431</v>
      </c>
      <c r="U2030" t="s">
        <v>196</v>
      </c>
    </row>
    <row r="2031" spans="1:21" x14ac:dyDescent="0.25">
      <c r="A2031" t="s">
        <v>4314</v>
      </c>
      <c r="B2031" s="1">
        <v>42229</v>
      </c>
      <c r="C2031" s="1">
        <v>42229</v>
      </c>
      <c r="D2031" t="s">
        <v>426</v>
      </c>
      <c r="E2031" t="s">
        <v>64</v>
      </c>
      <c r="F2031" t="s">
        <v>65</v>
      </c>
      <c r="G2031" t="s">
        <v>25</v>
      </c>
      <c r="H2031" t="s">
        <v>26</v>
      </c>
      <c r="I2031" t="s">
        <v>1671</v>
      </c>
      <c r="J2031" t="s">
        <v>54</v>
      </c>
      <c r="K2031" t="s">
        <v>55</v>
      </c>
      <c r="L2031" t="s">
        <v>1578</v>
      </c>
      <c r="M2031" t="s">
        <v>31</v>
      </c>
      <c r="N2031" t="s">
        <v>57</v>
      </c>
      <c r="O2031" t="s">
        <v>1579</v>
      </c>
      <c r="P2031">
        <v>31.56</v>
      </c>
      <c r="Q2031">
        <v>3</v>
      </c>
      <c r="R2031">
        <v>0</v>
      </c>
      <c r="S2031">
        <v>10.4148</v>
      </c>
      <c r="T2031" t="s">
        <v>431</v>
      </c>
      <c r="U2031" t="s">
        <v>254</v>
      </c>
    </row>
    <row r="2032" spans="1:21" x14ac:dyDescent="0.25">
      <c r="A2032" t="s">
        <v>4315</v>
      </c>
      <c r="B2032" s="1">
        <v>42150</v>
      </c>
      <c r="C2032" s="1">
        <v>42152</v>
      </c>
      <c r="D2032" t="s">
        <v>22</v>
      </c>
      <c r="E2032" t="s">
        <v>3581</v>
      </c>
      <c r="F2032" t="s">
        <v>3582</v>
      </c>
      <c r="G2032" t="s">
        <v>25</v>
      </c>
      <c r="H2032" t="s">
        <v>26</v>
      </c>
      <c r="I2032" t="s">
        <v>246</v>
      </c>
      <c r="J2032" t="s">
        <v>93</v>
      </c>
      <c r="K2032" t="s">
        <v>94</v>
      </c>
      <c r="L2032" t="s">
        <v>160</v>
      </c>
      <c r="M2032" t="s">
        <v>31</v>
      </c>
      <c r="N2032" t="s">
        <v>37</v>
      </c>
      <c r="O2032" t="s">
        <v>161</v>
      </c>
      <c r="P2032">
        <v>105.68600000000001</v>
      </c>
      <c r="Q2032">
        <v>1</v>
      </c>
      <c r="R2032">
        <v>0.3</v>
      </c>
      <c r="S2032">
        <v>-28.686199999999999</v>
      </c>
      <c r="T2032" t="s">
        <v>71</v>
      </c>
      <c r="U2032" t="s">
        <v>162</v>
      </c>
    </row>
    <row r="2033" spans="1:21" x14ac:dyDescent="0.25">
      <c r="A2033" t="s">
        <v>4315</v>
      </c>
      <c r="B2033" s="1">
        <v>42150</v>
      </c>
      <c r="C2033" s="1">
        <v>42152</v>
      </c>
      <c r="D2033" t="s">
        <v>22</v>
      </c>
      <c r="E2033" t="s">
        <v>3581</v>
      </c>
      <c r="F2033" t="s">
        <v>3582</v>
      </c>
      <c r="G2033" t="s">
        <v>25</v>
      </c>
      <c r="H2033" t="s">
        <v>26</v>
      </c>
      <c r="I2033" t="s">
        <v>246</v>
      </c>
      <c r="J2033" t="s">
        <v>93</v>
      </c>
      <c r="K2033" t="s">
        <v>94</v>
      </c>
      <c r="L2033" t="s">
        <v>1514</v>
      </c>
      <c r="M2033" t="s">
        <v>31</v>
      </c>
      <c r="N2033" t="s">
        <v>37</v>
      </c>
      <c r="O2033" t="s">
        <v>1515</v>
      </c>
      <c r="P2033">
        <v>104.93</v>
      </c>
      <c r="Q2033">
        <v>5</v>
      </c>
      <c r="R2033">
        <v>0.3</v>
      </c>
      <c r="S2033">
        <v>-4.4969999999999999</v>
      </c>
      <c r="T2033" t="s">
        <v>71</v>
      </c>
      <c r="U2033" t="s">
        <v>162</v>
      </c>
    </row>
    <row r="2034" spans="1:21" x14ac:dyDescent="0.25">
      <c r="A2034" t="s">
        <v>4316</v>
      </c>
      <c r="B2034" s="1">
        <v>42992</v>
      </c>
      <c r="C2034" s="1">
        <v>42994</v>
      </c>
      <c r="D2034" t="s">
        <v>88</v>
      </c>
      <c r="E2034" t="s">
        <v>3244</v>
      </c>
      <c r="F2034" t="s">
        <v>3245</v>
      </c>
      <c r="G2034" t="s">
        <v>101</v>
      </c>
      <c r="H2034" t="s">
        <v>26</v>
      </c>
      <c r="I2034" t="s">
        <v>174</v>
      </c>
      <c r="J2034" t="s">
        <v>121</v>
      </c>
      <c r="K2034" t="s">
        <v>68</v>
      </c>
      <c r="L2034" t="s">
        <v>2579</v>
      </c>
      <c r="M2034" t="s">
        <v>31</v>
      </c>
      <c r="N2034" t="s">
        <v>37</v>
      </c>
      <c r="O2034" t="s">
        <v>2580</v>
      </c>
      <c r="P2034">
        <v>589.41</v>
      </c>
      <c r="Q2034">
        <v>5</v>
      </c>
      <c r="R2034">
        <v>0.1</v>
      </c>
      <c r="S2034">
        <v>-6.5490000000000004</v>
      </c>
      <c r="T2034" t="s">
        <v>71</v>
      </c>
      <c r="U2034" t="s">
        <v>78</v>
      </c>
    </row>
    <row r="2035" spans="1:21" x14ac:dyDescent="0.25">
      <c r="A2035" t="s">
        <v>4317</v>
      </c>
      <c r="B2035" s="1">
        <v>42911</v>
      </c>
      <c r="C2035" s="1">
        <v>42913</v>
      </c>
      <c r="D2035" t="s">
        <v>22</v>
      </c>
      <c r="E2035" t="s">
        <v>4127</v>
      </c>
      <c r="F2035" t="s">
        <v>4128</v>
      </c>
      <c r="G2035" t="s">
        <v>25</v>
      </c>
      <c r="H2035" t="s">
        <v>26</v>
      </c>
      <c r="I2035" t="s">
        <v>174</v>
      </c>
      <c r="J2035" t="s">
        <v>121</v>
      </c>
      <c r="K2035" t="s">
        <v>68</v>
      </c>
      <c r="L2035" t="s">
        <v>1696</v>
      </c>
      <c r="M2035" t="s">
        <v>31</v>
      </c>
      <c r="N2035" t="s">
        <v>32</v>
      </c>
      <c r="O2035" t="s">
        <v>1697</v>
      </c>
      <c r="P2035">
        <v>400.78399999999999</v>
      </c>
      <c r="Q2035">
        <v>1</v>
      </c>
      <c r="R2035">
        <v>0.2</v>
      </c>
      <c r="S2035">
        <v>-5.0098000000000003</v>
      </c>
      <c r="T2035" t="s">
        <v>71</v>
      </c>
      <c r="U2035" t="s">
        <v>60</v>
      </c>
    </row>
    <row r="2036" spans="1:21" x14ac:dyDescent="0.25">
      <c r="A2036" t="s">
        <v>4318</v>
      </c>
      <c r="B2036" s="1">
        <v>42579</v>
      </c>
      <c r="C2036" s="1">
        <v>42583</v>
      </c>
      <c r="D2036" t="s">
        <v>40</v>
      </c>
      <c r="E2036" t="s">
        <v>4319</v>
      </c>
      <c r="F2036" t="s">
        <v>4320</v>
      </c>
      <c r="G2036" t="s">
        <v>101</v>
      </c>
      <c r="H2036" t="s">
        <v>26</v>
      </c>
      <c r="I2036" t="s">
        <v>1186</v>
      </c>
      <c r="J2036" t="s">
        <v>93</v>
      </c>
      <c r="K2036" t="s">
        <v>94</v>
      </c>
      <c r="L2036" t="s">
        <v>1129</v>
      </c>
      <c r="M2036" t="s">
        <v>31</v>
      </c>
      <c r="N2036" t="s">
        <v>57</v>
      </c>
      <c r="O2036" t="s">
        <v>1130</v>
      </c>
      <c r="P2036">
        <v>24.7</v>
      </c>
      <c r="Q2036">
        <v>5</v>
      </c>
      <c r="R2036">
        <v>0.6</v>
      </c>
      <c r="S2036">
        <v>-9.8800000000000008</v>
      </c>
      <c r="T2036" t="s">
        <v>84</v>
      </c>
      <c r="U2036" t="s">
        <v>72</v>
      </c>
    </row>
    <row r="2037" spans="1:21" x14ac:dyDescent="0.25">
      <c r="A2037" t="s">
        <v>4318</v>
      </c>
      <c r="B2037" s="1">
        <v>42579</v>
      </c>
      <c r="C2037" s="1">
        <v>42583</v>
      </c>
      <c r="D2037" t="s">
        <v>40</v>
      </c>
      <c r="E2037" t="s">
        <v>4319</v>
      </c>
      <c r="F2037" t="s">
        <v>4320</v>
      </c>
      <c r="G2037" t="s">
        <v>101</v>
      </c>
      <c r="H2037" t="s">
        <v>26</v>
      </c>
      <c r="I2037" t="s">
        <v>1186</v>
      </c>
      <c r="J2037" t="s">
        <v>93</v>
      </c>
      <c r="K2037" t="s">
        <v>94</v>
      </c>
      <c r="L2037" t="s">
        <v>3677</v>
      </c>
      <c r="M2037" t="s">
        <v>31</v>
      </c>
      <c r="N2037" t="s">
        <v>57</v>
      </c>
      <c r="O2037" t="s">
        <v>3678</v>
      </c>
      <c r="P2037">
        <v>302.72000000000003</v>
      </c>
      <c r="Q2037">
        <v>5</v>
      </c>
      <c r="R2037">
        <v>0.6</v>
      </c>
      <c r="S2037">
        <v>-378.4</v>
      </c>
      <c r="T2037" t="s">
        <v>84</v>
      </c>
      <c r="U2037" t="s">
        <v>72</v>
      </c>
    </row>
    <row r="2038" spans="1:21" x14ac:dyDescent="0.25">
      <c r="A2038" t="s">
        <v>4321</v>
      </c>
      <c r="B2038" s="1">
        <v>42266</v>
      </c>
      <c r="C2038" s="1">
        <v>42270</v>
      </c>
      <c r="D2038" t="s">
        <v>40</v>
      </c>
      <c r="E2038" t="s">
        <v>4322</v>
      </c>
      <c r="F2038" t="s">
        <v>4323</v>
      </c>
      <c r="G2038" t="s">
        <v>101</v>
      </c>
      <c r="H2038" t="s">
        <v>26</v>
      </c>
      <c r="I2038" t="s">
        <v>1850</v>
      </c>
      <c r="J2038" t="s">
        <v>54</v>
      </c>
      <c r="K2038" t="s">
        <v>55</v>
      </c>
      <c r="L2038" t="s">
        <v>2319</v>
      </c>
      <c r="M2038" t="s">
        <v>31</v>
      </c>
      <c r="N2038" t="s">
        <v>57</v>
      </c>
      <c r="O2038" t="s">
        <v>2320</v>
      </c>
      <c r="P2038">
        <v>60.84</v>
      </c>
      <c r="Q2038">
        <v>3</v>
      </c>
      <c r="R2038">
        <v>0</v>
      </c>
      <c r="S2038">
        <v>19.468800000000002</v>
      </c>
      <c r="T2038" t="s">
        <v>84</v>
      </c>
      <c r="U2038" t="s">
        <v>78</v>
      </c>
    </row>
    <row r="2039" spans="1:21" x14ac:dyDescent="0.25">
      <c r="A2039" t="s">
        <v>4324</v>
      </c>
      <c r="B2039" s="1">
        <v>42538</v>
      </c>
      <c r="C2039" s="1">
        <v>42544</v>
      </c>
      <c r="D2039" t="s">
        <v>40</v>
      </c>
      <c r="E2039" t="s">
        <v>2125</v>
      </c>
      <c r="F2039" t="s">
        <v>2126</v>
      </c>
      <c r="G2039" t="s">
        <v>91</v>
      </c>
      <c r="H2039" t="s">
        <v>26</v>
      </c>
      <c r="I2039" t="s">
        <v>895</v>
      </c>
      <c r="J2039" t="s">
        <v>121</v>
      </c>
      <c r="K2039" t="s">
        <v>68</v>
      </c>
      <c r="L2039" t="s">
        <v>1329</v>
      </c>
      <c r="M2039" t="s">
        <v>31</v>
      </c>
      <c r="N2039" t="s">
        <v>46</v>
      </c>
      <c r="O2039" t="s">
        <v>1330</v>
      </c>
      <c r="P2039">
        <v>376.86599999999999</v>
      </c>
      <c r="Q2039">
        <v>3</v>
      </c>
      <c r="R2039">
        <v>0.4</v>
      </c>
      <c r="S2039">
        <v>-213.5574</v>
      </c>
      <c r="T2039" t="s">
        <v>130</v>
      </c>
      <c r="U2039" t="s">
        <v>60</v>
      </c>
    </row>
    <row r="2040" spans="1:21" x14ac:dyDescent="0.25">
      <c r="A2040" t="s">
        <v>4325</v>
      </c>
      <c r="B2040" s="1">
        <v>42506</v>
      </c>
      <c r="C2040" s="1">
        <v>42509</v>
      </c>
      <c r="D2040" t="s">
        <v>22</v>
      </c>
      <c r="E2040" t="s">
        <v>508</v>
      </c>
      <c r="F2040" t="s">
        <v>509</v>
      </c>
      <c r="G2040" t="s">
        <v>25</v>
      </c>
      <c r="H2040" t="s">
        <v>26</v>
      </c>
      <c r="I2040" t="s">
        <v>53</v>
      </c>
      <c r="J2040" t="s">
        <v>54</v>
      </c>
      <c r="K2040" t="s">
        <v>55</v>
      </c>
      <c r="L2040" t="s">
        <v>2170</v>
      </c>
      <c r="M2040" t="s">
        <v>31</v>
      </c>
      <c r="N2040" t="s">
        <v>57</v>
      </c>
      <c r="O2040" t="s">
        <v>2171</v>
      </c>
      <c r="P2040">
        <v>282.83999999999997</v>
      </c>
      <c r="Q2040">
        <v>4</v>
      </c>
      <c r="R2040">
        <v>0</v>
      </c>
      <c r="S2040">
        <v>19.7988</v>
      </c>
      <c r="T2040" t="s">
        <v>34</v>
      </c>
      <c r="U2040" t="s">
        <v>162</v>
      </c>
    </row>
    <row r="2041" spans="1:21" x14ac:dyDescent="0.25">
      <c r="A2041" t="s">
        <v>4326</v>
      </c>
      <c r="B2041" s="1">
        <v>42915</v>
      </c>
      <c r="C2041" s="1">
        <v>42916</v>
      </c>
      <c r="D2041" t="s">
        <v>88</v>
      </c>
      <c r="E2041" t="s">
        <v>3434</v>
      </c>
      <c r="F2041" t="s">
        <v>3435</v>
      </c>
      <c r="G2041" t="s">
        <v>25</v>
      </c>
      <c r="H2041" t="s">
        <v>26</v>
      </c>
      <c r="I2041" t="s">
        <v>1740</v>
      </c>
      <c r="J2041" t="s">
        <v>93</v>
      </c>
      <c r="K2041" t="s">
        <v>94</v>
      </c>
      <c r="L2041" t="s">
        <v>1628</v>
      </c>
      <c r="M2041" t="s">
        <v>31</v>
      </c>
      <c r="N2041" t="s">
        <v>46</v>
      </c>
      <c r="O2041" t="s">
        <v>1629</v>
      </c>
      <c r="P2041">
        <v>307.31400000000002</v>
      </c>
      <c r="Q2041">
        <v>3</v>
      </c>
      <c r="R2041">
        <v>0.3</v>
      </c>
      <c r="S2041">
        <v>-39.511800000000001</v>
      </c>
      <c r="T2041" t="s">
        <v>124</v>
      </c>
      <c r="U2041" t="s">
        <v>60</v>
      </c>
    </row>
    <row r="2042" spans="1:21" x14ac:dyDescent="0.25">
      <c r="A2042" t="s">
        <v>4326</v>
      </c>
      <c r="B2042" s="1">
        <v>42915</v>
      </c>
      <c r="C2042" s="1">
        <v>42916</v>
      </c>
      <c r="D2042" t="s">
        <v>88</v>
      </c>
      <c r="E2042" t="s">
        <v>3434</v>
      </c>
      <c r="F2042" t="s">
        <v>3435</v>
      </c>
      <c r="G2042" t="s">
        <v>25</v>
      </c>
      <c r="H2042" t="s">
        <v>26</v>
      </c>
      <c r="I2042" t="s">
        <v>1740</v>
      </c>
      <c r="J2042" t="s">
        <v>93</v>
      </c>
      <c r="K2042" t="s">
        <v>94</v>
      </c>
      <c r="L2042" t="s">
        <v>1870</v>
      </c>
      <c r="M2042" t="s">
        <v>31</v>
      </c>
      <c r="N2042" t="s">
        <v>32</v>
      </c>
      <c r="O2042" t="s">
        <v>1871</v>
      </c>
      <c r="P2042">
        <v>409.99919999999997</v>
      </c>
      <c r="Q2042">
        <v>3</v>
      </c>
      <c r="R2042">
        <v>0.32</v>
      </c>
      <c r="S2042">
        <v>-96.470399999999998</v>
      </c>
      <c r="T2042" t="s">
        <v>124</v>
      </c>
      <c r="U2042" t="s">
        <v>60</v>
      </c>
    </row>
    <row r="2043" spans="1:21" x14ac:dyDescent="0.25">
      <c r="A2043" t="s">
        <v>4327</v>
      </c>
      <c r="B2043" s="1">
        <v>41926</v>
      </c>
      <c r="C2043" s="1">
        <v>41929</v>
      </c>
      <c r="D2043" t="s">
        <v>88</v>
      </c>
      <c r="E2043" t="s">
        <v>3770</v>
      </c>
      <c r="F2043" t="s">
        <v>3771</v>
      </c>
      <c r="G2043" t="s">
        <v>25</v>
      </c>
      <c r="H2043" t="s">
        <v>26</v>
      </c>
      <c r="I2043" t="s">
        <v>1358</v>
      </c>
      <c r="J2043" t="s">
        <v>435</v>
      </c>
      <c r="K2043" t="s">
        <v>68</v>
      </c>
      <c r="L2043" t="s">
        <v>2911</v>
      </c>
      <c r="M2043" t="s">
        <v>31</v>
      </c>
      <c r="N2043" t="s">
        <v>37</v>
      </c>
      <c r="O2043" t="s">
        <v>2912</v>
      </c>
      <c r="P2043">
        <v>1628.82</v>
      </c>
      <c r="Q2043">
        <v>9</v>
      </c>
      <c r="R2043">
        <v>0</v>
      </c>
      <c r="S2043">
        <v>260.6112</v>
      </c>
      <c r="T2043" t="s">
        <v>34</v>
      </c>
      <c r="U2043" t="s">
        <v>49</v>
      </c>
    </row>
    <row r="2044" spans="1:21" x14ac:dyDescent="0.25">
      <c r="A2044" t="s">
        <v>4328</v>
      </c>
      <c r="B2044" s="1">
        <v>41961</v>
      </c>
      <c r="C2044" s="1">
        <v>41968</v>
      </c>
      <c r="D2044" t="s">
        <v>40</v>
      </c>
      <c r="E2044" t="s">
        <v>771</v>
      </c>
      <c r="F2044" t="s">
        <v>772</v>
      </c>
      <c r="G2044" t="s">
        <v>91</v>
      </c>
      <c r="H2044" t="s">
        <v>26</v>
      </c>
      <c r="I2044" t="s">
        <v>192</v>
      </c>
      <c r="J2044" t="s">
        <v>193</v>
      </c>
      <c r="K2044" t="s">
        <v>55</v>
      </c>
      <c r="L2044" t="s">
        <v>706</v>
      </c>
      <c r="M2044" t="s">
        <v>31</v>
      </c>
      <c r="N2044" t="s">
        <v>57</v>
      </c>
      <c r="O2044" t="s">
        <v>707</v>
      </c>
      <c r="P2044">
        <v>137.54</v>
      </c>
      <c r="Q2044">
        <v>2</v>
      </c>
      <c r="R2044">
        <v>0</v>
      </c>
      <c r="S2044">
        <v>55.015999999999998</v>
      </c>
      <c r="T2044" t="s">
        <v>48</v>
      </c>
      <c r="U2044" t="s">
        <v>35</v>
      </c>
    </row>
    <row r="2045" spans="1:21" x14ac:dyDescent="0.25">
      <c r="A2045" t="s">
        <v>4328</v>
      </c>
      <c r="B2045" s="1">
        <v>41961</v>
      </c>
      <c r="C2045" s="1">
        <v>41968</v>
      </c>
      <c r="D2045" t="s">
        <v>40</v>
      </c>
      <c r="E2045" t="s">
        <v>771</v>
      </c>
      <c r="F2045" t="s">
        <v>772</v>
      </c>
      <c r="G2045" t="s">
        <v>91</v>
      </c>
      <c r="H2045" t="s">
        <v>26</v>
      </c>
      <c r="I2045" t="s">
        <v>192</v>
      </c>
      <c r="J2045" t="s">
        <v>193</v>
      </c>
      <c r="K2045" t="s">
        <v>55</v>
      </c>
      <c r="L2045" t="s">
        <v>1235</v>
      </c>
      <c r="M2045" t="s">
        <v>31</v>
      </c>
      <c r="N2045" t="s">
        <v>46</v>
      </c>
      <c r="O2045" t="s">
        <v>1236</v>
      </c>
      <c r="P2045">
        <v>730.2</v>
      </c>
      <c r="Q2045">
        <v>4</v>
      </c>
      <c r="R2045">
        <v>0</v>
      </c>
      <c r="S2045">
        <v>94.926000000000002</v>
      </c>
      <c r="T2045" t="s">
        <v>48</v>
      </c>
      <c r="U2045" t="s">
        <v>35</v>
      </c>
    </row>
    <row r="2046" spans="1:21" x14ac:dyDescent="0.25">
      <c r="A2046" t="s">
        <v>4329</v>
      </c>
      <c r="B2046" s="1">
        <v>42032</v>
      </c>
      <c r="C2046" s="1">
        <v>42035</v>
      </c>
      <c r="D2046" t="s">
        <v>22</v>
      </c>
      <c r="E2046" t="s">
        <v>4330</v>
      </c>
      <c r="F2046" t="s">
        <v>4331</v>
      </c>
      <c r="G2046" t="s">
        <v>25</v>
      </c>
      <c r="H2046" t="s">
        <v>26</v>
      </c>
      <c r="I2046" t="s">
        <v>510</v>
      </c>
      <c r="J2046" t="s">
        <v>1037</v>
      </c>
      <c r="K2046" t="s">
        <v>29</v>
      </c>
      <c r="L2046" t="s">
        <v>752</v>
      </c>
      <c r="M2046" t="s">
        <v>31</v>
      </c>
      <c r="N2046" t="s">
        <v>46</v>
      </c>
      <c r="O2046" t="s">
        <v>753</v>
      </c>
      <c r="P2046">
        <v>4297.6440000000002</v>
      </c>
      <c r="Q2046">
        <v>13</v>
      </c>
      <c r="R2046">
        <v>0.4</v>
      </c>
      <c r="S2046">
        <v>-1862.3124</v>
      </c>
      <c r="T2046" t="s">
        <v>34</v>
      </c>
      <c r="U2046" t="s">
        <v>170</v>
      </c>
    </row>
    <row r="2047" spans="1:21" x14ac:dyDescent="0.25">
      <c r="A2047" t="s">
        <v>4332</v>
      </c>
      <c r="B2047" s="1">
        <v>41705</v>
      </c>
      <c r="C2047" s="1">
        <v>41710</v>
      </c>
      <c r="D2047" t="s">
        <v>40</v>
      </c>
      <c r="E2047" t="s">
        <v>3923</v>
      </c>
      <c r="F2047" t="s">
        <v>3924</v>
      </c>
      <c r="G2047" t="s">
        <v>91</v>
      </c>
      <c r="H2047" t="s">
        <v>26</v>
      </c>
      <c r="I2047" t="s">
        <v>192</v>
      </c>
      <c r="J2047" t="s">
        <v>193</v>
      </c>
      <c r="K2047" t="s">
        <v>55</v>
      </c>
      <c r="L2047" t="s">
        <v>4243</v>
      </c>
      <c r="M2047" t="s">
        <v>31</v>
      </c>
      <c r="N2047" t="s">
        <v>37</v>
      </c>
      <c r="O2047" t="s">
        <v>4244</v>
      </c>
      <c r="P2047">
        <v>436.70400000000001</v>
      </c>
      <c r="Q2047">
        <v>6</v>
      </c>
      <c r="R2047">
        <v>0.2</v>
      </c>
      <c r="S2047">
        <v>21.8352</v>
      </c>
      <c r="T2047" t="s">
        <v>59</v>
      </c>
      <c r="U2047" t="s">
        <v>196</v>
      </c>
    </row>
    <row r="2048" spans="1:21" x14ac:dyDescent="0.25">
      <c r="A2048" t="s">
        <v>4332</v>
      </c>
      <c r="B2048" s="1">
        <v>41705</v>
      </c>
      <c r="C2048" s="1">
        <v>41710</v>
      </c>
      <c r="D2048" t="s">
        <v>40</v>
      </c>
      <c r="E2048" t="s">
        <v>3923</v>
      </c>
      <c r="F2048" t="s">
        <v>3924</v>
      </c>
      <c r="G2048" t="s">
        <v>91</v>
      </c>
      <c r="H2048" t="s">
        <v>26</v>
      </c>
      <c r="I2048" t="s">
        <v>192</v>
      </c>
      <c r="J2048" t="s">
        <v>193</v>
      </c>
      <c r="K2048" t="s">
        <v>55</v>
      </c>
      <c r="L2048" t="s">
        <v>2335</v>
      </c>
      <c r="M2048" t="s">
        <v>31</v>
      </c>
      <c r="N2048" t="s">
        <v>37</v>
      </c>
      <c r="O2048" t="s">
        <v>2336</v>
      </c>
      <c r="P2048">
        <v>481.56799999999998</v>
      </c>
      <c r="Q2048">
        <v>2</v>
      </c>
      <c r="R2048">
        <v>0.2</v>
      </c>
      <c r="S2048">
        <v>54.176400000000001</v>
      </c>
      <c r="T2048" t="s">
        <v>59</v>
      </c>
      <c r="U2048" t="s">
        <v>196</v>
      </c>
    </row>
    <row r="2049" spans="1:21" x14ac:dyDescent="0.25">
      <c r="A2049" t="s">
        <v>4333</v>
      </c>
      <c r="B2049" s="1">
        <v>42700</v>
      </c>
      <c r="C2049" s="1">
        <v>42704</v>
      </c>
      <c r="D2049" t="s">
        <v>40</v>
      </c>
      <c r="E2049" t="s">
        <v>1682</v>
      </c>
      <c r="F2049" t="s">
        <v>1683</v>
      </c>
      <c r="G2049" t="s">
        <v>25</v>
      </c>
      <c r="H2049" t="s">
        <v>26</v>
      </c>
      <c r="I2049" t="s">
        <v>53</v>
      </c>
      <c r="J2049" t="s">
        <v>54</v>
      </c>
      <c r="K2049" t="s">
        <v>55</v>
      </c>
      <c r="L2049" t="s">
        <v>1696</v>
      </c>
      <c r="M2049" t="s">
        <v>31</v>
      </c>
      <c r="N2049" t="s">
        <v>32</v>
      </c>
      <c r="O2049" t="s">
        <v>1697</v>
      </c>
      <c r="P2049">
        <v>3406.6640000000002</v>
      </c>
      <c r="Q2049">
        <v>8</v>
      </c>
      <c r="R2049">
        <v>0.15</v>
      </c>
      <c r="S2049">
        <v>160.31360000000001</v>
      </c>
      <c r="T2049" t="s">
        <v>84</v>
      </c>
      <c r="U2049" t="s">
        <v>35</v>
      </c>
    </row>
    <row r="2050" spans="1:21" x14ac:dyDescent="0.25">
      <c r="A2050" t="s">
        <v>4333</v>
      </c>
      <c r="B2050" s="1">
        <v>42700</v>
      </c>
      <c r="C2050" s="1">
        <v>42704</v>
      </c>
      <c r="D2050" t="s">
        <v>40</v>
      </c>
      <c r="E2050" t="s">
        <v>1682</v>
      </c>
      <c r="F2050" t="s">
        <v>1683</v>
      </c>
      <c r="G2050" t="s">
        <v>25</v>
      </c>
      <c r="H2050" t="s">
        <v>26</v>
      </c>
      <c r="I2050" t="s">
        <v>53</v>
      </c>
      <c r="J2050" t="s">
        <v>54</v>
      </c>
      <c r="K2050" t="s">
        <v>55</v>
      </c>
      <c r="L2050" t="s">
        <v>1401</v>
      </c>
      <c r="M2050" t="s">
        <v>31</v>
      </c>
      <c r="N2050" t="s">
        <v>57</v>
      </c>
      <c r="O2050" t="s">
        <v>1402</v>
      </c>
      <c r="P2050">
        <v>595.38</v>
      </c>
      <c r="Q2050">
        <v>6</v>
      </c>
      <c r="R2050">
        <v>0</v>
      </c>
      <c r="S2050">
        <v>297.69</v>
      </c>
      <c r="T2050" t="s">
        <v>84</v>
      </c>
      <c r="U2050" t="s">
        <v>35</v>
      </c>
    </row>
    <row r="2051" spans="1:21" x14ac:dyDescent="0.25">
      <c r="A2051" t="s">
        <v>4334</v>
      </c>
      <c r="B2051" s="1">
        <v>41904</v>
      </c>
      <c r="C2051" s="1">
        <v>41911</v>
      </c>
      <c r="D2051" t="s">
        <v>40</v>
      </c>
      <c r="E2051" t="s">
        <v>1626</v>
      </c>
      <c r="F2051" t="s">
        <v>1627</v>
      </c>
      <c r="G2051" t="s">
        <v>25</v>
      </c>
      <c r="H2051" t="s">
        <v>26</v>
      </c>
      <c r="I2051" t="s">
        <v>174</v>
      </c>
      <c r="J2051" t="s">
        <v>121</v>
      </c>
      <c r="K2051" t="s">
        <v>68</v>
      </c>
      <c r="L2051" t="s">
        <v>2056</v>
      </c>
      <c r="M2051" t="s">
        <v>31</v>
      </c>
      <c r="N2051" t="s">
        <v>57</v>
      </c>
      <c r="O2051" t="s">
        <v>2057</v>
      </c>
      <c r="P2051">
        <v>97.44</v>
      </c>
      <c r="Q2051">
        <v>3</v>
      </c>
      <c r="R2051">
        <v>0</v>
      </c>
      <c r="S2051">
        <v>35.078400000000002</v>
      </c>
      <c r="T2051" t="s">
        <v>48</v>
      </c>
      <c r="U2051" t="s">
        <v>78</v>
      </c>
    </row>
    <row r="2052" spans="1:21" x14ac:dyDescent="0.25">
      <c r="A2052" t="s">
        <v>4334</v>
      </c>
      <c r="B2052" s="1">
        <v>41904</v>
      </c>
      <c r="C2052" s="1">
        <v>41911</v>
      </c>
      <c r="D2052" t="s">
        <v>40</v>
      </c>
      <c r="E2052" t="s">
        <v>1626</v>
      </c>
      <c r="F2052" t="s">
        <v>1627</v>
      </c>
      <c r="G2052" t="s">
        <v>25</v>
      </c>
      <c r="H2052" t="s">
        <v>26</v>
      </c>
      <c r="I2052" t="s">
        <v>174</v>
      </c>
      <c r="J2052" t="s">
        <v>121</v>
      </c>
      <c r="K2052" t="s">
        <v>68</v>
      </c>
      <c r="L2052" t="s">
        <v>2550</v>
      </c>
      <c r="M2052" t="s">
        <v>31</v>
      </c>
      <c r="N2052" t="s">
        <v>37</v>
      </c>
      <c r="O2052" t="s">
        <v>2551</v>
      </c>
      <c r="P2052">
        <v>579.52800000000002</v>
      </c>
      <c r="Q2052">
        <v>4</v>
      </c>
      <c r="R2052">
        <v>0.1</v>
      </c>
      <c r="S2052">
        <v>83.709599999999995</v>
      </c>
      <c r="T2052" t="s">
        <v>48</v>
      </c>
      <c r="U2052" t="s">
        <v>78</v>
      </c>
    </row>
    <row r="2053" spans="1:21" x14ac:dyDescent="0.25">
      <c r="A2053" t="s">
        <v>4335</v>
      </c>
      <c r="B2053" s="1">
        <v>43055</v>
      </c>
      <c r="C2053" s="1">
        <v>43059</v>
      </c>
      <c r="D2053" t="s">
        <v>40</v>
      </c>
      <c r="E2053" t="s">
        <v>222</v>
      </c>
      <c r="F2053" t="s">
        <v>223</v>
      </c>
      <c r="G2053" t="s">
        <v>25</v>
      </c>
      <c r="H2053" t="s">
        <v>26</v>
      </c>
      <c r="I2053" t="s">
        <v>53</v>
      </c>
      <c r="J2053" t="s">
        <v>54</v>
      </c>
      <c r="K2053" t="s">
        <v>55</v>
      </c>
      <c r="L2053" t="s">
        <v>1124</v>
      </c>
      <c r="M2053" t="s">
        <v>31</v>
      </c>
      <c r="N2053" t="s">
        <v>57</v>
      </c>
      <c r="O2053" t="s">
        <v>1125</v>
      </c>
      <c r="P2053">
        <v>119.94</v>
      </c>
      <c r="Q2053">
        <v>3</v>
      </c>
      <c r="R2053">
        <v>0</v>
      </c>
      <c r="S2053">
        <v>23.988</v>
      </c>
      <c r="T2053" t="s">
        <v>84</v>
      </c>
      <c r="U2053" t="s">
        <v>35</v>
      </c>
    </row>
    <row r="2054" spans="1:21" x14ac:dyDescent="0.25">
      <c r="A2054" t="s">
        <v>4335</v>
      </c>
      <c r="B2054" s="1">
        <v>43055</v>
      </c>
      <c r="C2054" s="1">
        <v>43059</v>
      </c>
      <c r="D2054" t="s">
        <v>40</v>
      </c>
      <c r="E2054" t="s">
        <v>222</v>
      </c>
      <c r="F2054" t="s">
        <v>223</v>
      </c>
      <c r="G2054" t="s">
        <v>25</v>
      </c>
      <c r="H2054" t="s">
        <v>26</v>
      </c>
      <c r="I2054" t="s">
        <v>53</v>
      </c>
      <c r="J2054" t="s">
        <v>54</v>
      </c>
      <c r="K2054" t="s">
        <v>55</v>
      </c>
      <c r="L2054" t="s">
        <v>1981</v>
      </c>
      <c r="M2054" t="s">
        <v>31</v>
      </c>
      <c r="N2054" t="s">
        <v>57</v>
      </c>
      <c r="O2054" t="s">
        <v>1982</v>
      </c>
      <c r="P2054">
        <v>12.42</v>
      </c>
      <c r="Q2054">
        <v>3</v>
      </c>
      <c r="R2054">
        <v>0</v>
      </c>
      <c r="S2054">
        <v>4.4711999999999996</v>
      </c>
      <c r="T2054" t="s">
        <v>84</v>
      </c>
      <c r="U2054" t="s">
        <v>35</v>
      </c>
    </row>
    <row r="2055" spans="1:21" x14ac:dyDescent="0.25">
      <c r="A2055" t="s">
        <v>4336</v>
      </c>
      <c r="B2055" s="1">
        <v>42496</v>
      </c>
      <c r="C2055" s="1">
        <v>42500</v>
      </c>
      <c r="D2055" t="s">
        <v>40</v>
      </c>
      <c r="E2055" t="s">
        <v>3860</v>
      </c>
      <c r="F2055" t="s">
        <v>3861</v>
      </c>
      <c r="G2055" t="s">
        <v>25</v>
      </c>
      <c r="H2055" t="s">
        <v>26</v>
      </c>
      <c r="I2055" t="s">
        <v>2086</v>
      </c>
      <c r="J2055" t="s">
        <v>54</v>
      </c>
      <c r="K2055" t="s">
        <v>55</v>
      </c>
      <c r="L2055" t="s">
        <v>1554</v>
      </c>
      <c r="M2055" t="s">
        <v>31</v>
      </c>
      <c r="N2055" t="s">
        <v>57</v>
      </c>
      <c r="O2055" t="s">
        <v>1555</v>
      </c>
      <c r="P2055">
        <v>41.6</v>
      </c>
      <c r="Q2055">
        <v>4</v>
      </c>
      <c r="R2055">
        <v>0</v>
      </c>
      <c r="S2055">
        <v>14.144</v>
      </c>
      <c r="T2055" t="s">
        <v>84</v>
      </c>
      <c r="U2055" t="s">
        <v>162</v>
      </c>
    </row>
    <row r="2056" spans="1:21" x14ac:dyDescent="0.25">
      <c r="A2056" t="s">
        <v>4337</v>
      </c>
      <c r="B2056" s="1">
        <v>43082</v>
      </c>
      <c r="C2056" s="1">
        <v>43087</v>
      </c>
      <c r="D2056" t="s">
        <v>40</v>
      </c>
      <c r="E2056" t="s">
        <v>2064</v>
      </c>
      <c r="F2056" t="s">
        <v>2065</v>
      </c>
      <c r="G2056" t="s">
        <v>25</v>
      </c>
      <c r="H2056" t="s">
        <v>26</v>
      </c>
      <c r="I2056" t="s">
        <v>329</v>
      </c>
      <c r="J2056" t="s">
        <v>54</v>
      </c>
      <c r="K2056" t="s">
        <v>55</v>
      </c>
      <c r="L2056" t="s">
        <v>1291</v>
      </c>
      <c r="M2056" t="s">
        <v>31</v>
      </c>
      <c r="N2056" t="s">
        <v>57</v>
      </c>
      <c r="O2056" t="s">
        <v>1759</v>
      </c>
      <c r="P2056">
        <v>201.04</v>
      </c>
      <c r="Q2056">
        <v>8</v>
      </c>
      <c r="R2056">
        <v>0</v>
      </c>
      <c r="S2056">
        <v>54.280799999999999</v>
      </c>
      <c r="T2056" t="s">
        <v>59</v>
      </c>
      <c r="U2056" t="s">
        <v>97</v>
      </c>
    </row>
    <row r="2057" spans="1:21" x14ac:dyDescent="0.25">
      <c r="A2057" t="s">
        <v>4338</v>
      </c>
      <c r="B2057" s="1">
        <v>42321</v>
      </c>
      <c r="C2057" s="1">
        <v>42325</v>
      </c>
      <c r="D2057" t="s">
        <v>40</v>
      </c>
      <c r="E2057" t="s">
        <v>404</v>
      </c>
      <c r="F2057" t="s">
        <v>405</v>
      </c>
      <c r="G2057" t="s">
        <v>25</v>
      </c>
      <c r="H2057" t="s">
        <v>26</v>
      </c>
      <c r="I2057" t="s">
        <v>102</v>
      </c>
      <c r="J2057" t="s">
        <v>93</v>
      </c>
      <c r="K2057" t="s">
        <v>94</v>
      </c>
      <c r="L2057" t="s">
        <v>1000</v>
      </c>
      <c r="M2057" t="s">
        <v>31</v>
      </c>
      <c r="N2057" t="s">
        <v>32</v>
      </c>
      <c r="O2057" t="s">
        <v>1001</v>
      </c>
      <c r="P2057">
        <v>613.99919999999997</v>
      </c>
      <c r="Q2057">
        <v>3</v>
      </c>
      <c r="R2057">
        <v>0.32</v>
      </c>
      <c r="S2057">
        <v>-18.058800000000002</v>
      </c>
      <c r="T2057" t="s">
        <v>84</v>
      </c>
      <c r="U2057" t="s">
        <v>35</v>
      </c>
    </row>
    <row r="2058" spans="1:21" x14ac:dyDescent="0.25">
      <c r="A2058" t="s">
        <v>4339</v>
      </c>
      <c r="B2058" s="1">
        <v>42440</v>
      </c>
      <c r="C2058" s="1">
        <v>42440</v>
      </c>
      <c r="D2058" t="s">
        <v>426</v>
      </c>
      <c r="E2058" t="s">
        <v>4340</v>
      </c>
      <c r="F2058" t="s">
        <v>4341</v>
      </c>
      <c r="G2058" t="s">
        <v>101</v>
      </c>
      <c r="H2058" t="s">
        <v>26</v>
      </c>
      <c r="I2058" t="s">
        <v>66</v>
      </c>
      <c r="J2058" t="s">
        <v>67</v>
      </c>
      <c r="K2058" t="s">
        <v>68</v>
      </c>
      <c r="L2058" t="s">
        <v>1596</v>
      </c>
      <c r="M2058" t="s">
        <v>31</v>
      </c>
      <c r="N2058" t="s">
        <v>57</v>
      </c>
      <c r="O2058" t="s">
        <v>1597</v>
      </c>
      <c r="P2058">
        <v>30.335999999999999</v>
      </c>
      <c r="Q2058">
        <v>4</v>
      </c>
      <c r="R2058">
        <v>0.2</v>
      </c>
      <c r="S2058">
        <v>9.48</v>
      </c>
      <c r="T2058" t="s">
        <v>431</v>
      </c>
      <c r="U2058" t="s">
        <v>196</v>
      </c>
    </row>
    <row r="2059" spans="1:21" x14ac:dyDescent="0.25">
      <c r="A2059" t="s">
        <v>4342</v>
      </c>
      <c r="B2059" s="1">
        <v>42664</v>
      </c>
      <c r="C2059" s="1">
        <v>42670</v>
      </c>
      <c r="D2059" t="s">
        <v>40</v>
      </c>
      <c r="E2059" t="s">
        <v>629</v>
      </c>
      <c r="F2059" t="s">
        <v>630</v>
      </c>
      <c r="G2059" t="s">
        <v>25</v>
      </c>
      <c r="H2059" t="s">
        <v>26</v>
      </c>
      <c r="I2059" t="s">
        <v>53</v>
      </c>
      <c r="J2059" t="s">
        <v>54</v>
      </c>
      <c r="K2059" t="s">
        <v>55</v>
      </c>
      <c r="L2059" t="s">
        <v>3018</v>
      </c>
      <c r="M2059" t="s">
        <v>31</v>
      </c>
      <c r="N2059" t="s">
        <v>37</v>
      </c>
      <c r="O2059" t="s">
        <v>3019</v>
      </c>
      <c r="P2059">
        <v>242.136</v>
      </c>
      <c r="Q2059">
        <v>3</v>
      </c>
      <c r="R2059">
        <v>0.2</v>
      </c>
      <c r="S2059">
        <v>12.1068</v>
      </c>
      <c r="T2059" t="s">
        <v>130</v>
      </c>
      <c r="U2059" t="s">
        <v>49</v>
      </c>
    </row>
    <row r="2060" spans="1:21" x14ac:dyDescent="0.25">
      <c r="A2060" t="s">
        <v>4342</v>
      </c>
      <c r="B2060" s="1">
        <v>42664</v>
      </c>
      <c r="C2060" s="1">
        <v>42670</v>
      </c>
      <c r="D2060" t="s">
        <v>40</v>
      </c>
      <c r="E2060" t="s">
        <v>629</v>
      </c>
      <c r="F2060" t="s">
        <v>630</v>
      </c>
      <c r="G2060" t="s">
        <v>25</v>
      </c>
      <c r="H2060" t="s">
        <v>26</v>
      </c>
      <c r="I2060" t="s">
        <v>53</v>
      </c>
      <c r="J2060" t="s">
        <v>54</v>
      </c>
      <c r="K2060" t="s">
        <v>55</v>
      </c>
      <c r="L2060" t="s">
        <v>2660</v>
      </c>
      <c r="M2060" t="s">
        <v>31</v>
      </c>
      <c r="N2060" t="s">
        <v>57</v>
      </c>
      <c r="O2060" t="s">
        <v>2661</v>
      </c>
      <c r="P2060">
        <v>19.96</v>
      </c>
      <c r="Q2060">
        <v>2</v>
      </c>
      <c r="R2060">
        <v>0</v>
      </c>
      <c r="S2060">
        <v>5.5888</v>
      </c>
      <c r="T2060" t="s">
        <v>130</v>
      </c>
      <c r="U2060" t="s">
        <v>49</v>
      </c>
    </row>
    <row r="2061" spans="1:21" x14ac:dyDescent="0.25">
      <c r="A2061" t="s">
        <v>4343</v>
      </c>
      <c r="B2061" s="1">
        <v>41948</v>
      </c>
      <c r="C2061" s="1">
        <v>41953</v>
      </c>
      <c r="D2061" t="s">
        <v>40</v>
      </c>
      <c r="E2061" t="s">
        <v>1384</v>
      </c>
      <c r="F2061" t="s">
        <v>1385</v>
      </c>
      <c r="G2061" t="s">
        <v>25</v>
      </c>
      <c r="H2061" t="s">
        <v>26</v>
      </c>
      <c r="I2061" t="s">
        <v>66</v>
      </c>
      <c r="J2061" t="s">
        <v>67</v>
      </c>
      <c r="K2061" t="s">
        <v>68</v>
      </c>
      <c r="L2061" t="s">
        <v>1832</v>
      </c>
      <c r="M2061" t="s">
        <v>31</v>
      </c>
      <c r="N2061" t="s">
        <v>57</v>
      </c>
      <c r="O2061" t="s">
        <v>1833</v>
      </c>
      <c r="P2061">
        <v>273.56799999999998</v>
      </c>
      <c r="Q2061">
        <v>2</v>
      </c>
      <c r="R2061">
        <v>0.2</v>
      </c>
      <c r="S2061">
        <v>-34.195999999999998</v>
      </c>
      <c r="T2061" t="s">
        <v>59</v>
      </c>
      <c r="U2061" t="s">
        <v>35</v>
      </c>
    </row>
    <row r="2062" spans="1:21" x14ac:dyDescent="0.25">
      <c r="A2062" t="s">
        <v>4344</v>
      </c>
      <c r="B2062" s="1">
        <v>42635</v>
      </c>
      <c r="C2062" s="1">
        <v>42639</v>
      </c>
      <c r="D2062" t="s">
        <v>40</v>
      </c>
      <c r="E2062" t="s">
        <v>3079</v>
      </c>
      <c r="F2062" t="s">
        <v>3080</v>
      </c>
      <c r="G2062" t="s">
        <v>91</v>
      </c>
      <c r="H2062" t="s">
        <v>26</v>
      </c>
      <c r="I2062" t="s">
        <v>4148</v>
      </c>
      <c r="J2062" t="s">
        <v>239</v>
      </c>
      <c r="K2062" t="s">
        <v>94</v>
      </c>
      <c r="L2062" t="s">
        <v>2205</v>
      </c>
      <c r="M2062" t="s">
        <v>31</v>
      </c>
      <c r="N2062" t="s">
        <v>57</v>
      </c>
      <c r="O2062" t="s">
        <v>2206</v>
      </c>
      <c r="P2062">
        <v>18.96</v>
      </c>
      <c r="Q2062">
        <v>2</v>
      </c>
      <c r="R2062">
        <v>0</v>
      </c>
      <c r="S2062">
        <v>7.5839999999999996</v>
      </c>
      <c r="T2062" t="s">
        <v>84</v>
      </c>
      <c r="U2062" t="s">
        <v>78</v>
      </c>
    </row>
    <row r="2063" spans="1:21" x14ac:dyDescent="0.25">
      <c r="A2063" t="s">
        <v>4345</v>
      </c>
      <c r="B2063" s="1">
        <v>42416</v>
      </c>
      <c r="C2063" s="1">
        <v>42420</v>
      </c>
      <c r="D2063" t="s">
        <v>40</v>
      </c>
      <c r="E2063" t="s">
        <v>2212</v>
      </c>
      <c r="F2063" t="s">
        <v>2213</v>
      </c>
      <c r="G2063" t="s">
        <v>25</v>
      </c>
      <c r="H2063" t="s">
        <v>26</v>
      </c>
      <c r="I2063" t="s">
        <v>174</v>
      </c>
      <c r="J2063" t="s">
        <v>121</v>
      </c>
      <c r="K2063" t="s">
        <v>68</v>
      </c>
      <c r="L2063" t="s">
        <v>2989</v>
      </c>
      <c r="M2063" t="s">
        <v>31</v>
      </c>
      <c r="N2063" t="s">
        <v>37</v>
      </c>
      <c r="O2063" t="s">
        <v>2990</v>
      </c>
      <c r="P2063">
        <v>326.64600000000002</v>
      </c>
      <c r="Q2063">
        <v>3</v>
      </c>
      <c r="R2063">
        <v>0.1</v>
      </c>
      <c r="S2063">
        <v>39.923400000000001</v>
      </c>
      <c r="T2063" t="s">
        <v>84</v>
      </c>
      <c r="U2063" t="s">
        <v>298</v>
      </c>
    </row>
    <row r="2064" spans="1:21" x14ac:dyDescent="0.25">
      <c r="A2064" t="s">
        <v>4346</v>
      </c>
      <c r="B2064" s="1">
        <v>41871</v>
      </c>
      <c r="C2064" s="1">
        <v>41876</v>
      </c>
      <c r="D2064" t="s">
        <v>40</v>
      </c>
      <c r="E2064" t="s">
        <v>2742</v>
      </c>
      <c r="F2064" t="s">
        <v>2743</v>
      </c>
      <c r="G2064" t="s">
        <v>91</v>
      </c>
      <c r="H2064" t="s">
        <v>26</v>
      </c>
      <c r="I2064" t="s">
        <v>2851</v>
      </c>
      <c r="J2064" t="s">
        <v>717</v>
      </c>
      <c r="K2064" t="s">
        <v>29</v>
      </c>
      <c r="L2064" t="s">
        <v>2219</v>
      </c>
      <c r="M2064" t="s">
        <v>31</v>
      </c>
      <c r="N2064" t="s">
        <v>37</v>
      </c>
      <c r="O2064" t="s">
        <v>2220</v>
      </c>
      <c r="P2064">
        <v>500.24</v>
      </c>
      <c r="Q2064">
        <v>13</v>
      </c>
      <c r="R2064">
        <v>0</v>
      </c>
      <c r="S2064">
        <v>145.06960000000001</v>
      </c>
      <c r="T2064" t="s">
        <v>59</v>
      </c>
      <c r="U2064" t="s">
        <v>254</v>
      </c>
    </row>
    <row r="2065" spans="1:21" x14ac:dyDescent="0.25">
      <c r="A2065" t="s">
        <v>4347</v>
      </c>
      <c r="B2065" s="1">
        <v>42316</v>
      </c>
      <c r="C2065" s="1">
        <v>42320</v>
      </c>
      <c r="D2065" t="s">
        <v>40</v>
      </c>
      <c r="E2065" t="s">
        <v>4348</v>
      </c>
      <c r="F2065" t="s">
        <v>4349</v>
      </c>
      <c r="G2065" t="s">
        <v>91</v>
      </c>
      <c r="H2065" t="s">
        <v>26</v>
      </c>
      <c r="I2065" t="s">
        <v>3032</v>
      </c>
      <c r="J2065" t="s">
        <v>3107</v>
      </c>
      <c r="K2065" t="s">
        <v>68</v>
      </c>
      <c r="L2065" t="s">
        <v>82</v>
      </c>
      <c r="M2065" t="s">
        <v>31</v>
      </c>
      <c r="N2065" t="s">
        <v>32</v>
      </c>
      <c r="O2065" t="s">
        <v>83</v>
      </c>
      <c r="P2065">
        <v>4404.8999999999996</v>
      </c>
      <c r="Q2065">
        <v>5</v>
      </c>
      <c r="R2065">
        <v>0</v>
      </c>
      <c r="S2065">
        <v>1013.127</v>
      </c>
      <c r="T2065" t="s">
        <v>84</v>
      </c>
      <c r="U2065" t="s">
        <v>35</v>
      </c>
    </row>
    <row r="2066" spans="1:21" x14ac:dyDescent="0.25">
      <c r="A2066" t="s">
        <v>4350</v>
      </c>
      <c r="B2066" s="1">
        <v>43063</v>
      </c>
      <c r="C2066" s="1">
        <v>43063</v>
      </c>
      <c r="D2066" t="s">
        <v>426</v>
      </c>
      <c r="E2066" t="s">
        <v>1208</v>
      </c>
      <c r="F2066" t="s">
        <v>1209</v>
      </c>
      <c r="G2066" t="s">
        <v>25</v>
      </c>
      <c r="H2066" t="s">
        <v>26</v>
      </c>
      <c r="I2066" t="s">
        <v>53</v>
      </c>
      <c r="J2066" t="s">
        <v>54</v>
      </c>
      <c r="K2066" t="s">
        <v>55</v>
      </c>
      <c r="L2066" t="s">
        <v>442</v>
      </c>
      <c r="M2066" t="s">
        <v>31</v>
      </c>
      <c r="N2066" t="s">
        <v>46</v>
      </c>
      <c r="O2066" t="s">
        <v>443</v>
      </c>
      <c r="P2066">
        <v>364.08</v>
      </c>
      <c r="Q2066">
        <v>2</v>
      </c>
      <c r="R2066">
        <v>0.2</v>
      </c>
      <c r="S2066">
        <v>9.1020000000000003</v>
      </c>
      <c r="T2066" t="s">
        <v>431</v>
      </c>
      <c r="U2066" t="s">
        <v>35</v>
      </c>
    </row>
    <row r="2067" spans="1:21" x14ac:dyDescent="0.25">
      <c r="A2067" t="s">
        <v>4350</v>
      </c>
      <c r="B2067" s="1">
        <v>43063</v>
      </c>
      <c r="C2067" s="1">
        <v>43063</v>
      </c>
      <c r="D2067" t="s">
        <v>426</v>
      </c>
      <c r="E2067" t="s">
        <v>1208</v>
      </c>
      <c r="F2067" t="s">
        <v>1209</v>
      </c>
      <c r="G2067" t="s">
        <v>25</v>
      </c>
      <c r="H2067" t="s">
        <v>26</v>
      </c>
      <c r="I2067" t="s">
        <v>53</v>
      </c>
      <c r="J2067" t="s">
        <v>54</v>
      </c>
      <c r="K2067" t="s">
        <v>55</v>
      </c>
      <c r="L2067" t="s">
        <v>1250</v>
      </c>
      <c r="M2067" t="s">
        <v>31</v>
      </c>
      <c r="N2067" t="s">
        <v>46</v>
      </c>
      <c r="O2067" t="s">
        <v>1251</v>
      </c>
      <c r="P2067">
        <v>71.087999999999994</v>
      </c>
      <c r="Q2067">
        <v>2</v>
      </c>
      <c r="R2067">
        <v>0.2</v>
      </c>
      <c r="S2067">
        <v>-1.7771999999999999</v>
      </c>
      <c r="T2067" t="s">
        <v>431</v>
      </c>
      <c r="U2067" t="s">
        <v>35</v>
      </c>
    </row>
    <row r="2068" spans="1:21" x14ac:dyDescent="0.25">
      <c r="A2068" t="s">
        <v>4351</v>
      </c>
      <c r="B2068" s="1">
        <v>41954</v>
      </c>
      <c r="C2068" s="1">
        <v>41958</v>
      </c>
      <c r="D2068" t="s">
        <v>40</v>
      </c>
      <c r="E2068" t="s">
        <v>51</v>
      </c>
      <c r="F2068" t="s">
        <v>52</v>
      </c>
      <c r="G2068" t="s">
        <v>25</v>
      </c>
      <c r="H2068" t="s">
        <v>26</v>
      </c>
      <c r="I2068" t="s">
        <v>134</v>
      </c>
      <c r="J2068" t="s">
        <v>135</v>
      </c>
      <c r="K2068" t="s">
        <v>94</v>
      </c>
      <c r="L2068" t="s">
        <v>2788</v>
      </c>
      <c r="M2068" t="s">
        <v>31</v>
      </c>
      <c r="N2068" t="s">
        <v>57</v>
      </c>
      <c r="O2068" t="s">
        <v>2789</v>
      </c>
      <c r="P2068">
        <v>10.984</v>
      </c>
      <c r="Q2068">
        <v>2</v>
      </c>
      <c r="R2068">
        <v>0.6</v>
      </c>
      <c r="S2068">
        <v>-7.9634</v>
      </c>
      <c r="T2068" t="s">
        <v>84</v>
      </c>
      <c r="U2068" t="s">
        <v>35</v>
      </c>
    </row>
    <row r="2069" spans="1:21" x14ac:dyDescent="0.25">
      <c r="A2069" t="s">
        <v>4351</v>
      </c>
      <c r="B2069" s="1">
        <v>41954</v>
      </c>
      <c r="C2069" s="1">
        <v>41958</v>
      </c>
      <c r="D2069" t="s">
        <v>40</v>
      </c>
      <c r="E2069" t="s">
        <v>51</v>
      </c>
      <c r="F2069" t="s">
        <v>52</v>
      </c>
      <c r="G2069" t="s">
        <v>25</v>
      </c>
      <c r="H2069" t="s">
        <v>26</v>
      </c>
      <c r="I2069" t="s">
        <v>134</v>
      </c>
      <c r="J2069" t="s">
        <v>135</v>
      </c>
      <c r="K2069" t="s">
        <v>94</v>
      </c>
      <c r="L2069" t="s">
        <v>576</v>
      </c>
      <c r="M2069" t="s">
        <v>31</v>
      </c>
      <c r="N2069" t="s">
        <v>37</v>
      </c>
      <c r="O2069" t="s">
        <v>577</v>
      </c>
      <c r="P2069">
        <v>797.94399999999996</v>
      </c>
      <c r="Q2069">
        <v>4</v>
      </c>
      <c r="R2069">
        <v>0.3</v>
      </c>
      <c r="S2069">
        <v>-56.996000000000002</v>
      </c>
      <c r="T2069" t="s">
        <v>84</v>
      </c>
      <c r="U2069" t="s">
        <v>35</v>
      </c>
    </row>
    <row r="2070" spans="1:21" x14ac:dyDescent="0.25">
      <c r="A2070" t="s">
        <v>4352</v>
      </c>
      <c r="B2070" s="1">
        <v>42821</v>
      </c>
      <c r="C2070" s="1">
        <v>42823</v>
      </c>
      <c r="D2070" t="s">
        <v>22</v>
      </c>
      <c r="E2070" t="s">
        <v>178</v>
      </c>
      <c r="F2070" t="s">
        <v>179</v>
      </c>
      <c r="G2070" t="s">
        <v>25</v>
      </c>
      <c r="H2070" t="s">
        <v>26</v>
      </c>
      <c r="I2070" t="s">
        <v>636</v>
      </c>
      <c r="J2070" t="s">
        <v>717</v>
      </c>
      <c r="K2070" t="s">
        <v>29</v>
      </c>
      <c r="L2070" t="s">
        <v>369</v>
      </c>
      <c r="M2070" t="s">
        <v>31</v>
      </c>
      <c r="N2070" t="s">
        <v>46</v>
      </c>
      <c r="O2070" t="s">
        <v>370</v>
      </c>
      <c r="P2070">
        <v>292.10000000000002</v>
      </c>
      <c r="Q2070">
        <v>2</v>
      </c>
      <c r="R2070">
        <v>0</v>
      </c>
      <c r="S2070">
        <v>58.42</v>
      </c>
      <c r="T2070" t="s">
        <v>71</v>
      </c>
      <c r="U2070" t="s">
        <v>196</v>
      </c>
    </row>
    <row r="2071" spans="1:21" x14ac:dyDescent="0.25">
      <c r="A2071" t="s">
        <v>4353</v>
      </c>
      <c r="B2071" s="1">
        <v>42674</v>
      </c>
      <c r="C2071" s="1">
        <v>42679</v>
      </c>
      <c r="D2071" t="s">
        <v>40</v>
      </c>
      <c r="E2071" t="s">
        <v>654</v>
      </c>
      <c r="F2071" t="s">
        <v>655</v>
      </c>
      <c r="G2071" t="s">
        <v>91</v>
      </c>
      <c r="H2071" t="s">
        <v>26</v>
      </c>
      <c r="I2071" t="s">
        <v>329</v>
      </c>
      <c r="J2071" t="s">
        <v>54</v>
      </c>
      <c r="K2071" t="s">
        <v>55</v>
      </c>
      <c r="L2071" t="s">
        <v>1487</v>
      </c>
      <c r="M2071" t="s">
        <v>31</v>
      </c>
      <c r="N2071" t="s">
        <v>37</v>
      </c>
      <c r="O2071" t="s">
        <v>1488</v>
      </c>
      <c r="P2071">
        <v>1403.92</v>
      </c>
      <c r="Q2071">
        <v>5</v>
      </c>
      <c r="R2071">
        <v>0.2</v>
      </c>
      <c r="S2071">
        <v>70.195999999999998</v>
      </c>
      <c r="T2071" t="s">
        <v>59</v>
      </c>
      <c r="U2071" t="s">
        <v>49</v>
      </c>
    </row>
    <row r="2072" spans="1:21" x14ac:dyDescent="0.25">
      <c r="A2072" t="s">
        <v>4354</v>
      </c>
      <c r="B2072" s="1">
        <v>42698</v>
      </c>
      <c r="C2072" s="1">
        <v>42704</v>
      </c>
      <c r="D2072" t="s">
        <v>40</v>
      </c>
      <c r="E2072" t="s">
        <v>902</v>
      </c>
      <c r="F2072" t="s">
        <v>903</v>
      </c>
      <c r="G2072" t="s">
        <v>101</v>
      </c>
      <c r="H2072" t="s">
        <v>26</v>
      </c>
      <c r="I2072" t="s">
        <v>2051</v>
      </c>
      <c r="J2072" t="s">
        <v>44</v>
      </c>
      <c r="K2072" t="s">
        <v>29</v>
      </c>
      <c r="L2072" t="s">
        <v>768</v>
      </c>
      <c r="M2072" t="s">
        <v>31</v>
      </c>
      <c r="N2072" t="s">
        <v>32</v>
      </c>
      <c r="O2072" t="s">
        <v>769</v>
      </c>
      <c r="P2072">
        <v>339.92</v>
      </c>
      <c r="Q2072">
        <v>5</v>
      </c>
      <c r="R2072">
        <v>0.2</v>
      </c>
      <c r="S2072">
        <v>8.4979999999999993</v>
      </c>
      <c r="T2072" t="s">
        <v>130</v>
      </c>
      <c r="U2072" t="s">
        <v>35</v>
      </c>
    </row>
    <row r="2073" spans="1:21" x14ac:dyDescent="0.25">
      <c r="A2073" t="s">
        <v>4355</v>
      </c>
      <c r="B2073" s="1">
        <v>41846</v>
      </c>
      <c r="C2073" s="1">
        <v>41850</v>
      </c>
      <c r="D2073" t="s">
        <v>40</v>
      </c>
      <c r="E2073" t="s">
        <v>1575</v>
      </c>
      <c r="F2073" t="s">
        <v>1576</v>
      </c>
      <c r="G2073" t="s">
        <v>25</v>
      </c>
      <c r="H2073" t="s">
        <v>26</v>
      </c>
      <c r="I2073" t="s">
        <v>246</v>
      </c>
      <c r="J2073" t="s">
        <v>93</v>
      </c>
      <c r="K2073" t="s">
        <v>94</v>
      </c>
      <c r="L2073" t="s">
        <v>2262</v>
      </c>
      <c r="M2073" t="s">
        <v>31</v>
      </c>
      <c r="N2073" t="s">
        <v>57</v>
      </c>
      <c r="O2073" t="s">
        <v>2263</v>
      </c>
      <c r="P2073">
        <v>17.495999999999999</v>
      </c>
      <c r="Q2073">
        <v>3</v>
      </c>
      <c r="R2073">
        <v>0.6</v>
      </c>
      <c r="S2073">
        <v>-10.0602</v>
      </c>
      <c r="T2073" t="s">
        <v>84</v>
      </c>
      <c r="U2073" t="s">
        <v>72</v>
      </c>
    </row>
    <row r="2074" spans="1:21" x14ac:dyDescent="0.25">
      <c r="A2074" t="s">
        <v>4356</v>
      </c>
      <c r="B2074" s="1">
        <v>42155</v>
      </c>
      <c r="C2074" s="1">
        <v>42157</v>
      </c>
      <c r="D2074" t="s">
        <v>22</v>
      </c>
      <c r="E2074" t="s">
        <v>1824</v>
      </c>
      <c r="F2074" t="s">
        <v>1825</v>
      </c>
      <c r="G2074" t="s">
        <v>91</v>
      </c>
      <c r="H2074" t="s">
        <v>26</v>
      </c>
      <c r="I2074" t="s">
        <v>3564</v>
      </c>
      <c r="J2074" t="s">
        <v>363</v>
      </c>
      <c r="K2074" t="s">
        <v>68</v>
      </c>
      <c r="L2074" t="s">
        <v>1981</v>
      </c>
      <c r="M2074" t="s">
        <v>31</v>
      </c>
      <c r="N2074" t="s">
        <v>57</v>
      </c>
      <c r="O2074" t="s">
        <v>1982</v>
      </c>
      <c r="P2074">
        <v>8.2799999999999994</v>
      </c>
      <c r="Q2074">
        <v>2</v>
      </c>
      <c r="R2074">
        <v>0</v>
      </c>
      <c r="S2074">
        <v>2.9807999999999999</v>
      </c>
      <c r="T2074" t="s">
        <v>71</v>
      </c>
      <c r="U2074" t="s">
        <v>162</v>
      </c>
    </row>
    <row r="2075" spans="1:21" x14ac:dyDescent="0.25">
      <c r="A2075" t="s">
        <v>4357</v>
      </c>
      <c r="B2075" s="1">
        <v>41948</v>
      </c>
      <c r="C2075" s="1">
        <v>41948</v>
      </c>
      <c r="D2075" t="s">
        <v>426</v>
      </c>
      <c r="E2075" t="s">
        <v>4358</v>
      </c>
      <c r="F2075" t="s">
        <v>4359</v>
      </c>
      <c r="G2075" t="s">
        <v>25</v>
      </c>
      <c r="H2075" t="s">
        <v>26</v>
      </c>
      <c r="I2075" t="s">
        <v>2851</v>
      </c>
      <c r="J2075" t="s">
        <v>717</v>
      </c>
      <c r="K2075" t="s">
        <v>29</v>
      </c>
      <c r="L2075" t="s">
        <v>1514</v>
      </c>
      <c r="M2075" t="s">
        <v>31</v>
      </c>
      <c r="N2075" t="s">
        <v>37</v>
      </c>
      <c r="O2075" t="s">
        <v>1515</v>
      </c>
      <c r="P2075">
        <v>149.9</v>
      </c>
      <c r="Q2075">
        <v>5</v>
      </c>
      <c r="R2075">
        <v>0</v>
      </c>
      <c r="S2075">
        <v>40.472999999999999</v>
      </c>
      <c r="T2075" t="s">
        <v>431</v>
      </c>
      <c r="U2075" t="s">
        <v>35</v>
      </c>
    </row>
    <row r="2076" spans="1:21" x14ac:dyDescent="0.25">
      <c r="A2076" t="s">
        <v>4360</v>
      </c>
      <c r="B2076" s="1">
        <v>42821</v>
      </c>
      <c r="C2076" s="1">
        <v>42826</v>
      </c>
      <c r="D2076" t="s">
        <v>40</v>
      </c>
      <c r="E2076" t="s">
        <v>1346</v>
      </c>
      <c r="F2076" t="s">
        <v>1347</v>
      </c>
      <c r="G2076" t="s">
        <v>25</v>
      </c>
      <c r="H2076" t="s">
        <v>26</v>
      </c>
      <c r="I2076" t="s">
        <v>102</v>
      </c>
      <c r="J2076" t="s">
        <v>93</v>
      </c>
      <c r="K2076" t="s">
        <v>94</v>
      </c>
      <c r="L2076" t="s">
        <v>1000</v>
      </c>
      <c r="M2076" t="s">
        <v>31</v>
      </c>
      <c r="N2076" t="s">
        <v>32</v>
      </c>
      <c r="O2076" t="s">
        <v>1001</v>
      </c>
      <c r="P2076">
        <v>1023.332</v>
      </c>
      <c r="Q2076">
        <v>5</v>
      </c>
      <c r="R2076">
        <v>0.32</v>
      </c>
      <c r="S2076">
        <v>-30.097999999999999</v>
      </c>
      <c r="T2076" t="s">
        <v>59</v>
      </c>
      <c r="U2076" t="s">
        <v>196</v>
      </c>
    </row>
    <row r="2077" spans="1:21" x14ac:dyDescent="0.25">
      <c r="A2077" t="s">
        <v>4360</v>
      </c>
      <c r="B2077" s="1">
        <v>42821</v>
      </c>
      <c r="C2077" s="1">
        <v>42826</v>
      </c>
      <c r="D2077" t="s">
        <v>40</v>
      </c>
      <c r="E2077" t="s">
        <v>1346</v>
      </c>
      <c r="F2077" t="s">
        <v>1347</v>
      </c>
      <c r="G2077" t="s">
        <v>25</v>
      </c>
      <c r="H2077" t="s">
        <v>26</v>
      </c>
      <c r="I2077" t="s">
        <v>102</v>
      </c>
      <c r="J2077" t="s">
        <v>93</v>
      </c>
      <c r="K2077" t="s">
        <v>94</v>
      </c>
      <c r="L2077" t="s">
        <v>207</v>
      </c>
      <c r="M2077" t="s">
        <v>31</v>
      </c>
      <c r="N2077" t="s">
        <v>37</v>
      </c>
      <c r="O2077" t="s">
        <v>208</v>
      </c>
      <c r="P2077">
        <v>600.55799999999999</v>
      </c>
      <c r="Q2077">
        <v>3</v>
      </c>
      <c r="R2077">
        <v>0.3</v>
      </c>
      <c r="S2077">
        <v>-8.5793999999999997</v>
      </c>
      <c r="T2077" t="s">
        <v>59</v>
      </c>
      <c r="U2077" t="s">
        <v>196</v>
      </c>
    </row>
    <row r="2078" spans="1:21" x14ac:dyDescent="0.25">
      <c r="A2078" t="s">
        <v>4360</v>
      </c>
      <c r="B2078" s="1">
        <v>42821</v>
      </c>
      <c r="C2078" s="1">
        <v>42826</v>
      </c>
      <c r="D2078" t="s">
        <v>40</v>
      </c>
      <c r="E2078" t="s">
        <v>1346</v>
      </c>
      <c r="F2078" t="s">
        <v>1347</v>
      </c>
      <c r="G2078" t="s">
        <v>25</v>
      </c>
      <c r="H2078" t="s">
        <v>26</v>
      </c>
      <c r="I2078" t="s">
        <v>102</v>
      </c>
      <c r="J2078" t="s">
        <v>93</v>
      </c>
      <c r="K2078" t="s">
        <v>94</v>
      </c>
      <c r="L2078" t="s">
        <v>1851</v>
      </c>
      <c r="M2078" t="s">
        <v>31</v>
      </c>
      <c r="N2078" t="s">
        <v>37</v>
      </c>
      <c r="O2078" t="s">
        <v>1852</v>
      </c>
      <c r="P2078">
        <v>211.24600000000001</v>
      </c>
      <c r="Q2078">
        <v>2</v>
      </c>
      <c r="R2078">
        <v>0.3</v>
      </c>
      <c r="S2078">
        <v>-66.391599999999997</v>
      </c>
      <c r="T2078" t="s">
        <v>59</v>
      </c>
      <c r="U2078" t="s">
        <v>196</v>
      </c>
    </row>
    <row r="2079" spans="1:21" x14ac:dyDescent="0.25">
      <c r="A2079" t="s">
        <v>4361</v>
      </c>
      <c r="B2079" s="1">
        <v>41780</v>
      </c>
      <c r="C2079" s="1">
        <v>41782</v>
      </c>
      <c r="D2079" t="s">
        <v>22</v>
      </c>
      <c r="E2079" t="s">
        <v>926</v>
      </c>
      <c r="F2079" t="s">
        <v>927</v>
      </c>
      <c r="G2079" t="s">
        <v>25</v>
      </c>
      <c r="H2079" t="s">
        <v>26</v>
      </c>
      <c r="I2079" t="s">
        <v>102</v>
      </c>
      <c r="J2079" t="s">
        <v>93</v>
      </c>
      <c r="K2079" t="s">
        <v>94</v>
      </c>
      <c r="L2079" t="s">
        <v>489</v>
      </c>
      <c r="M2079" t="s">
        <v>31</v>
      </c>
      <c r="N2079" t="s">
        <v>37</v>
      </c>
      <c r="O2079" t="s">
        <v>490</v>
      </c>
      <c r="P2079">
        <v>107.77200000000001</v>
      </c>
      <c r="Q2079">
        <v>2</v>
      </c>
      <c r="R2079">
        <v>0.3</v>
      </c>
      <c r="S2079">
        <v>-29.252400000000002</v>
      </c>
      <c r="T2079" t="s">
        <v>71</v>
      </c>
      <c r="U2079" t="s">
        <v>162</v>
      </c>
    </row>
    <row r="2080" spans="1:21" x14ac:dyDescent="0.25">
      <c r="A2080" t="s">
        <v>4362</v>
      </c>
      <c r="B2080" s="1">
        <v>42203</v>
      </c>
      <c r="C2080" s="1">
        <v>42205</v>
      </c>
      <c r="D2080" t="s">
        <v>22</v>
      </c>
      <c r="E2080" t="s">
        <v>848</v>
      </c>
      <c r="F2080" t="s">
        <v>849</v>
      </c>
      <c r="G2080" t="s">
        <v>25</v>
      </c>
      <c r="H2080" t="s">
        <v>26</v>
      </c>
      <c r="I2080" t="s">
        <v>174</v>
      </c>
      <c r="J2080" t="s">
        <v>121</v>
      </c>
      <c r="K2080" t="s">
        <v>68</v>
      </c>
      <c r="L2080" t="s">
        <v>1719</v>
      </c>
      <c r="M2080" t="s">
        <v>31</v>
      </c>
      <c r="N2080" t="s">
        <v>57</v>
      </c>
      <c r="O2080" t="s">
        <v>1720</v>
      </c>
      <c r="P2080">
        <v>7.38</v>
      </c>
      <c r="Q2080">
        <v>1</v>
      </c>
      <c r="R2080">
        <v>0</v>
      </c>
      <c r="S2080">
        <v>2.1402000000000001</v>
      </c>
      <c r="T2080" t="s">
        <v>71</v>
      </c>
      <c r="U2080" t="s">
        <v>72</v>
      </c>
    </row>
    <row r="2081" spans="1:21" x14ac:dyDescent="0.25">
      <c r="A2081" t="s">
        <v>4363</v>
      </c>
      <c r="B2081" s="1">
        <v>42664</v>
      </c>
      <c r="C2081" s="1">
        <v>42669</v>
      </c>
      <c r="D2081" t="s">
        <v>40</v>
      </c>
      <c r="E2081" t="s">
        <v>1951</v>
      </c>
      <c r="F2081" t="s">
        <v>1952</v>
      </c>
      <c r="G2081" t="s">
        <v>101</v>
      </c>
      <c r="H2081" t="s">
        <v>26</v>
      </c>
      <c r="I2081" t="s">
        <v>43</v>
      </c>
      <c r="J2081" t="s">
        <v>44</v>
      </c>
      <c r="K2081" t="s">
        <v>29</v>
      </c>
      <c r="L2081" t="s">
        <v>1519</v>
      </c>
      <c r="M2081" t="s">
        <v>31</v>
      </c>
      <c r="N2081" t="s">
        <v>57</v>
      </c>
      <c r="O2081" t="s">
        <v>1520</v>
      </c>
      <c r="P2081">
        <v>45.567999999999998</v>
      </c>
      <c r="Q2081">
        <v>2</v>
      </c>
      <c r="R2081">
        <v>0.2</v>
      </c>
      <c r="S2081">
        <v>9.6831999999999994</v>
      </c>
      <c r="T2081" t="s">
        <v>59</v>
      </c>
      <c r="U2081" t="s">
        <v>49</v>
      </c>
    </row>
    <row r="2082" spans="1:21" x14ac:dyDescent="0.25">
      <c r="A2082" t="s">
        <v>4364</v>
      </c>
      <c r="B2082" s="1">
        <v>42943</v>
      </c>
      <c r="C2082" s="1">
        <v>42948</v>
      </c>
      <c r="D2082" t="s">
        <v>22</v>
      </c>
      <c r="E2082" t="s">
        <v>1469</v>
      </c>
      <c r="F2082" t="s">
        <v>1470</v>
      </c>
      <c r="G2082" t="s">
        <v>25</v>
      </c>
      <c r="H2082" t="s">
        <v>26</v>
      </c>
      <c r="I2082" t="s">
        <v>2018</v>
      </c>
      <c r="J2082" t="s">
        <v>1037</v>
      </c>
      <c r="K2082" t="s">
        <v>29</v>
      </c>
      <c r="L2082" t="s">
        <v>136</v>
      </c>
      <c r="M2082" t="s">
        <v>31</v>
      </c>
      <c r="N2082" t="s">
        <v>37</v>
      </c>
      <c r="O2082" t="s">
        <v>137</v>
      </c>
      <c r="P2082">
        <v>194.84800000000001</v>
      </c>
      <c r="Q2082">
        <v>4</v>
      </c>
      <c r="R2082">
        <v>0.2</v>
      </c>
      <c r="S2082">
        <v>12.178000000000001</v>
      </c>
      <c r="T2082" t="s">
        <v>59</v>
      </c>
      <c r="U2082" t="s">
        <v>72</v>
      </c>
    </row>
    <row r="2083" spans="1:21" x14ac:dyDescent="0.25">
      <c r="A2083" t="s">
        <v>4365</v>
      </c>
      <c r="B2083" s="1">
        <v>42163</v>
      </c>
      <c r="C2083" s="1">
        <v>42167</v>
      </c>
      <c r="D2083" t="s">
        <v>40</v>
      </c>
      <c r="E2083" t="s">
        <v>3142</v>
      </c>
      <c r="F2083" t="s">
        <v>3143</v>
      </c>
      <c r="G2083" t="s">
        <v>91</v>
      </c>
      <c r="H2083" t="s">
        <v>26</v>
      </c>
      <c r="I2083" t="s">
        <v>790</v>
      </c>
      <c r="J2083" t="s">
        <v>44</v>
      </c>
      <c r="K2083" t="s">
        <v>29</v>
      </c>
      <c r="L2083" t="s">
        <v>2111</v>
      </c>
      <c r="M2083" t="s">
        <v>31</v>
      </c>
      <c r="N2083" t="s">
        <v>57</v>
      </c>
      <c r="O2083" t="s">
        <v>2112</v>
      </c>
      <c r="P2083">
        <v>173.208</v>
      </c>
      <c r="Q2083">
        <v>7</v>
      </c>
      <c r="R2083">
        <v>0.2</v>
      </c>
      <c r="S2083">
        <v>45.467100000000002</v>
      </c>
      <c r="T2083" t="s">
        <v>84</v>
      </c>
      <c r="U2083" t="s">
        <v>60</v>
      </c>
    </row>
    <row r="2084" spans="1:21" x14ac:dyDescent="0.25">
      <c r="A2084" t="s">
        <v>4366</v>
      </c>
      <c r="B2084" s="1">
        <v>41866</v>
      </c>
      <c r="C2084" s="1">
        <v>41870</v>
      </c>
      <c r="D2084" t="s">
        <v>40</v>
      </c>
      <c r="E2084" t="s">
        <v>1061</v>
      </c>
      <c r="F2084" t="s">
        <v>1062</v>
      </c>
      <c r="G2084" t="s">
        <v>25</v>
      </c>
      <c r="H2084" t="s">
        <v>26</v>
      </c>
      <c r="I2084" t="s">
        <v>329</v>
      </c>
      <c r="J2084" t="s">
        <v>54</v>
      </c>
      <c r="K2084" t="s">
        <v>55</v>
      </c>
      <c r="L2084" t="s">
        <v>1657</v>
      </c>
      <c r="M2084" t="s">
        <v>31</v>
      </c>
      <c r="N2084" t="s">
        <v>37</v>
      </c>
      <c r="O2084" t="s">
        <v>1658</v>
      </c>
      <c r="P2084">
        <v>195.136</v>
      </c>
      <c r="Q2084">
        <v>4</v>
      </c>
      <c r="R2084">
        <v>0.2</v>
      </c>
      <c r="S2084">
        <v>-12.196</v>
      </c>
      <c r="T2084" t="s">
        <v>84</v>
      </c>
      <c r="U2084" t="s">
        <v>254</v>
      </c>
    </row>
    <row r="2085" spans="1:21" x14ac:dyDescent="0.25">
      <c r="A2085" t="s">
        <v>4367</v>
      </c>
      <c r="B2085" s="1">
        <v>42932</v>
      </c>
      <c r="C2085" s="1">
        <v>42939</v>
      </c>
      <c r="D2085" t="s">
        <v>40</v>
      </c>
      <c r="E2085" t="s">
        <v>476</v>
      </c>
      <c r="F2085" t="s">
        <v>477</v>
      </c>
      <c r="G2085" t="s">
        <v>25</v>
      </c>
      <c r="H2085" t="s">
        <v>26</v>
      </c>
      <c r="I2085" t="s">
        <v>1528</v>
      </c>
      <c r="J2085" t="s">
        <v>1037</v>
      </c>
      <c r="K2085" t="s">
        <v>29</v>
      </c>
      <c r="L2085" t="s">
        <v>105</v>
      </c>
      <c r="M2085" t="s">
        <v>31</v>
      </c>
      <c r="N2085" t="s">
        <v>37</v>
      </c>
      <c r="O2085" t="s">
        <v>106</v>
      </c>
      <c r="P2085">
        <v>242.352</v>
      </c>
      <c r="Q2085">
        <v>3</v>
      </c>
      <c r="R2085">
        <v>0.2</v>
      </c>
      <c r="S2085">
        <v>15.147</v>
      </c>
      <c r="T2085" t="s">
        <v>48</v>
      </c>
      <c r="U2085" t="s">
        <v>72</v>
      </c>
    </row>
    <row r="2086" spans="1:21" x14ac:dyDescent="0.25">
      <c r="A2086" t="s">
        <v>4368</v>
      </c>
      <c r="B2086" s="1">
        <v>41989</v>
      </c>
      <c r="C2086" s="1">
        <v>41991</v>
      </c>
      <c r="D2086" t="s">
        <v>22</v>
      </c>
      <c r="E2086" t="s">
        <v>3684</v>
      </c>
      <c r="F2086" t="s">
        <v>3685</v>
      </c>
      <c r="G2086" t="s">
        <v>25</v>
      </c>
      <c r="H2086" t="s">
        <v>26</v>
      </c>
      <c r="I2086" t="s">
        <v>4369</v>
      </c>
      <c r="J2086" t="s">
        <v>93</v>
      </c>
      <c r="K2086" t="s">
        <v>94</v>
      </c>
      <c r="L2086" t="s">
        <v>112</v>
      </c>
      <c r="M2086" t="s">
        <v>31</v>
      </c>
      <c r="N2086" t="s">
        <v>57</v>
      </c>
      <c r="O2086" t="s">
        <v>113</v>
      </c>
      <c r="P2086">
        <v>8.6240000000000006</v>
      </c>
      <c r="Q2086">
        <v>7</v>
      </c>
      <c r="R2086">
        <v>0.6</v>
      </c>
      <c r="S2086">
        <v>-2.5872000000000002</v>
      </c>
      <c r="T2086" t="s">
        <v>71</v>
      </c>
      <c r="U2086" t="s">
        <v>97</v>
      </c>
    </row>
    <row r="2087" spans="1:21" x14ac:dyDescent="0.25">
      <c r="A2087" t="s">
        <v>4370</v>
      </c>
      <c r="B2087" s="1">
        <v>42653</v>
      </c>
      <c r="C2087" s="1">
        <v>42655</v>
      </c>
      <c r="D2087" t="s">
        <v>88</v>
      </c>
      <c r="E2087" t="s">
        <v>1731</v>
      </c>
      <c r="F2087" t="s">
        <v>1732</v>
      </c>
      <c r="G2087" t="s">
        <v>25</v>
      </c>
      <c r="H2087" t="s">
        <v>26</v>
      </c>
      <c r="I2087" t="s">
        <v>1155</v>
      </c>
      <c r="J2087" t="s">
        <v>93</v>
      </c>
      <c r="K2087" t="s">
        <v>94</v>
      </c>
      <c r="L2087" t="s">
        <v>2190</v>
      </c>
      <c r="M2087" t="s">
        <v>31</v>
      </c>
      <c r="N2087" t="s">
        <v>57</v>
      </c>
      <c r="O2087" t="s">
        <v>2191</v>
      </c>
      <c r="P2087">
        <v>14</v>
      </c>
      <c r="Q2087">
        <v>4</v>
      </c>
      <c r="R2087">
        <v>0.6</v>
      </c>
      <c r="S2087">
        <v>-6.3</v>
      </c>
      <c r="T2087" t="s">
        <v>71</v>
      </c>
      <c r="U2087" t="s">
        <v>49</v>
      </c>
    </row>
    <row r="2088" spans="1:21" x14ac:dyDescent="0.25">
      <c r="A2088" t="s">
        <v>4371</v>
      </c>
      <c r="B2088" s="1">
        <v>42638</v>
      </c>
      <c r="C2088" s="1">
        <v>42644</v>
      </c>
      <c r="D2088" t="s">
        <v>40</v>
      </c>
      <c r="E2088" t="s">
        <v>2049</v>
      </c>
      <c r="F2088" t="s">
        <v>2050</v>
      </c>
      <c r="G2088" t="s">
        <v>25</v>
      </c>
      <c r="H2088" t="s">
        <v>26</v>
      </c>
      <c r="I2088" t="s">
        <v>731</v>
      </c>
      <c r="J2088" t="s">
        <v>54</v>
      </c>
      <c r="K2088" t="s">
        <v>55</v>
      </c>
      <c r="L2088" t="s">
        <v>856</v>
      </c>
      <c r="M2088" t="s">
        <v>31</v>
      </c>
      <c r="N2088" t="s">
        <v>37</v>
      </c>
      <c r="O2088" t="s">
        <v>857</v>
      </c>
      <c r="P2088">
        <v>483.13600000000002</v>
      </c>
      <c r="Q2088">
        <v>4</v>
      </c>
      <c r="R2088">
        <v>0.2</v>
      </c>
      <c r="S2088">
        <v>60.392000000000003</v>
      </c>
      <c r="T2088" t="s">
        <v>130</v>
      </c>
      <c r="U2088" t="s">
        <v>78</v>
      </c>
    </row>
    <row r="2089" spans="1:21" x14ac:dyDescent="0.25">
      <c r="A2089" t="s">
        <v>4372</v>
      </c>
      <c r="B2089" s="1">
        <v>41793</v>
      </c>
      <c r="C2089" s="1">
        <v>41796</v>
      </c>
      <c r="D2089" t="s">
        <v>88</v>
      </c>
      <c r="E2089" t="s">
        <v>3082</v>
      </c>
      <c r="F2089" t="s">
        <v>3083</v>
      </c>
      <c r="G2089" t="s">
        <v>25</v>
      </c>
      <c r="H2089" t="s">
        <v>26</v>
      </c>
      <c r="I2089" t="s">
        <v>514</v>
      </c>
      <c r="J2089" t="s">
        <v>135</v>
      </c>
      <c r="K2089" t="s">
        <v>94</v>
      </c>
      <c r="L2089" t="s">
        <v>631</v>
      </c>
      <c r="M2089" t="s">
        <v>31</v>
      </c>
      <c r="N2089" t="s">
        <v>57</v>
      </c>
      <c r="O2089" t="s">
        <v>632</v>
      </c>
      <c r="P2089">
        <v>61.543999999999997</v>
      </c>
      <c r="Q2089">
        <v>7</v>
      </c>
      <c r="R2089">
        <v>0.6</v>
      </c>
      <c r="S2089">
        <v>-40.003599999999999</v>
      </c>
      <c r="T2089" t="s">
        <v>34</v>
      </c>
      <c r="U2089" t="s">
        <v>60</v>
      </c>
    </row>
    <row r="2090" spans="1:21" x14ac:dyDescent="0.25">
      <c r="A2090" t="s">
        <v>4373</v>
      </c>
      <c r="B2090" s="1">
        <v>42980</v>
      </c>
      <c r="C2090" s="1">
        <v>42982</v>
      </c>
      <c r="D2090" t="s">
        <v>22</v>
      </c>
      <c r="E2090" t="s">
        <v>3151</v>
      </c>
      <c r="F2090" t="s">
        <v>3152</v>
      </c>
      <c r="G2090" t="s">
        <v>101</v>
      </c>
      <c r="H2090" t="s">
        <v>26</v>
      </c>
      <c r="I2090" t="s">
        <v>53</v>
      </c>
      <c r="J2090" t="s">
        <v>54</v>
      </c>
      <c r="K2090" t="s">
        <v>55</v>
      </c>
      <c r="L2090" t="s">
        <v>936</v>
      </c>
      <c r="M2090" t="s">
        <v>31</v>
      </c>
      <c r="N2090" t="s">
        <v>57</v>
      </c>
      <c r="O2090" t="s">
        <v>937</v>
      </c>
      <c r="P2090">
        <v>511.5</v>
      </c>
      <c r="Q2090">
        <v>5</v>
      </c>
      <c r="R2090">
        <v>0</v>
      </c>
      <c r="S2090">
        <v>132.99</v>
      </c>
      <c r="T2090" t="s">
        <v>71</v>
      </c>
      <c r="U2090" t="s">
        <v>78</v>
      </c>
    </row>
    <row r="2091" spans="1:21" x14ac:dyDescent="0.25">
      <c r="A2091" t="s">
        <v>4374</v>
      </c>
      <c r="B2091" s="1">
        <v>42492</v>
      </c>
      <c r="C2091" s="1">
        <v>42496</v>
      </c>
      <c r="D2091" t="s">
        <v>40</v>
      </c>
      <c r="E2091" t="s">
        <v>1599</v>
      </c>
      <c r="F2091" t="s">
        <v>1600</v>
      </c>
      <c r="G2091" t="s">
        <v>91</v>
      </c>
      <c r="H2091" t="s">
        <v>26</v>
      </c>
      <c r="I2091" t="s">
        <v>174</v>
      </c>
      <c r="J2091" t="s">
        <v>121</v>
      </c>
      <c r="K2091" t="s">
        <v>68</v>
      </c>
      <c r="L2091" t="s">
        <v>678</v>
      </c>
      <c r="M2091" t="s">
        <v>31</v>
      </c>
      <c r="N2091" t="s">
        <v>57</v>
      </c>
      <c r="O2091" t="s">
        <v>679</v>
      </c>
      <c r="P2091">
        <v>12.56</v>
      </c>
      <c r="Q2091">
        <v>2</v>
      </c>
      <c r="R2091">
        <v>0</v>
      </c>
      <c r="S2091">
        <v>4.0191999999999997</v>
      </c>
      <c r="T2091" t="s">
        <v>84</v>
      </c>
      <c r="U2091" t="s">
        <v>162</v>
      </c>
    </row>
    <row r="2092" spans="1:21" x14ac:dyDescent="0.25">
      <c r="A2092" t="s">
        <v>4374</v>
      </c>
      <c r="B2092" s="1">
        <v>42492</v>
      </c>
      <c r="C2092" s="1">
        <v>42496</v>
      </c>
      <c r="D2092" t="s">
        <v>40</v>
      </c>
      <c r="E2092" t="s">
        <v>1599</v>
      </c>
      <c r="F2092" t="s">
        <v>1600</v>
      </c>
      <c r="G2092" t="s">
        <v>91</v>
      </c>
      <c r="H2092" t="s">
        <v>26</v>
      </c>
      <c r="I2092" t="s">
        <v>174</v>
      </c>
      <c r="J2092" t="s">
        <v>121</v>
      </c>
      <c r="K2092" t="s">
        <v>68</v>
      </c>
      <c r="L2092" t="s">
        <v>746</v>
      </c>
      <c r="M2092" t="s">
        <v>31</v>
      </c>
      <c r="N2092" t="s">
        <v>57</v>
      </c>
      <c r="O2092" t="s">
        <v>747</v>
      </c>
      <c r="P2092">
        <v>214.7</v>
      </c>
      <c r="Q2092">
        <v>5</v>
      </c>
      <c r="R2092">
        <v>0</v>
      </c>
      <c r="S2092">
        <v>83.733000000000004</v>
      </c>
      <c r="T2092" t="s">
        <v>84</v>
      </c>
      <c r="U2092" t="s">
        <v>162</v>
      </c>
    </row>
    <row r="2093" spans="1:21" x14ac:dyDescent="0.25">
      <c r="A2093" t="s">
        <v>4375</v>
      </c>
      <c r="B2093" s="1">
        <v>42905</v>
      </c>
      <c r="C2093" s="1">
        <v>42909</v>
      </c>
      <c r="D2093" t="s">
        <v>40</v>
      </c>
      <c r="E2093" t="s">
        <v>2703</v>
      </c>
      <c r="F2093" t="s">
        <v>2704</v>
      </c>
      <c r="G2093" t="s">
        <v>25</v>
      </c>
      <c r="H2093" t="s">
        <v>26</v>
      </c>
      <c r="I2093" t="s">
        <v>329</v>
      </c>
      <c r="J2093" t="s">
        <v>54</v>
      </c>
      <c r="K2093" t="s">
        <v>55</v>
      </c>
      <c r="L2093" t="s">
        <v>2615</v>
      </c>
      <c r="M2093" t="s">
        <v>31</v>
      </c>
      <c r="N2093" t="s">
        <v>57</v>
      </c>
      <c r="O2093" t="s">
        <v>2616</v>
      </c>
      <c r="P2093">
        <v>50.32</v>
      </c>
      <c r="Q2093">
        <v>4</v>
      </c>
      <c r="R2093">
        <v>0</v>
      </c>
      <c r="S2093">
        <v>21.134399999999999</v>
      </c>
      <c r="T2093" t="s">
        <v>84</v>
      </c>
      <c r="U2093" t="s">
        <v>60</v>
      </c>
    </row>
    <row r="2094" spans="1:21" x14ac:dyDescent="0.25">
      <c r="A2094" t="s">
        <v>4376</v>
      </c>
      <c r="B2094" s="1">
        <v>42089</v>
      </c>
      <c r="C2094" s="1">
        <v>42093</v>
      </c>
      <c r="D2094" t="s">
        <v>40</v>
      </c>
      <c r="E2094" t="s">
        <v>624</v>
      </c>
      <c r="F2094" t="s">
        <v>625</v>
      </c>
      <c r="G2094" t="s">
        <v>91</v>
      </c>
      <c r="H2094" t="s">
        <v>26</v>
      </c>
      <c r="I2094" t="s">
        <v>192</v>
      </c>
      <c r="J2094" t="s">
        <v>193</v>
      </c>
      <c r="K2094" t="s">
        <v>55</v>
      </c>
      <c r="L2094" t="s">
        <v>522</v>
      </c>
      <c r="M2094" t="s">
        <v>31</v>
      </c>
      <c r="N2094" t="s">
        <v>46</v>
      </c>
      <c r="O2094" t="s">
        <v>523</v>
      </c>
      <c r="P2094">
        <v>3393.68</v>
      </c>
      <c r="Q2094">
        <v>8</v>
      </c>
      <c r="R2094">
        <v>0</v>
      </c>
      <c r="S2094">
        <v>610.86239999999998</v>
      </c>
      <c r="T2094" t="s">
        <v>84</v>
      </c>
      <c r="U2094" t="s">
        <v>196</v>
      </c>
    </row>
    <row r="2095" spans="1:21" x14ac:dyDescent="0.25">
      <c r="A2095" t="s">
        <v>4377</v>
      </c>
      <c r="B2095" s="1">
        <v>42749</v>
      </c>
      <c r="C2095" s="1">
        <v>42755</v>
      </c>
      <c r="D2095" t="s">
        <v>40</v>
      </c>
      <c r="E2095" t="s">
        <v>3022</v>
      </c>
      <c r="F2095" t="s">
        <v>3023</v>
      </c>
      <c r="G2095" t="s">
        <v>101</v>
      </c>
      <c r="H2095" t="s">
        <v>26</v>
      </c>
      <c r="I2095" t="s">
        <v>636</v>
      </c>
      <c r="J2095" t="s">
        <v>111</v>
      </c>
      <c r="K2095" t="s">
        <v>94</v>
      </c>
      <c r="L2095" t="s">
        <v>1596</v>
      </c>
      <c r="M2095" t="s">
        <v>31</v>
      </c>
      <c r="N2095" t="s">
        <v>57</v>
      </c>
      <c r="O2095" t="s">
        <v>1597</v>
      </c>
      <c r="P2095">
        <v>18.96</v>
      </c>
      <c r="Q2095">
        <v>2</v>
      </c>
      <c r="R2095">
        <v>0</v>
      </c>
      <c r="S2095">
        <v>8.532</v>
      </c>
      <c r="T2095" t="s">
        <v>130</v>
      </c>
      <c r="U2095" t="s">
        <v>170</v>
      </c>
    </row>
    <row r="2096" spans="1:21" x14ac:dyDescent="0.25">
      <c r="A2096" t="s">
        <v>4378</v>
      </c>
      <c r="B2096" s="1">
        <v>41944</v>
      </c>
      <c r="C2096" s="1">
        <v>41946</v>
      </c>
      <c r="D2096" t="s">
        <v>88</v>
      </c>
      <c r="E2096" t="s">
        <v>1512</v>
      </c>
      <c r="F2096" t="s">
        <v>1513</v>
      </c>
      <c r="G2096" t="s">
        <v>91</v>
      </c>
      <c r="H2096" t="s">
        <v>26</v>
      </c>
      <c r="I2096" t="s">
        <v>4379</v>
      </c>
      <c r="J2096" t="s">
        <v>232</v>
      </c>
      <c r="K2096" t="s">
        <v>68</v>
      </c>
      <c r="L2096" t="s">
        <v>746</v>
      </c>
      <c r="M2096" t="s">
        <v>31</v>
      </c>
      <c r="N2096" t="s">
        <v>57</v>
      </c>
      <c r="O2096" t="s">
        <v>747</v>
      </c>
      <c r="P2096">
        <v>68.703999999999994</v>
      </c>
      <c r="Q2096">
        <v>2</v>
      </c>
      <c r="R2096">
        <v>0.2</v>
      </c>
      <c r="S2096">
        <v>16.3172</v>
      </c>
      <c r="T2096" t="s">
        <v>71</v>
      </c>
      <c r="U2096" t="s">
        <v>35</v>
      </c>
    </row>
    <row r="2097" spans="1:21" x14ac:dyDescent="0.25">
      <c r="A2097" t="s">
        <v>4380</v>
      </c>
      <c r="B2097" s="1">
        <v>42603</v>
      </c>
      <c r="C2097" s="1">
        <v>42607</v>
      </c>
      <c r="D2097" t="s">
        <v>40</v>
      </c>
      <c r="E2097" t="s">
        <v>729</v>
      </c>
      <c r="F2097" t="s">
        <v>730</v>
      </c>
      <c r="G2097" t="s">
        <v>25</v>
      </c>
      <c r="H2097" t="s">
        <v>26</v>
      </c>
      <c r="I2097" t="s">
        <v>174</v>
      </c>
      <c r="J2097" t="s">
        <v>121</v>
      </c>
      <c r="K2097" t="s">
        <v>68</v>
      </c>
      <c r="L2097" t="s">
        <v>1218</v>
      </c>
      <c r="M2097" t="s">
        <v>31</v>
      </c>
      <c r="N2097" t="s">
        <v>37</v>
      </c>
      <c r="O2097" t="s">
        <v>1219</v>
      </c>
      <c r="P2097">
        <v>573.17399999999998</v>
      </c>
      <c r="Q2097">
        <v>7</v>
      </c>
      <c r="R2097">
        <v>0.1</v>
      </c>
      <c r="S2097">
        <v>63.686</v>
      </c>
      <c r="T2097" t="s">
        <v>84</v>
      </c>
      <c r="U2097" t="s">
        <v>254</v>
      </c>
    </row>
    <row r="2098" spans="1:21" x14ac:dyDescent="0.25">
      <c r="A2098" t="s">
        <v>4381</v>
      </c>
      <c r="B2098" s="1">
        <v>42576</v>
      </c>
      <c r="C2098" s="1">
        <v>42579</v>
      </c>
      <c r="D2098" t="s">
        <v>22</v>
      </c>
      <c r="E2098" t="s">
        <v>2025</v>
      </c>
      <c r="F2098" t="s">
        <v>2026</v>
      </c>
      <c r="G2098" t="s">
        <v>91</v>
      </c>
      <c r="H2098" t="s">
        <v>26</v>
      </c>
      <c r="I2098" t="s">
        <v>906</v>
      </c>
      <c r="J2098" t="s">
        <v>239</v>
      </c>
      <c r="K2098" t="s">
        <v>94</v>
      </c>
      <c r="L2098" t="s">
        <v>3018</v>
      </c>
      <c r="M2098" t="s">
        <v>31</v>
      </c>
      <c r="N2098" t="s">
        <v>37</v>
      </c>
      <c r="O2098" t="s">
        <v>3019</v>
      </c>
      <c r="P2098">
        <v>403.56</v>
      </c>
      <c r="Q2098">
        <v>4</v>
      </c>
      <c r="R2098">
        <v>0</v>
      </c>
      <c r="S2098">
        <v>96.854399999999998</v>
      </c>
      <c r="T2098" t="s">
        <v>34</v>
      </c>
      <c r="U2098" t="s">
        <v>72</v>
      </c>
    </row>
    <row r="2099" spans="1:21" x14ac:dyDescent="0.25">
      <c r="A2099" t="s">
        <v>4381</v>
      </c>
      <c r="B2099" s="1">
        <v>42576</v>
      </c>
      <c r="C2099" s="1">
        <v>42579</v>
      </c>
      <c r="D2099" t="s">
        <v>22</v>
      </c>
      <c r="E2099" t="s">
        <v>2025</v>
      </c>
      <c r="F2099" t="s">
        <v>2026</v>
      </c>
      <c r="G2099" t="s">
        <v>91</v>
      </c>
      <c r="H2099" t="s">
        <v>26</v>
      </c>
      <c r="I2099" t="s">
        <v>906</v>
      </c>
      <c r="J2099" t="s">
        <v>239</v>
      </c>
      <c r="K2099" t="s">
        <v>94</v>
      </c>
      <c r="L2099" t="s">
        <v>384</v>
      </c>
      <c r="M2099" t="s">
        <v>31</v>
      </c>
      <c r="N2099" t="s">
        <v>57</v>
      </c>
      <c r="O2099" t="s">
        <v>385</v>
      </c>
      <c r="P2099">
        <v>95.2</v>
      </c>
      <c r="Q2099">
        <v>5</v>
      </c>
      <c r="R2099">
        <v>0</v>
      </c>
      <c r="S2099">
        <v>27.608000000000001</v>
      </c>
      <c r="T2099" t="s">
        <v>34</v>
      </c>
      <c r="U2099" t="s">
        <v>72</v>
      </c>
    </row>
    <row r="2100" spans="1:21" x14ac:dyDescent="0.25">
      <c r="A2100" t="s">
        <v>4382</v>
      </c>
      <c r="B2100" s="1">
        <v>42527</v>
      </c>
      <c r="C2100" s="1">
        <v>42531</v>
      </c>
      <c r="D2100" t="s">
        <v>40</v>
      </c>
      <c r="E2100" t="s">
        <v>3986</v>
      </c>
      <c r="F2100" t="s">
        <v>3987</v>
      </c>
      <c r="G2100" t="s">
        <v>25</v>
      </c>
      <c r="H2100" t="s">
        <v>26</v>
      </c>
      <c r="I2100" t="s">
        <v>1581</v>
      </c>
      <c r="J2100" t="s">
        <v>232</v>
      </c>
      <c r="K2100" t="s">
        <v>68</v>
      </c>
      <c r="L2100" t="s">
        <v>791</v>
      </c>
      <c r="M2100" t="s">
        <v>31</v>
      </c>
      <c r="N2100" t="s">
        <v>57</v>
      </c>
      <c r="O2100" t="s">
        <v>792</v>
      </c>
      <c r="P2100">
        <v>466.32</v>
      </c>
      <c r="Q2100">
        <v>3</v>
      </c>
      <c r="R2100">
        <v>0.2</v>
      </c>
      <c r="S2100">
        <v>34.973999999999997</v>
      </c>
      <c r="T2100" t="s">
        <v>84</v>
      </c>
      <c r="U2100" t="s">
        <v>60</v>
      </c>
    </row>
    <row r="2101" spans="1:21" x14ac:dyDescent="0.25">
      <c r="A2101" t="s">
        <v>4382</v>
      </c>
      <c r="B2101" s="1">
        <v>42527</v>
      </c>
      <c r="C2101" s="1">
        <v>42531</v>
      </c>
      <c r="D2101" t="s">
        <v>40</v>
      </c>
      <c r="E2101" t="s">
        <v>3986</v>
      </c>
      <c r="F2101" t="s">
        <v>3987</v>
      </c>
      <c r="G2101" t="s">
        <v>25</v>
      </c>
      <c r="H2101" t="s">
        <v>26</v>
      </c>
      <c r="I2101" t="s">
        <v>1581</v>
      </c>
      <c r="J2101" t="s">
        <v>232</v>
      </c>
      <c r="K2101" t="s">
        <v>68</v>
      </c>
      <c r="L2101" t="s">
        <v>2974</v>
      </c>
      <c r="M2101" t="s">
        <v>31</v>
      </c>
      <c r="N2101" t="s">
        <v>57</v>
      </c>
      <c r="O2101" t="s">
        <v>2975</v>
      </c>
      <c r="P2101">
        <v>82.64</v>
      </c>
      <c r="Q2101">
        <v>2</v>
      </c>
      <c r="R2101">
        <v>0.2</v>
      </c>
      <c r="S2101">
        <v>0</v>
      </c>
      <c r="T2101" t="s">
        <v>84</v>
      </c>
      <c r="U2101" t="s">
        <v>60</v>
      </c>
    </row>
    <row r="2102" spans="1:21" x14ac:dyDescent="0.25">
      <c r="A2102" t="s">
        <v>4383</v>
      </c>
      <c r="B2102" s="1">
        <v>41726</v>
      </c>
      <c r="C2102" s="1">
        <v>41732</v>
      </c>
      <c r="D2102" t="s">
        <v>40</v>
      </c>
      <c r="E2102" t="s">
        <v>1352</v>
      </c>
      <c r="F2102" t="s">
        <v>1353</v>
      </c>
      <c r="G2102" t="s">
        <v>101</v>
      </c>
      <c r="H2102" t="s">
        <v>26</v>
      </c>
      <c r="I2102" t="s">
        <v>879</v>
      </c>
      <c r="J2102" t="s">
        <v>232</v>
      </c>
      <c r="K2102" t="s">
        <v>68</v>
      </c>
      <c r="L2102" t="s">
        <v>752</v>
      </c>
      <c r="M2102" t="s">
        <v>31</v>
      </c>
      <c r="N2102" t="s">
        <v>46</v>
      </c>
      <c r="O2102" t="s">
        <v>753</v>
      </c>
      <c r="P2102">
        <v>330.58800000000002</v>
      </c>
      <c r="Q2102">
        <v>1</v>
      </c>
      <c r="R2102">
        <v>0.4</v>
      </c>
      <c r="S2102">
        <v>-143.25479999999999</v>
      </c>
      <c r="T2102" t="s">
        <v>130</v>
      </c>
      <c r="U2102" t="s">
        <v>196</v>
      </c>
    </row>
    <row r="2103" spans="1:21" x14ac:dyDescent="0.25">
      <c r="A2103" t="s">
        <v>4384</v>
      </c>
      <c r="B2103" s="1">
        <v>42968</v>
      </c>
      <c r="C2103" s="1">
        <v>42972</v>
      </c>
      <c r="D2103" t="s">
        <v>40</v>
      </c>
      <c r="E2103" t="s">
        <v>4385</v>
      </c>
      <c r="F2103" t="s">
        <v>4386</v>
      </c>
      <c r="G2103" t="s">
        <v>25</v>
      </c>
      <c r="H2103" t="s">
        <v>26</v>
      </c>
      <c r="I2103" t="s">
        <v>866</v>
      </c>
      <c r="J2103" t="s">
        <v>181</v>
      </c>
      <c r="K2103" t="s">
        <v>55</v>
      </c>
      <c r="L2103" t="s">
        <v>1596</v>
      </c>
      <c r="M2103" t="s">
        <v>31</v>
      </c>
      <c r="N2103" t="s">
        <v>57</v>
      </c>
      <c r="O2103" t="s">
        <v>1597</v>
      </c>
      <c r="P2103">
        <v>22.751999999999999</v>
      </c>
      <c r="Q2103">
        <v>3</v>
      </c>
      <c r="R2103">
        <v>0.2</v>
      </c>
      <c r="S2103">
        <v>7.11</v>
      </c>
      <c r="T2103" t="s">
        <v>84</v>
      </c>
      <c r="U2103" t="s">
        <v>254</v>
      </c>
    </row>
    <row r="2104" spans="1:21" x14ac:dyDescent="0.25">
      <c r="A2104" t="s">
        <v>4387</v>
      </c>
      <c r="B2104" s="1">
        <v>41955</v>
      </c>
      <c r="C2104" s="1">
        <v>41961</v>
      </c>
      <c r="D2104" t="s">
        <v>40</v>
      </c>
      <c r="E2104" t="s">
        <v>108</v>
      </c>
      <c r="F2104" t="s">
        <v>109</v>
      </c>
      <c r="G2104" t="s">
        <v>25</v>
      </c>
      <c r="H2104" t="s">
        <v>26</v>
      </c>
      <c r="I2104" t="s">
        <v>1390</v>
      </c>
      <c r="J2104" t="s">
        <v>93</v>
      </c>
      <c r="K2104" t="s">
        <v>94</v>
      </c>
      <c r="L2104" t="s">
        <v>1979</v>
      </c>
      <c r="M2104" t="s">
        <v>31</v>
      </c>
      <c r="N2104" t="s">
        <v>57</v>
      </c>
      <c r="O2104" t="s">
        <v>1980</v>
      </c>
      <c r="P2104">
        <v>25.128</v>
      </c>
      <c r="Q2104">
        <v>3</v>
      </c>
      <c r="R2104">
        <v>0.6</v>
      </c>
      <c r="S2104">
        <v>-6.9101999999999997</v>
      </c>
      <c r="T2104" t="s">
        <v>130</v>
      </c>
      <c r="U2104" t="s">
        <v>35</v>
      </c>
    </row>
    <row r="2105" spans="1:21" x14ac:dyDescent="0.25">
      <c r="A2105" t="s">
        <v>4388</v>
      </c>
      <c r="B2105" s="1">
        <v>42260</v>
      </c>
      <c r="C2105" s="1">
        <v>42262</v>
      </c>
      <c r="D2105" t="s">
        <v>88</v>
      </c>
      <c r="E2105" t="s">
        <v>1947</v>
      </c>
      <c r="F2105" t="s">
        <v>1948</v>
      </c>
      <c r="G2105" t="s">
        <v>91</v>
      </c>
      <c r="H2105" t="s">
        <v>26</v>
      </c>
      <c r="I2105" t="s">
        <v>3048</v>
      </c>
      <c r="J2105" t="s">
        <v>54</v>
      </c>
      <c r="K2105" t="s">
        <v>55</v>
      </c>
      <c r="L2105" t="s">
        <v>1543</v>
      </c>
      <c r="M2105" t="s">
        <v>31</v>
      </c>
      <c r="N2105" t="s">
        <v>57</v>
      </c>
      <c r="O2105" t="s">
        <v>1544</v>
      </c>
      <c r="P2105">
        <v>131.88</v>
      </c>
      <c r="Q2105">
        <v>7</v>
      </c>
      <c r="R2105">
        <v>0</v>
      </c>
      <c r="S2105">
        <v>55.389600000000002</v>
      </c>
      <c r="T2105" t="s">
        <v>71</v>
      </c>
      <c r="U2105" t="s">
        <v>78</v>
      </c>
    </row>
    <row r="2106" spans="1:21" x14ac:dyDescent="0.25">
      <c r="A2106" t="s">
        <v>4388</v>
      </c>
      <c r="B2106" s="1">
        <v>42260</v>
      </c>
      <c r="C2106" s="1">
        <v>42262</v>
      </c>
      <c r="D2106" t="s">
        <v>88</v>
      </c>
      <c r="E2106" t="s">
        <v>1947</v>
      </c>
      <c r="F2106" t="s">
        <v>1948</v>
      </c>
      <c r="G2106" t="s">
        <v>91</v>
      </c>
      <c r="H2106" t="s">
        <v>26</v>
      </c>
      <c r="I2106" t="s">
        <v>3048</v>
      </c>
      <c r="J2106" t="s">
        <v>54</v>
      </c>
      <c r="K2106" t="s">
        <v>55</v>
      </c>
      <c r="L2106" t="s">
        <v>1586</v>
      </c>
      <c r="M2106" t="s">
        <v>31</v>
      </c>
      <c r="N2106" t="s">
        <v>37</v>
      </c>
      <c r="O2106" t="s">
        <v>1587</v>
      </c>
      <c r="P2106">
        <v>717.72</v>
      </c>
      <c r="Q2106">
        <v>3</v>
      </c>
      <c r="R2106">
        <v>0.2</v>
      </c>
      <c r="S2106">
        <v>71.772000000000006</v>
      </c>
      <c r="T2106" t="s">
        <v>71</v>
      </c>
      <c r="U2106" t="s">
        <v>78</v>
      </c>
    </row>
    <row r="2107" spans="1:21" x14ac:dyDescent="0.25">
      <c r="A2107" t="s">
        <v>4388</v>
      </c>
      <c r="B2107" s="1">
        <v>42260</v>
      </c>
      <c r="C2107" s="1">
        <v>42262</v>
      </c>
      <c r="D2107" t="s">
        <v>88</v>
      </c>
      <c r="E2107" t="s">
        <v>1947</v>
      </c>
      <c r="F2107" t="s">
        <v>1948</v>
      </c>
      <c r="G2107" t="s">
        <v>91</v>
      </c>
      <c r="H2107" t="s">
        <v>26</v>
      </c>
      <c r="I2107" t="s">
        <v>3048</v>
      </c>
      <c r="J2107" t="s">
        <v>54</v>
      </c>
      <c r="K2107" t="s">
        <v>55</v>
      </c>
      <c r="L2107" t="s">
        <v>2292</v>
      </c>
      <c r="M2107" t="s">
        <v>31</v>
      </c>
      <c r="N2107" t="s">
        <v>57</v>
      </c>
      <c r="O2107" t="s">
        <v>2293</v>
      </c>
      <c r="P2107">
        <v>207.35</v>
      </c>
      <c r="Q2107">
        <v>5</v>
      </c>
      <c r="R2107">
        <v>0</v>
      </c>
      <c r="S2107">
        <v>24.882000000000001</v>
      </c>
      <c r="T2107" t="s">
        <v>71</v>
      </c>
      <c r="U2107" t="s">
        <v>78</v>
      </c>
    </row>
    <row r="2108" spans="1:21" x14ac:dyDescent="0.25">
      <c r="A2108" t="s">
        <v>4388</v>
      </c>
      <c r="B2108" s="1">
        <v>42260</v>
      </c>
      <c r="C2108" s="1">
        <v>42262</v>
      </c>
      <c r="D2108" t="s">
        <v>88</v>
      </c>
      <c r="E2108" t="s">
        <v>1947</v>
      </c>
      <c r="F2108" t="s">
        <v>1948</v>
      </c>
      <c r="G2108" t="s">
        <v>91</v>
      </c>
      <c r="H2108" t="s">
        <v>26</v>
      </c>
      <c r="I2108" t="s">
        <v>3048</v>
      </c>
      <c r="J2108" t="s">
        <v>54</v>
      </c>
      <c r="K2108" t="s">
        <v>55</v>
      </c>
      <c r="L2108" t="s">
        <v>1205</v>
      </c>
      <c r="M2108" t="s">
        <v>31</v>
      </c>
      <c r="N2108" t="s">
        <v>57</v>
      </c>
      <c r="O2108" t="s">
        <v>1206</v>
      </c>
      <c r="P2108">
        <v>44.67</v>
      </c>
      <c r="Q2108">
        <v>3</v>
      </c>
      <c r="R2108">
        <v>0</v>
      </c>
      <c r="S2108">
        <v>12.0609</v>
      </c>
      <c r="T2108" t="s">
        <v>71</v>
      </c>
      <c r="U2108" t="s">
        <v>78</v>
      </c>
    </row>
    <row r="2109" spans="1:21" x14ac:dyDescent="0.25">
      <c r="A2109" t="s">
        <v>4389</v>
      </c>
      <c r="B2109" s="1">
        <v>42287</v>
      </c>
      <c r="C2109" s="1">
        <v>42289</v>
      </c>
      <c r="D2109" t="s">
        <v>88</v>
      </c>
      <c r="E2109" t="s">
        <v>3489</v>
      </c>
      <c r="F2109" t="s">
        <v>3490</v>
      </c>
      <c r="G2109" t="s">
        <v>91</v>
      </c>
      <c r="H2109" t="s">
        <v>26</v>
      </c>
      <c r="I2109" t="s">
        <v>4390</v>
      </c>
      <c r="J2109" t="s">
        <v>54</v>
      </c>
      <c r="K2109" t="s">
        <v>55</v>
      </c>
      <c r="L2109" t="s">
        <v>1851</v>
      </c>
      <c r="M2109" t="s">
        <v>31</v>
      </c>
      <c r="N2109" t="s">
        <v>37</v>
      </c>
      <c r="O2109" t="s">
        <v>1852</v>
      </c>
      <c r="P2109">
        <v>362.13600000000002</v>
      </c>
      <c r="Q2109">
        <v>3</v>
      </c>
      <c r="R2109">
        <v>0.2</v>
      </c>
      <c r="S2109">
        <v>-54.320399999999999</v>
      </c>
      <c r="T2109" t="s">
        <v>71</v>
      </c>
      <c r="U2109" t="s">
        <v>49</v>
      </c>
    </row>
    <row r="2110" spans="1:21" x14ac:dyDescent="0.25">
      <c r="A2110" t="s">
        <v>4391</v>
      </c>
      <c r="B2110" s="1">
        <v>42764</v>
      </c>
      <c r="C2110" s="1">
        <v>42766</v>
      </c>
      <c r="D2110" t="s">
        <v>22</v>
      </c>
      <c r="E2110" t="s">
        <v>1966</v>
      </c>
      <c r="F2110" t="s">
        <v>1967</v>
      </c>
      <c r="G2110" t="s">
        <v>25</v>
      </c>
      <c r="H2110" t="s">
        <v>26</v>
      </c>
      <c r="I2110" t="s">
        <v>1771</v>
      </c>
      <c r="J2110" t="s">
        <v>802</v>
      </c>
      <c r="K2110" t="s">
        <v>94</v>
      </c>
      <c r="L2110" t="s">
        <v>651</v>
      </c>
      <c r="M2110" t="s">
        <v>31</v>
      </c>
      <c r="N2110" t="s">
        <v>57</v>
      </c>
      <c r="O2110" t="s">
        <v>652</v>
      </c>
      <c r="P2110">
        <v>14.91</v>
      </c>
      <c r="Q2110">
        <v>3</v>
      </c>
      <c r="R2110">
        <v>0</v>
      </c>
      <c r="S2110">
        <v>4.6220999999999997</v>
      </c>
      <c r="T2110" t="s">
        <v>71</v>
      </c>
      <c r="U2110" t="s">
        <v>170</v>
      </c>
    </row>
    <row r="2111" spans="1:21" x14ac:dyDescent="0.25">
      <c r="A2111" t="s">
        <v>4392</v>
      </c>
      <c r="B2111" s="1">
        <v>42444</v>
      </c>
      <c r="C2111" s="1">
        <v>42448</v>
      </c>
      <c r="D2111" t="s">
        <v>40</v>
      </c>
      <c r="E2111" t="s">
        <v>2589</v>
      </c>
      <c r="F2111" t="s">
        <v>2590</v>
      </c>
      <c r="G2111" t="s">
        <v>91</v>
      </c>
      <c r="H2111" t="s">
        <v>26</v>
      </c>
      <c r="I2111" t="s">
        <v>4393</v>
      </c>
      <c r="J2111" t="s">
        <v>93</v>
      </c>
      <c r="K2111" t="s">
        <v>94</v>
      </c>
      <c r="L2111" t="s">
        <v>160</v>
      </c>
      <c r="M2111" t="s">
        <v>31</v>
      </c>
      <c r="N2111" t="s">
        <v>37</v>
      </c>
      <c r="O2111" t="s">
        <v>161</v>
      </c>
      <c r="P2111">
        <v>528.42999999999995</v>
      </c>
      <c r="Q2111">
        <v>5</v>
      </c>
      <c r="R2111">
        <v>0.3</v>
      </c>
      <c r="S2111">
        <v>-143.43100000000001</v>
      </c>
      <c r="T2111" t="s">
        <v>84</v>
      </c>
      <c r="U2111" t="s">
        <v>196</v>
      </c>
    </row>
    <row r="2112" spans="1:21" x14ac:dyDescent="0.25">
      <c r="A2112" t="s">
        <v>4394</v>
      </c>
      <c r="B2112" s="1">
        <v>42617</v>
      </c>
      <c r="C2112" s="1">
        <v>42617</v>
      </c>
      <c r="D2112" t="s">
        <v>426</v>
      </c>
      <c r="E2112" t="s">
        <v>4395</v>
      </c>
      <c r="F2112" t="s">
        <v>4396</v>
      </c>
      <c r="G2112" t="s">
        <v>25</v>
      </c>
      <c r="H2112" t="s">
        <v>26</v>
      </c>
      <c r="I2112" t="s">
        <v>329</v>
      </c>
      <c r="J2112" t="s">
        <v>54</v>
      </c>
      <c r="K2112" t="s">
        <v>55</v>
      </c>
      <c r="L2112" t="s">
        <v>150</v>
      </c>
      <c r="M2112" t="s">
        <v>31</v>
      </c>
      <c r="N2112" t="s">
        <v>57</v>
      </c>
      <c r="O2112" t="s">
        <v>151</v>
      </c>
      <c r="P2112">
        <v>24.27</v>
      </c>
      <c r="Q2112">
        <v>3</v>
      </c>
      <c r="R2112">
        <v>0</v>
      </c>
      <c r="S2112">
        <v>8.7371999999999996</v>
      </c>
      <c r="T2112" t="s">
        <v>431</v>
      </c>
      <c r="U2112" t="s">
        <v>78</v>
      </c>
    </row>
    <row r="2113" spans="1:21" x14ac:dyDescent="0.25">
      <c r="A2113" t="s">
        <v>4397</v>
      </c>
      <c r="B2113" s="1">
        <v>42321</v>
      </c>
      <c r="C2113" s="1">
        <v>42325</v>
      </c>
      <c r="D2113" t="s">
        <v>40</v>
      </c>
      <c r="E2113" t="s">
        <v>453</v>
      </c>
      <c r="F2113" t="s">
        <v>454</v>
      </c>
      <c r="G2113" t="s">
        <v>25</v>
      </c>
      <c r="H2113" t="s">
        <v>26</v>
      </c>
      <c r="I2113" t="s">
        <v>4398</v>
      </c>
      <c r="J2113" t="s">
        <v>54</v>
      </c>
      <c r="K2113" t="s">
        <v>55</v>
      </c>
      <c r="L2113" t="s">
        <v>1968</v>
      </c>
      <c r="M2113" t="s">
        <v>31</v>
      </c>
      <c r="N2113" t="s">
        <v>32</v>
      </c>
      <c r="O2113" t="s">
        <v>1969</v>
      </c>
      <c r="P2113">
        <v>683.33199999999999</v>
      </c>
      <c r="Q2113">
        <v>4</v>
      </c>
      <c r="R2113">
        <v>0.15</v>
      </c>
      <c r="S2113">
        <v>-40.195999999999998</v>
      </c>
      <c r="T2113" t="s">
        <v>84</v>
      </c>
      <c r="U2113" t="s">
        <v>35</v>
      </c>
    </row>
    <row r="2114" spans="1:21" x14ac:dyDescent="0.25">
      <c r="A2114" t="s">
        <v>4399</v>
      </c>
      <c r="B2114" s="1">
        <v>42524</v>
      </c>
      <c r="C2114" s="1">
        <v>42527</v>
      </c>
      <c r="D2114" t="s">
        <v>22</v>
      </c>
      <c r="E2114" t="s">
        <v>1842</v>
      </c>
      <c r="F2114" t="s">
        <v>1843</v>
      </c>
      <c r="G2114" t="s">
        <v>91</v>
      </c>
      <c r="H2114" t="s">
        <v>26</v>
      </c>
      <c r="I2114" t="s">
        <v>53</v>
      </c>
      <c r="J2114" t="s">
        <v>54</v>
      </c>
      <c r="K2114" t="s">
        <v>55</v>
      </c>
      <c r="L2114" t="s">
        <v>1250</v>
      </c>
      <c r="M2114" t="s">
        <v>31</v>
      </c>
      <c r="N2114" t="s">
        <v>46</v>
      </c>
      <c r="O2114" t="s">
        <v>1251</v>
      </c>
      <c r="P2114">
        <v>71.087999999999994</v>
      </c>
      <c r="Q2114">
        <v>2</v>
      </c>
      <c r="R2114">
        <v>0.2</v>
      </c>
      <c r="S2114">
        <v>-1.7771999999999999</v>
      </c>
      <c r="T2114" t="s">
        <v>34</v>
      </c>
      <c r="U2114" t="s">
        <v>60</v>
      </c>
    </row>
    <row r="2115" spans="1:21" x14ac:dyDescent="0.25">
      <c r="A2115" t="s">
        <v>4400</v>
      </c>
      <c r="B2115" s="1">
        <v>42716</v>
      </c>
      <c r="C2115" s="1">
        <v>42721</v>
      </c>
      <c r="D2115" t="s">
        <v>40</v>
      </c>
      <c r="E2115" t="s">
        <v>1039</v>
      </c>
      <c r="F2115" t="s">
        <v>1040</v>
      </c>
      <c r="G2115" t="s">
        <v>91</v>
      </c>
      <c r="H2115" t="s">
        <v>26</v>
      </c>
      <c r="I2115" t="s">
        <v>174</v>
      </c>
      <c r="J2115" t="s">
        <v>121</v>
      </c>
      <c r="K2115" t="s">
        <v>68</v>
      </c>
      <c r="L2115" t="s">
        <v>552</v>
      </c>
      <c r="M2115" t="s">
        <v>31</v>
      </c>
      <c r="N2115" t="s">
        <v>57</v>
      </c>
      <c r="O2115" t="s">
        <v>3126</v>
      </c>
      <c r="P2115">
        <v>60.35</v>
      </c>
      <c r="Q2115">
        <v>5</v>
      </c>
      <c r="R2115">
        <v>0</v>
      </c>
      <c r="S2115">
        <v>19.915500000000002</v>
      </c>
      <c r="T2115" t="s">
        <v>59</v>
      </c>
      <c r="U2115" t="s">
        <v>97</v>
      </c>
    </row>
    <row r="2116" spans="1:21" x14ac:dyDescent="0.25">
      <c r="A2116" t="s">
        <v>4401</v>
      </c>
      <c r="B2116" s="1">
        <v>42887</v>
      </c>
      <c r="C2116" s="1">
        <v>42889</v>
      </c>
      <c r="D2116" t="s">
        <v>22</v>
      </c>
      <c r="E2116" t="s">
        <v>829</v>
      </c>
      <c r="F2116" t="s">
        <v>830</v>
      </c>
      <c r="G2116" t="s">
        <v>91</v>
      </c>
      <c r="H2116" t="s">
        <v>26</v>
      </c>
      <c r="I2116" t="s">
        <v>4402</v>
      </c>
      <c r="J2116" t="s">
        <v>111</v>
      </c>
      <c r="K2116" t="s">
        <v>94</v>
      </c>
      <c r="L2116" t="s">
        <v>796</v>
      </c>
      <c r="M2116" t="s">
        <v>31</v>
      </c>
      <c r="N2116" t="s">
        <v>37</v>
      </c>
      <c r="O2116" t="s">
        <v>797</v>
      </c>
      <c r="P2116">
        <v>1925.88</v>
      </c>
      <c r="Q2116">
        <v>6</v>
      </c>
      <c r="R2116">
        <v>0</v>
      </c>
      <c r="S2116">
        <v>539.24639999999999</v>
      </c>
      <c r="T2116" t="s">
        <v>71</v>
      </c>
      <c r="U2116" t="s">
        <v>60</v>
      </c>
    </row>
    <row r="2117" spans="1:21" x14ac:dyDescent="0.25">
      <c r="A2117" t="s">
        <v>4403</v>
      </c>
      <c r="B2117" s="1">
        <v>42352</v>
      </c>
      <c r="C2117" s="1">
        <v>42354</v>
      </c>
      <c r="D2117" t="s">
        <v>22</v>
      </c>
      <c r="E2117" t="s">
        <v>3195</v>
      </c>
      <c r="F2117" t="s">
        <v>3196</v>
      </c>
      <c r="G2117" t="s">
        <v>91</v>
      </c>
      <c r="H2117" t="s">
        <v>26</v>
      </c>
      <c r="I2117" t="s">
        <v>53</v>
      </c>
      <c r="J2117" t="s">
        <v>54</v>
      </c>
      <c r="K2117" t="s">
        <v>55</v>
      </c>
      <c r="L2117" t="s">
        <v>1255</v>
      </c>
      <c r="M2117" t="s">
        <v>31</v>
      </c>
      <c r="N2117" t="s">
        <v>46</v>
      </c>
      <c r="O2117" t="s">
        <v>1256</v>
      </c>
      <c r="P2117">
        <v>273.56799999999998</v>
      </c>
      <c r="Q2117">
        <v>2</v>
      </c>
      <c r="R2117">
        <v>0.2</v>
      </c>
      <c r="S2117">
        <v>10.258800000000001</v>
      </c>
      <c r="T2117" t="s">
        <v>71</v>
      </c>
      <c r="U2117" t="s">
        <v>97</v>
      </c>
    </row>
    <row r="2118" spans="1:21" x14ac:dyDescent="0.25">
      <c r="A2118" t="s">
        <v>4404</v>
      </c>
      <c r="B2118" s="1">
        <v>42082</v>
      </c>
      <c r="C2118" s="1">
        <v>42085</v>
      </c>
      <c r="D2118" t="s">
        <v>88</v>
      </c>
      <c r="E2118" t="s">
        <v>1315</v>
      </c>
      <c r="F2118" t="s">
        <v>1316</v>
      </c>
      <c r="G2118" t="s">
        <v>101</v>
      </c>
      <c r="H2118" t="s">
        <v>26</v>
      </c>
      <c r="I2118" t="s">
        <v>102</v>
      </c>
      <c r="J2118" t="s">
        <v>93</v>
      </c>
      <c r="K2118" t="s">
        <v>94</v>
      </c>
      <c r="L2118" t="s">
        <v>2623</v>
      </c>
      <c r="M2118" t="s">
        <v>31</v>
      </c>
      <c r="N2118" t="s">
        <v>32</v>
      </c>
      <c r="O2118" t="s">
        <v>2624</v>
      </c>
      <c r="P2118">
        <v>383.46559999999999</v>
      </c>
      <c r="Q2118">
        <v>4</v>
      </c>
      <c r="R2118">
        <v>0.32</v>
      </c>
      <c r="S2118">
        <v>-67.670400000000001</v>
      </c>
      <c r="T2118" t="s">
        <v>34</v>
      </c>
      <c r="U2118" t="s">
        <v>196</v>
      </c>
    </row>
    <row r="2119" spans="1:21" x14ac:dyDescent="0.25">
      <c r="A2119" t="s">
        <v>4405</v>
      </c>
      <c r="B2119" s="1">
        <v>42709</v>
      </c>
      <c r="C2119" s="1">
        <v>42714</v>
      </c>
      <c r="D2119" t="s">
        <v>22</v>
      </c>
      <c r="E2119" t="s">
        <v>4029</v>
      </c>
      <c r="F2119" t="s">
        <v>4030</v>
      </c>
      <c r="G2119" t="s">
        <v>91</v>
      </c>
      <c r="H2119" t="s">
        <v>26</v>
      </c>
      <c r="I2119" t="s">
        <v>231</v>
      </c>
      <c r="J2119" t="s">
        <v>201</v>
      </c>
      <c r="K2119" t="s">
        <v>68</v>
      </c>
      <c r="L2119" t="s">
        <v>374</v>
      </c>
      <c r="M2119" t="s">
        <v>31</v>
      </c>
      <c r="N2119" t="s">
        <v>57</v>
      </c>
      <c r="O2119" t="s">
        <v>375</v>
      </c>
      <c r="P2119">
        <v>13.4</v>
      </c>
      <c r="Q2119">
        <v>1</v>
      </c>
      <c r="R2119">
        <v>0</v>
      </c>
      <c r="S2119">
        <v>6.4320000000000004</v>
      </c>
      <c r="T2119" t="s">
        <v>59</v>
      </c>
      <c r="U2119" t="s">
        <v>97</v>
      </c>
    </row>
    <row r="2120" spans="1:21" x14ac:dyDescent="0.25">
      <c r="A2120" t="s">
        <v>4406</v>
      </c>
      <c r="B2120" s="1">
        <v>42253</v>
      </c>
      <c r="C2120" s="1">
        <v>42256</v>
      </c>
      <c r="D2120" t="s">
        <v>22</v>
      </c>
      <c r="E2120" t="s">
        <v>1904</v>
      </c>
      <c r="F2120" t="s">
        <v>1905</v>
      </c>
      <c r="G2120" t="s">
        <v>25</v>
      </c>
      <c r="H2120" t="s">
        <v>26</v>
      </c>
      <c r="I2120" t="s">
        <v>1406</v>
      </c>
      <c r="J2120" t="s">
        <v>1407</v>
      </c>
      <c r="K2120" t="s">
        <v>29</v>
      </c>
      <c r="L2120" t="s">
        <v>1260</v>
      </c>
      <c r="M2120" t="s">
        <v>31</v>
      </c>
      <c r="N2120" t="s">
        <v>46</v>
      </c>
      <c r="O2120" t="s">
        <v>1064</v>
      </c>
      <c r="P2120">
        <v>85.98</v>
      </c>
      <c r="Q2120">
        <v>1</v>
      </c>
      <c r="R2120">
        <v>0</v>
      </c>
      <c r="S2120">
        <v>22.354800000000001</v>
      </c>
      <c r="T2120" t="s">
        <v>34</v>
      </c>
      <c r="U2120" t="s">
        <v>78</v>
      </c>
    </row>
    <row r="2121" spans="1:21" x14ac:dyDescent="0.25">
      <c r="A2121" t="s">
        <v>4407</v>
      </c>
      <c r="B2121" s="1">
        <v>41660</v>
      </c>
      <c r="C2121" s="1">
        <v>41662</v>
      </c>
      <c r="D2121" t="s">
        <v>22</v>
      </c>
      <c r="E2121" t="s">
        <v>2020</v>
      </c>
      <c r="F2121" t="s">
        <v>2021</v>
      </c>
      <c r="G2121" t="s">
        <v>25</v>
      </c>
      <c r="H2121" t="s">
        <v>26</v>
      </c>
      <c r="I2121" t="s">
        <v>1007</v>
      </c>
      <c r="J2121" t="s">
        <v>44</v>
      </c>
      <c r="K2121" t="s">
        <v>29</v>
      </c>
      <c r="L2121" t="s">
        <v>1578</v>
      </c>
      <c r="M2121" t="s">
        <v>31</v>
      </c>
      <c r="N2121" t="s">
        <v>57</v>
      </c>
      <c r="O2121" t="s">
        <v>1579</v>
      </c>
      <c r="P2121">
        <v>25.248000000000001</v>
      </c>
      <c r="Q2121">
        <v>3</v>
      </c>
      <c r="R2121">
        <v>0.2</v>
      </c>
      <c r="S2121">
        <v>4.1028000000000002</v>
      </c>
      <c r="T2121" t="s">
        <v>71</v>
      </c>
      <c r="U2121" t="s">
        <v>170</v>
      </c>
    </row>
    <row r="2122" spans="1:21" x14ac:dyDescent="0.25">
      <c r="A2122" t="s">
        <v>4408</v>
      </c>
      <c r="B2122" s="1">
        <v>42792</v>
      </c>
      <c r="C2122" s="1">
        <v>42797</v>
      </c>
      <c r="D2122" t="s">
        <v>40</v>
      </c>
      <c r="E2122" t="s">
        <v>241</v>
      </c>
      <c r="F2122" t="s">
        <v>242</v>
      </c>
      <c r="G2122" t="s">
        <v>25</v>
      </c>
      <c r="H2122" t="s">
        <v>26</v>
      </c>
      <c r="I2122" t="s">
        <v>551</v>
      </c>
      <c r="J2122" t="s">
        <v>54</v>
      </c>
      <c r="K2122" t="s">
        <v>55</v>
      </c>
      <c r="L2122" t="s">
        <v>3289</v>
      </c>
      <c r="M2122" t="s">
        <v>31</v>
      </c>
      <c r="N2122" t="s">
        <v>57</v>
      </c>
      <c r="O2122" t="s">
        <v>3290</v>
      </c>
      <c r="P2122">
        <v>91.96</v>
      </c>
      <c r="Q2122">
        <v>2</v>
      </c>
      <c r="R2122">
        <v>0</v>
      </c>
      <c r="S2122">
        <v>15.6332</v>
      </c>
      <c r="T2122" t="s">
        <v>59</v>
      </c>
      <c r="U2122" t="s">
        <v>298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C298-2CAC-410B-9CB5-F08FCF704C46}">
  <dimension ref="A3:M82"/>
  <sheetViews>
    <sheetView topLeftCell="A9" zoomScale="85" zoomScaleNormal="85" workbookViewId="0">
      <selection activeCell="AC8" sqref="AC8"/>
    </sheetView>
  </sheetViews>
  <sheetFormatPr defaultRowHeight="15" x14ac:dyDescent="0.25"/>
  <cols>
    <col min="1" max="1" width="13.28515625" bestFit="1" customWidth="1"/>
    <col min="2" max="2" width="12.140625" bestFit="1" customWidth="1"/>
    <col min="3" max="3" width="12.5703125" bestFit="1" customWidth="1"/>
    <col min="4" max="4" width="13.28515625" bestFit="1" customWidth="1"/>
    <col min="5" max="5" width="12.140625" bestFit="1" customWidth="1"/>
    <col min="6" max="6" width="32.28515625" customWidth="1"/>
    <col min="8" max="8" width="11.85546875" customWidth="1"/>
    <col min="10" max="10" width="19.5703125" bestFit="1" customWidth="1"/>
    <col min="11" max="11" width="12.140625" bestFit="1" customWidth="1"/>
    <col min="12" max="12" width="19.5703125" bestFit="1" customWidth="1"/>
  </cols>
  <sheetData>
    <row r="3" spans="1:11" x14ac:dyDescent="0.25">
      <c r="A3" t="s">
        <v>4409</v>
      </c>
      <c r="B3" t="s">
        <v>4411</v>
      </c>
      <c r="C3" t="s">
        <v>4410</v>
      </c>
      <c r="F3" s="9" t="s">
        <v>4418</v>
      </c>
      <c r="G3" s="9"/>
      <c r="H3" s="9"/>
      <c r="I3" s="9"/>
      <c r="J3" s="9"/>
    </row>
    <row r="4" spans="1:11" x14ac:dyDescent="0.25">
      <c r="A4" s="3">
        <v>741999.79529999977</v>
      </c>
      <c r="B4" s="3">
        <v>18451.272799999999</v>
      </c>
      <c r="C4" s="4">
        <v>8028</v>
      </c>
      <c r="F4" t="s">
        <v>4419</v>
      </c>
      <c r="G4" t="s">
        <v>4423</v>
      </c>
      <c r="H4" t="s">
        <v>4420</v>
      </c>
      <c r="I4" t="s">
        <v>4421</v>
      </c>
      <c r="J4" t="s">
        <v>4422</v>
      </c>
    </row>
    <row r="5" spans="1:11" x14ac:dyDescent="0.25">
      <c r="F5" t="s">
        <v>15</v>
      </c>
      <c r="G5" s="7">
        <f>GETPIVOTDATA("Sum of Sales",$A$3)</f>
        <v>741999.79529999977</v>
      </c>
      <c r="H5" s="7">
        <f>GETPIVOTDATA("Sum of Sales",$A$7,"Years",2017)</f>
        <v>215387.26920000004</v>
      </c>
      <c r="I5" s="7">
        <f>GETPIVOTDATA("Sum of Sales",$A$7,"Years",2016)</f>
        <v>198901.43600000019</v>
      </c>
      <c r="J5" s="6">
        <f>(H5-I5)/I5</f>
        <v>8.2884435283814811E-2</v>
      </c>
      <c r="K5" t="str">
        <f>IF(J5&gt;0,"🔼","🔽")&amp;TEXT(ABS(J5),"0%")&amp;"YOY"</f>
        <v>🔼8%YOY</v>
      </c>
    </row>
    <row r="6" spans="1:11" x14ac:dyDescent="0.25">
      <c r="F6" t="s">
        <v>16</v>
      </c>
      <c r="G6" s="7">
        <f>GETPIVOTDATA("Sum of Quantity",$A$3)</f>
        <v>8028</v>
      </c>
      <c r="H6" s="7">
        <f>GETPIVOTDATA("Sum of Quantity",$A$7,"Years",2017)</f>
        <v>2437</v>
      </c>
      <c r="I6" s="7">
        <f>GETPIVOTDATA("Sum of Quantity",$A$7,"Years",2016)</f>
        <v>2193</v>
      </c>
      <c r="J6" s="6">
        <f t="shared" ref="J6:J7" si="0">(H6-I6)/I6</f>
        <v>0.11126310989512084</v>
      </c>
      <c r="K6" t="str">
        <f t="shared" ref="K6:K7" si="1">IF(J6&gt;0,"🔼","🔽")&amp;TEXT(ABS(J6),"0%")&amp;"YOY"</f>
        <v>🔼11%YOY</v>
      </c>
    </row>
    <row r="7" spans="1:11" x14ac:dyDescent="0.25">
      <c r="A7" s="2" t="s">
        <v>4412</v>
      </c>
      <c r="B7" t="s">
        <v>4409</v>
      </c>
      <c r="C7" t="s">
        <v>4411</v>
      </c>
      <c r="D7" t="s">
        <v>4410</v>
      </c>
      <c r="F7" t="s">
        <v>18</v>
      </c>
      <c r="G7" s="7">
        <f>GETPIVOTDATA("Sum of Profit",$A$3)</f>
        <v>18451.272799999999</v>
      </c>
      <c r="H7" s="7">
        <f>GETPIVOTDATA("Sum of Profit",$A$7,"Years",2017)</f>
        <v>3018.3912999999957</v>
      </c>
      <c r="I7" s="7">
        <f>GETPIVOTDATA("Sum of Profit",$A$7,"Years",2016)</f>
        <v>6959.9530999999979</v>
      </c>
      <c r="J7" s="6">
        <f t="shared" si="0"/>
        <v>-0.56632016672641128</v>
      </c>
      <c r="K7" t="str">
        <f t="shared" si="1"/>
        <v>🔽57%YOY</v>
      </c>
    </row>
    <row r="8" spans="1:11" x14ac:dyDescent="0.25">
      <c r="A8" s="5" t="s">
        <v>4414</v>
      </c>
      <c r="B8" s="3">
        <v>157192.85310000001</v>
      </c>
      <c r="C8" s="3">
        <v>5457.7255000000059</v>
      </c>
      <c r="D8" s="4">
        <v>1623</v>
      </c>
    </row>
    <row r="9" spans="1:11" x14ac:dyDescent="0.25">
      <c r="A9" s="5" t="s">
        <v>4415</v>
      </c>
      <c r="B9" s="3">
        <v>170518.23700000011</v>
      </c>
      <c r="C9" s="3">
        <v>3015.2028999999993</v>
      </c>
      <c r="D9" s="4">
        <v>1775</v>
      </c>
    </row>
    <row r="10" spans="1:11" x14ac:dyDescent="0.25">
      <c r="A10" s="5" t="s">
        <v>4416</v>
      </c>
      <c r="B10" s="3">
        <v>198901.43600000019</v>
      </c>
      <c r="C10" s="3">
        <v>6959.9530999999979</v>
      </c>
      <c r="D10" s="4">
        <v>2193</v>
      </c>
    </row>
    <row r="11" spans="1:11" x14ac:dyDescent="0.25">
      <c r="A11" s="5" t="s">
        <v>4417</v>
      </c>
      <c r="B11" s="3">
        <v>215387.26920000004</v>
      </c>
      <c r="C11" s="3">
        <v>3018.3912999999957</v>
      </c>
      <c r="D11" s="4">
        <v>2437</v>
      </c>
    </row>
    <row r="12" spans="1:11" x14ac:dyDescent="0.25">
      <c r="A12" s="5" t="s">
        <v>4413</v>
      </c>
      <c r="B12" s="3">
        <v>741999.79530000035</v>
      </c>
      <c r="C12" s="3">
        <v>18451.272799999999</v>
      </c>
      <c r="D12" s="4">
        <v>8028</v>
      </c>
    </row>
    <row r="13" spans="1:11" x14ac:dyDescent="0.25">
      <c r="A13" s="5" t="s">
        <v>4424</v>
      </c>
    </row>
    <row r="14" spans="1:11" x14ac:dyDescent="0.25">
      <c r="A14" t="str">
        <f>"Peak Sales Month: " &amp; INDEX(A16:A27, MATCH(MAX(B16:B27), B16:B27, 0)) &amp; " with " &amp; TEXT(MAX(B16:B27), "$#,##0") &amp; " in Sales"</f>
        <v>Peak Sales Month: Dec with $121,818 in Sales</v>
      </c>
      <c r="D14" t="s">
        <v>4425</v>
      </c>
    </row>
    <row r="15" spans="1:11" x14ac:dyDescent="0.25">
      <c r="A15" s="2" t="s">
        <v>4412</v>
      </c>
      <c r="B15" t="s">
        <v>4409</v>
      </c>
      <c r="D15" t="str">
        <f>"Top Selling Cities: " &amp; INDEX(D17:D21, MATCH(MAX(E17:E21), E17:E21, 0)) &amp; " with " &amp; TEXT(MAX(E17:E21), "$#,##0") &amp; " in Sales"</f>
        <v>Top Selling Cities: New York City with $75,691 in Sales</v>
      </c>
      <c r="F15" s="2"/>
      <c r="G15" s="2"/>
      <c r="H15" s="2"/>
      <c r="I15" s="2"/>
      <c r="J15" s="2"/>
      <c r="K15" s="2"/>
    </row>
    <row r="16" spans="1:11" x14ac:dyDescent="0.25">
      <c r="A16" s="5" t="s">
        <v>170</v>
      </c>
      <c r="B16" s="7">
        <v>31569.241599999998</v>
      </c>
      <c r="D16" s="2" t="s">
        <v>4412</v>
      </c>
      <c r="E16" t="s">
        <v>4409</v>
      </c>
      <c r="F16" s="2"/>
      <c r="G16" s="2"/>
      <c r="H16" s="2">
        <f>MAX(G17:G21)*1.2</f>
        <v>90829.258800000011</v>
      </c>
      <c r="I16" s="2"/>
      <c r="J16" s="2"/>
      <c r="K16" s="2"/>
    </row>
    <row r="17" spans="1:8" x14ac:dyDescent="0.25">
      <c r="A17" s="5" t="s">
        <v>298</v>
      </c>
      <c r="B17" s="7">
        <v>15765.920399999994</v>
      </c>
      <c r="D17" s="5" t="s">
        <v>53</v>
      </c>
      <c r="E17" s="7">
        <v>54000.040999999976</v>
      </c>
      <c r="F17" t="str">
        <f t="array" ref="F17">D17:E21</f>
        <v>Los Angeles</v>
      </c>
      <c r="G17" s="7">
        <f t="array" ref="G17">E17:F21</f>
        <v>54000.040999999976</v>
      </c>
      <c r="H17" s="7">
        <f>$H$16-G17</f>
        <v>36829.217800000035</v>
      </c>
    </row>
    <row r="18" spans="1:8" x14ac:dyDescent="0.25">
      <c r="A18" s="5" t="s">
        <v>196</v>
      </c>
      <c r="B18" s="7">
        <v>50768.275799999996</v>
      </c>
      <c r="D18" s="5" t="s">
        <v>174</v>
      </c>
      <c r="E18" s="7">
        <v>75691.049000000014</v>
      </c>
      <c r="F18" t="str">
        <f t="array" ref="F18">D18:E22</f>
        <v>New York City</v>
      </c>
      <c r="G18" s="7">
        <f t="array" ref="G18">E18:F22</f>
        <v>75691.049000000014</v>
      </c>
      <c r="H18" s="7">
        <f t="shared" ref="H18:H21" si="2">$H$16-G18</f>
        <v>15138.209799999997</v>
      </c>
    </row>
    <row r="19" spans="1:8" x14ac:dyDescent="0.25">
      <c r="A19" s="5" t="s">
        <v>114</v>
      </c>
      <c r="B19" s="7">
        <v>40698.583600000013</v>
      </c>
      <c r="D19" s="5" t="s">
        <v>66</v>
      </c>
      <c r="E19" s="7">
        <v>36495.541000000012</v>
      </c>
      <c r="F19" t="str">
        <f t="array" ref="F19">D19:E23</f>
        <v>Philadelphia</v>
      </c>
      <c r="G19" s="7">
        <f t="array" ref="G19">E19:F23</f>
        <v>36495.541000000012</v>
      </c>
      <c r="H19" s="7">
        <f t="shared" si="2"/>
        <v>54333.717799999999</v>
      </c>
    </row>
    <row r="20" spans="1:8" x14ac:dyDescent="0.25">
      <c r="A20" s="5" t="s">
        <v>162</v>
      </c>
      <c r="B20" s="7">
        <v>48365.130699999951</v>
      </c>
      <c r="D20" s="5" t="s">
        <v>329</v>
      </c>
      <c r="E20" s="7">
        <v>36357.307999999997</v>
      </c>
      <c r="F20" t="str">
        <f t="array" ref="F20">D20:E24</f>
        <v>San Francisco</v>
      </c>
      <c r="G20" s="7">
        <f t="array" ref="G20">E20:F24</f>
        <v>36357.307999999997</v>
      </c>
      <c r="H20" s="7">
        <f t="shared" si="2"/>
        <v>54471.950800000013</v>
      </c>
    </row>
    <row r="21" spans="1:8" x14ac:dyDescent="0.25">
      <c r="A21" s="5" t="s">
        <v>60</v>
      </c>
      <c r="B21" s="7">
        <v>52999.463299999974</v>
      </c>
      <c r="D21" s="5" t="s">
        <v>192</v>
      </c>
      <c r="E21" s="7">
        <v>40995.877999999997</v>
      </c>
      <c r="F21" t="str">
        <f t="array" ref="F21">D21:E25</f>
        <v>Seattle</v>
      </c>
      <c r="G21" s="7">
        <f t="array" ref="G21">E21:F25</f>
        <v>40995.877999999997</v>
      </c>
      <c r="H21" s="7">
        <f t="shared" si="2"/>
        <v>49833.380800000014</v>
      </c>
    </row>
    <row r="22" spans="1:8" x14ac:dyDescent="0.25">
      <c r="A22" s="5" t="s">
        <v>72</v>
      </c>
      <c r="B22" s="7">
        <v>49377.011999999966</v>
      </c>
      <c r="D22" s="5" t="s">
        <v>4413</v>
      </c>
      <c r="E22" s="7">
        <v>243539.81699999998</v>
      </c>
    </row>
    <row r="23" spans="1:8" x14ac:dyDescent="0.25">
      <c r="A23" s="5" t="s">
        <v>254</v>
      </c>
      <c r="B23" s="7">
        <v>44884.044999999991</v>
      </c>
    </row>
    <row r="24" spans="1:8" x14ac:dyDescent="0.25">
      <c r="A24" s="5" t="s">
        <v>78</v>
      </c>
      <c r="B24" s="7">
        <v>106380.59069999997</v>
      </c>
    </row>
    <row r="25" spans="1:8" x14ac:dyDescent="0.25">
      <c r="A25" s="5" t="s">
        <v>49</v>
      </c>
      <c r="B25" s="7">
        <v>58087.515699999982</v>
      </c>
      <c r="D25" s="5" t="s">
        <v>4427</v>
      </c>
    </row>
    <row r="26" spans="1:8" x14ac:dyDescent="0.25">
      <c r="A26" s="5" t="s">
        <v>35</v>
      </c>
      <c r="B26" s="7">
        <v>121286.04899999996</v>
      </c>
      <c r="D26" t="str">
        <f>"Most  Orders:(" &amp; TEXT(MAX(E28:E35),"0%")&amp;") were delivered in "&amp; INDEX(D28:D35,MATCH(MAX(E28:E35), E28:E36, 0)) &amp; " "</f>
        <v xml:space="preserve">Most  Orders:(28%) were delivered in 4- days </v>
      </c>
    </row>
    <row r="27" spans="1:8" x14ac:dyDescent="0.25">
      <c r="A27" s="5" t="s">
        <v>97</v>
      </c>
      <c r="B27" s="7">
        <v>121817.96749999993</v>
      </c>
      <c r="D27" s="2" t="s">
        <v>4412</v>
      </c>
      <c r="E27" t="s">
        <v>4426</v>
      </c>
      <c r="F27" s="2"/>
      <c r="G27" s="2"/>
      <c r="H27" s="2"/>
    </row>
    <row r="28" spans="1:8" x14ac:dyDescent="0.25">
      <c r="A28" s="5" t="s">
        <v>4413</v>
      </c>
      <c r="B28" s="7">
        <v>741999.79529999977</v>
      </c>
      <c r="D28" s="5" t="s">
        <v>431</v>
      </c>
      <c r="E28" s="8">
        <v>5.469118340405469E-2</v>
      </c>
    </row>
    <row r="29" spans="1:8" x14ac:dyDescent="0.25">
      <c r="B29" s="7"/>
      <c r="D29" s="5" t="s">
        <v>124</v>
      </c>
      <c r="E29" s="8">
        <v>3.6303630363036306E-2</v>
      </c>
    </row>
    <row r="30" spans="1:8" x14ac:dyDescent="0.25">
      <c r="D30" s="5" t="s">
        <v>71</v>
      </c>
      <c r="E30" s="8">
        <v>0.14615747289014616</v>
      </c>
    </row>
    <row r="31" spans="1:8" x14ac:dyDescent="0.25">
      <c r="D31" s="5" t="s">
        <v>34</v>
      </c>
      <c r="E31" s="8">
        <v>8.7694483734087697E-2</v>
      </c>
    </row>
    <row r="32" spans="1:8" x14ac:dyDescent="0.25">
      <c r="D32" s="5" t="s">
        <v>84</v>
      </c>
      <c r="E32" s="8">
        <v>0.28335690711928335</v>
      </c>
    </row>
    <row r="33" spans="4:13" x14ac:dyDescent="0.25">
      <c r="D33" s="5" t="s">
        <v>59</v>
      </c>
      <c r="E33" s="8">
        <v>0.2197076850542197</v>
      </c>
      <c r="J33" s="2" t="s">
        <v>4412</v>
      </c>
      <c r="K33" t="s">
        <v>4409</v>
      </c>
      <c r="L33" t="s">
        <v>9</v>
      </c>
      <c r="M33" t="s">
        <v>15</v>
      </c>
    </row>
    <row r="34" spans="4:13" x14ac:dyDescent="0.25">
      <c r="D34" s="5" t="s">
        <v>130</v>
      </c>
      <c r="E34" s="8">
        <v>0.11126826968411127</v>
      </c>
      <c r="J34" s="5" t="s">
        <v>1277</v>
      </c>
      <c r="K34" s="7">
        <v>6332.48</v>
      </c>
      <c r="L34" t="str">
        <f t="array" ref="L34">J34:K82</f>
        <v>Alabama</v>
      </c>
      <c r="M34" s="7">
        <f t="array" ref="M34">K34:L82</f>
        <v>6332.48</v>
      </c>
    </row>
    <row r="35" spans="4:13" x14ac:dyDescent="0.25">
      <c r="D35" s="5" t="s">
        <v>48</v>
      </c>
      <c r="E35" s="8">
        <v>6.0820367751060818E-2</v>
      </c>
      <c r="J35" s="5" t="s">
        <v>521</v>
      </c>
      <c r="K35" s="7">
        <v>13525.291000000001</v>
      </c>
      <c r="L35" t="str">
        <f t="array" ref="L35">J35:K83</f>
        <v>Arizona</v>
      </c>
      <c r="M35" s="7">
        <f t="array" ref="M35">K35:L83</f>
        <v>13525.291000000001</v>
      </c>
    </row>
    <row r="36" spans="4:13" x14ac:dyDescent="0.25">
      <c r="D36" s="5" t="s">
        <v>4413</v>
      </c>
      <c r="E36" s="8">
        <v>1</v>
      </c>
      <c r="J36" s="5" t="s">
        <v>1059</v>
      </c>
      <c r="K36" s="7">
        <v>3187.55</v>
      </c>
      <c r="L36" t="str">
        <f t="array" ref="L36">J36:K84</f>
        <v>Arkansas</v>
      </c>
      <c r="M36" s="7">
        <f t="array" ref="M36">K36:L84</f>
        <v>3187.55</v>
      </c>
    </row>
    <row r="37" spans="4:13" x14ac:dyDescent="0.25">
      <c r="J37" s="5" t="s">
        <v>54</v>
      </c>
      <c r="K37" s="7">
        <v>156064.60149999999</v>
      </c>
      <c r="L37" t="str">
        <f t="array" ref="L37">J37:K85</f>
        <v>California</v>
      </c>
      <c r="M37" s="7">
        <f t="array" ref="M37">K37:L85</f>
        <v>156064.60149999999</v>
      </c>
    </row>
    <row r="38" spans="4:13" x14ac:dyDescent="0.25">
      <c r="J38" s="5" t="s">
        <v>181</v>
      </c>
      <c r="K38" s="7">
        <v>13243.037</v>
      </c>
      <c r="L38" t="str">
        <f t="array" ref="L38">J38:K86</f>
        <v>Colorado</v>
      </c>
      <c r="M38" s="7">
        <f t="array" ref="M38">K38:L86</f>
        <v>13243.037</v>
      </c>
    </row>
    <row r="39" spans="4:13" x14ac:dyDescent="0.25">
      <c r="D39" s="5" t="s">
        <v>4428</v>
      </c>
      <c r="J39" s="5" t="s">
        <v>430</v>
      </c>
      <c r="K39" s="7">
        <v>5174.9870000000001</v>
      </c>
      <c r="L39" t="str">
        <f t="array" ref="L39">J39:K87</f>
        <v>Connecticut</v>
      </c>
      <c r="M39" s="7">
        <f t="array" ref="M39">K39:L87</f>
        <v>5174.9870000000001</v>
      </c>
    </row>
    <row r="40" spans="4:13" x14ac:dyDescent="0.25">
      <c r="D40" t="str">
        <f>"Most Order Used: " &amp; INDEX(D42:D45, MATCH(MAX(E42:E45),E42:E45, 0)) &amp; "("&amp; TEXT(MAX(E42:E45), "0%") &amp; ")"</f>
        <v>Most Order Used: Standard Class(59%)</v>
      </c>
      <c r="J40" s="5" t="s">
        <v>201</v>
      </c>
      <c r="K40" s="7">
        <v>4759.3189999999995</v>
      </c>
      <c r="L40" t="str">
        <f t="array" ref="L40">J40:K88</f>
        <v>Delaware</v>
      </c>
      <c r="M40" s="7">
        <f t="array" ref="M40">K40:L88</f>
        <v>4759.3189999999995</v>
      </c>
    </row>
    <row r="41" spans="4:13" x14ac:dyDescent="0.25">
      <c r="D41" s="2" t="s">
        <v>4412</v>
      </c>
      <c r="E41" t="s">
        <v>4426</v>
      </c>
      <c r="J41" s="5" t="s">
        <v>981</v>
      </c>
      <c r="K41" s="7">
        <v>1346.58</v>
      </c>
      <c r="L41" t="str">
        <f t="array" ref="L41">J41:K89</f>
        <v>District of Columbia</v>
      </c>
      <c r="M41" s="7">
        <f t="array" ref="M41">K41:L89</f>
        <v>1346.58</v>
      </c>
    </row>
    <row r="42" spans="4:13" x14ac:dyDescent="0.25">
      <c r="D42" s="5" t="s">
        <v>88</v>
      </c>
      <c r="E42" s="8">
        <v>0.15417256011315417</v>
      </c>
      <c r="J42" s="5" t="s">
        <v>44</v>
      </c>
      <c r="K42" s="7">
        <v>22987.03799999999</v>
      </c>
      <c r="L42" t="str">
        <f t="array" ref="L42">J42:K90</f>
        <v>Florida</v>
      </c>
      <c r="M42" s="7">
        <f t="array" ref="M42">K42:L90</f>
        <v>22987.03799999999</v>
      </c>
    </row>
    <row r="43" spans="4:13" x14ac:dyDescent="0.25">
      <c r="D43" s="5" t="s">
        <v>426</v>
      </c>
      <c r="E43" s="8">
        <v>5.6105610561056105E-2</v>
      </c>
      <c r="J43" s="5" t="s">
        <v>668</v>
      </c>
      <c r="K43" s="7">
        <v>8321.48</v>
      </c>
      <c r="L43" t="str">
        <f t="array" ref="L43">J43:K91</f>
        <v>Georgia</v>
      </c>
      <c r="M43" s="7">
        <f t="array" ref="M43">K43:L91</f>
        <v>8321.48</v>
      </c>
    </row>
    <row r="44" spans="4:13" x14ac:dyDescent="0.25">
      <c r="D44" s="5" t="s">
        <v>22</v>
      </c>
      <c r="E44" s="8">
        <v>0.20132013201320131</v>
      </c>
      <c r="J44" s="5" t="s">
        <v>2281</v>
      </c>
      <c r="K44" s="7">
        <v>2595.482</v>
      </c>
      <c r="L44" t="str">
        <f t="array" ref="L44">J44:K92</f>
        <v>Idaho</v>
      </c>
      <c r="M44" s="7">
        <f t="array" ref="M44">K44:L92</f>
        <v>2595.482</v>
      </c>
    </row>
    <row r="45" spans="4:13" x14ac:dyDescent="0.25">
      <c r="D45" s="5" t="s">
        <v>40</v>
      </c>
      <c r="E45" s="8">
        <v>0.5884016973125884</v>
      </c>
      <c r="J45" s="5" t="s">
        <v>135</v>
      </c>
      <c r="K45" s="7">
        <v>28274.522000000008</v>
      </c>
      <c r="L45" t="str">
        <f t="array" ref="L45">J45:K93</f>
        <v>Illinois</v>
      </c>
      <c r="M45" s="7">
        <f t="array" ref="M45">K45:L93</f>
        <v>28274.522000000008</v>
      </c>
    </row>
    <row r="46" spans="4:13" x14ac:dyDescent="0.25">
      <c r="D46" s="5" t="s">
        <v>4413</v>
      </c>
      <c r="E46" s="8">
        <v>1</v>
      </c>
      <c r="J46" s="5" t="s">
        <v>111</v>
      </c>
      <c r="K46" s="7">
        <v>11496.71</v>
      </c>
      <c r="L46" t="str">
        <f t="array" ref="L46">J46:K94</f>
        <v>Indiana</v>
      </c>
      <c r="M46" s="7">
        <f t="array" ref="M46">K46:L94</f>
        <v>11496.71</v>
      </c>
    </row>
    <row r="47" spans="4:13" x14ac:dyDescent="0.25">
      <c r="J47" s="5" t="s">
        <v>802</v>
      </c>
      <c r="K47" s="7">
        <v>2642.3099999999995</v>
      </c>
      <c r="L47" t="str">
        <f t="array" ref="L47">J47:K95</f>
        <v>Iowa</v>
      </c>
      <c r="M47" s="7">
        <f t="array" ref="M47">K47:L95</f>
        <v>2642.3099999999995</v>
      </c>
    </row>
    <row r="48" spans="4:13" x14ac:dyDescent="0.25">
      <c r="D48" s="5" t="s">
        <v>4429</v>
      </c>
      <c r="J48" s="5" t="s">
        <v>3136</v>
      </c>
      <c r="K48" s="7">
        <v>111.12</v>
      </c>
      <c r="L48" t="str">
        <f t="array" ref="L48">J48:K96</f>
        <v>Kansas</v>
      </c>
      <c r="M48" s="7">
        <f t="array" ref="M48">K48:L96</f>
        <v>111.12</v>
      </c>
    </row>
    <row r="49" spans="4:13" x14ac:dyDescent="0.25">
      <c r="D49" s="5" t="str">
        <f>"Highest Sales From Category: " &amp; INDEX(D51:D54, MATCH(MAX(E51:E54),E51:E54, 0)) &amp; "("&amp; TEXT(MAX(E51:E54), "$#,##0") &amp; ")"</f>
        <v>Highest Sales From Category: Chairs($328,449)</v>
      </c>
      <c r="J49" s="5" t="s">
        <v>28</v>
      </c>
      <c r="K49" s="7">
        <v>12126.84</v>
      </c>
      <c r="L49" t="str">
        <f t="array" ref="L49">J49:K97</f>
        <v>Kentucky</v>
      </c>
      <c r="M49" s="7">
        <f t="array" ref="M49">K49:L97</f>
        <v>12126.84</v>
      </c>
    </row>
    <row r="50" spans="4:13" x14ac:dyDescent="0.25">
      <c r="D50" s="2" t="s">
        <v>4412</v>
      </c>
      <c r="E50" t="s">
        <v>4409</v>
      </c>
      <c r="G50" s="7"/>
      <c r="H50" s="7">
        <f>MAX(G51:G54)*1.2</f>
        <v>394138.92360000091</v>
      </c>
      <c r="J50" s="5" t="s">
        <v>1407</v>
      </c>
      <c r="K50" s="7">
        <v>2963.03</v>
      </c>
      <c r="L50" t="str">
        <f t="array" ref="L50">J50:K98</f>
        <v>Louisiana</v>
      </c>
      <c r="M50" s="7">
        <f t="array" ref="M50">K50:L98</f>
        <v>2963.03</v>
      </c>
    </row>
    <row r="51" spans="4:13" x14ac:dyDescent="0.25">
      <c r="D51" s="5" t="s">
        <v>32</v>
      </c>
      <c r="E51" s="7">
        <v>114879.99629999997</v>
      </c>
      <c r="F51" t="str">
        <f t="array" ref="F51">D51:E54</f>
        <v>Bookcases</v>
      </c>
      <c r="G51" s="7">
        <f t="array" ref="G51">E51:F54</f>
        <v>114879.99629999997</v>
      </c>
      <c r="H51" s="7">
        <f>$H$50-G51</f>
        <v>279258.92730000091</v>
      </c>
      <c r="J51" s="5" t="s">
        <v>1789</v>
      </c>
      <c r="K51" s="7">
        <v>109.48</v>
      </c>
      <c r="L51" t="str">
        <f t="array" ref="L51">J51:K99</f>
        <v>Maine</v>
      </c>
      <c r="M51" s="7">
        <f t="array" ref="M51">K51:L99</f>
        <v>109.48</v>
      </c>
    </row>
    <row r="52" spans="4:13" x14ac:dyDescent="0.25">
      <c r="D52" s="5" t="s">
        <v>37</v>
      </c>
      <c r="E52" s="7">
        <v>328449.10300000076</v>
      </c>
      <c r="F52" t="str">
        <f t="array" ref="F52">D52:E55</f>
        <v>Chairs</v>
      </c>
      <c r="G52" s="7">
        <f t="array" ref="G52">E52:F55</f>
        <v>328449.10300000076</v>
      </c>
      <c r="H52" s="7">
        <f t="shared" ref="H52:H54" si="3">$H$50-G52</f>
        <v>65689.820600000152</v>
      </c>
      <c r="J52" s="5" t="s">
        <v>1090</v>
      </c>
      <c r="K52" s="7">
        <v>9149.2529999999988</v>
      </c>
      <c r="L52" t="str">
        <f t="array" ref="L52">J52:K100</f>
        <v>Maryland</v>
      </c>
      <c r="M52" s="7">
        <f t="array" ref="M52">K52:L100</f>
        <v>9149.2529999999988</v>
      </c>
    </row>
    <row r="53" spans="4:13" x14ac:dyDescent="0.25">
      <c r="D53" s="5" t="s">
        <v>57</v>
      </c>
      <c r="E53" s="7">
        <v>91705.164000000048</v>
      </c>
      <c r="F53" t="str">
        <f t="array" ref="F53">D53:E56</f>
        <v>Furnishings</v>
      </c>
      <c r="G53" s="7">
        <f t="array" ref="G53">E53:F56</f>
        <v>91705.164000000048</v>
      </c>
      <c r="H53" s="7">
        <f t="shared" si="3"/>
        <v>302433.75960000086</v>
      </c>
      <c r="J53" s="5" t="s">
        <v>435</v>
      </c>
      <c r="K53" s="7">
        <v>10919.063999999997</v>
      </c>
      <c r="L53" t="str">
        <f t="array" ref="L53">J53:K101</f>
        <v>Massachusetts</v>
      </c>
      <c r="M53" s="7">
        <f t="array" ref="M53">K53:L101</f>
        <v>10919.063999999997</v>
      </c>
    </row>
    <row r="54" spans="4:13" x14ac:dyDescent="0.25">
      <c r="D54" s="5" t="s">
        <v>46</v>
      </c>
      <c r="E54" s="7">
        <v>206965.53200000009</v>
      </c>
      <c r="F54" t="str">
        <f t="array" ref="F54">D54:E57</f>
        <v>Tables</v>
      </c>
      <c r="G54" s="7">
        <f t="array" ref="G54">E54:F57</f>
        <v>206965.53200000009</v>
      </c>
      <c r="H54" s="7">
        <f t="shared" si="3"/>
        <v>187173.39160000082</v>
      </c>
      <c r="J54" s="5" t="s">
        <v>290</v>
      </c>
      <c r="K54" s="7">
        <v>22321.099999999995</v>
      </c>
      <c r="L54" t="str">
        <f t="array" ref="L54">J54:K102</f>
        <v>Michigan</v>
      </c>
      <c r="M54" s="7">
        <f t="array" ref="M54">K54:L102</f>
        <v>22321.099999999995</v>
      </c>
    </row>
    <row r="55" spans="4:13" x14ac:dyDescent="0.25">
      <c r="D55" s="5" t="s">
        <v>4413</v>
      </c>
      <c r="E55" s="7">
        <v>741999.79530000081</v>
      </c>
      <c r="J55" s="5" t="s">
        <v>167</v>
      </c>
      <c r="K55" s="7">
        <v>7611.35</v>
      </c>
      <c r="L55" t="str">
        <f t="array" ref="L55">J55:K103</f>
        <v>Minnesota</v>
      </c>
      <c r="M55" s="7">
        <f t="array" ref="M55">K55:L103</f>
        <v>7611.35</v>
      </c>
    </row>
    <row r="56" spans="4:13" x14ac:dyDescent="0.25">
      <c r="J56" s="5" t="s">
        <v>479</v>
      </c>
      <c r="K56" s="7">
        <v>4317.8499999999995</v>
      </c>
      <c r="L56" t="str">
        <f t="array" ref="L56">J56:K104</f>
        <v>Mississippi</v>
      </c>
      <c r="M56" s="7">
        <f t="array" ref="M56">K56:L104</f>
        <v>4317.8499999999995</v>
      </c>
    </row>
    <row r="57" spans="4:13" x14ac:dyDescent="0.25">
      <c r="J57" s="5" t="s">
        <v>566</v>
      </c>
      <c r="K57" s="7">
        <v>2936.45</v>
      </c>
      <c r="L57" t="str">
        <f t="array" ref="L57">J57:K105</f>
        <v>Missouri</v>
      </c>
      <c r="M57" s="7">
        <f t="array" ref="M57">K57:L105</f>
        <v>2936.45</v>
      </c>
    </row>
    <row r="58" spans="4:13" x14ac:dyDescent="0.25">
      <c r="J58" s="5" t="s">
        <v>3702</v>
      </c>
      <c r="K58" s="7">
        <v>63.98</v>
      </c>
      <c r="L58" t="str">
        <f t="array" ref="L58">J58:K106</f>
        <v>Montana</v>
      </c>
      <c r="M58" s="7">
        <f t="array" ref="M58">K58:L106</f>
        <v>63.98</v>
      </c>
    </row>
    <row r="59" spans="4:13" x14ac:dyDescent="0.25">
      <c r="J59" s="5" t="s">
        <v>842</v>
      </c>
      <c r="K59" s="7">
        <v>1944.7</v>
      </c>
      <c r="L59" t="str">
        <f t="array" ref="L59">J59:K107</f>
        <v>Nebraska</v>
      </c>
      <c r="M59" s="7">
        <f t="array" ref="M59">K59:L107</f>
        <v>1944.7</v>
      </c>
    </row>
    <row r="60" spans="4:13" x14ac:dyDescent="0.25">
      <c r="J60" s="5" t="s">
        <v>1341</v>
      </c>
      <c r="K60" s="7">
        <v>4635.1720000000005</v>
      </c>
      <c r="L60" t="str">
        <f t="array" ref="L60">J60:K108</f>
        <v>Nevada</v>
      </c>
      <c r="M60" s="7">
        <f t="array" ref="M60">K60:L108</f>
        <v>4635.1720000000005</v>
      </c>
    </row>
    <row r="61" spans="4:13" x14ac:dyDescent="0.25">
      <c r="J61" s="5" t="s">
        <v>885</v>
      </c>
      <c r="K61" s="7">
        <v>1886.4739999999999</v>
      </c>
      <c r="L61" t="str">
        <f t="array" ref="L61">J61:K109</f>
        <v>New Hampshire</v>
      </c>
      <c r="M61" s="7">
        <f t="array" ref="M61">K61:L109</f>
        <v>1886.4739999999999</v>
      </c>
    </row>
    <row r="62" spans="4:13" x14ac:dyDescent="0.25">
      <c r="J62" s="5" t="s">
        <v>363</v>
      </c>
      <c r="K62" s="7">
        <v>6307.0419999999995</v>
      </c>
      <c r="L62" t="str">
        <f t="array" ref="L62">J62:K110</f>
        <v>New Jersey</v>
      </c>
      <c r="M62" s="7">
        <f t="array" ref="M62">K62:L110</f>
        <v>6307.0419999999995</v>
      </c>
    </row>
    <row r="63" spans="4:13" x14ac:dyDescent="0.25">
      <c r="J63" s="5" t="s">
        <v>1897</v>
      </c>
      <c r="K63" s="7">
        <v>1701.412</v>
      </c>
      <c r="L63" t="str">
        <f t="array" ref="L63">J63:K111</f>
        <v>New Mexico</v>
      </c>
      <c r="M63" s="7">
        <f t="array" ref="M63">K63:L111</f>
        <v>1701.412</v>
      </c>
    </row>
    <row r="64" spans="4:13" x14ac:dyDescent="0.25">
      <c r="J64" s="5" t="s">
        <v>121</v>
      </c>
      <c r="K64" s="7">
        <v>93372.728999999978</v>
      </c>
      <c r="L64" t="str">
        <f t="array" ref="L64">J64:K112</f>
        <v>New York</v>
      </c>
      <c r="M64" s="7">
        <f t="array" ref="M64">K64:L112</f>
        <v>93372.728999999978</v>
      </c>
    </row>
    <row r="65" spans="10:13" x14ac:dyDescent="0.25">
      <c r="J65" s="5" t="s">
        <v>1037</v>
      </c>
      <c r="K65" s="7">
        <v>15155.483999999999</v>
      </c>
      <c r="L65" t="str">
        <f t="array" ref="L65">J65:K113</f>
        <v>North Carolina</v>
      </c>
      <c r="M65" s="7">
        <f t="array" ref="M65">K65:L113</f>
        <v>15155.483999999999</v>
      </c>
    </row>
    <row r="66" spans="10:13" x14ac:dyDescent="0.25">
      <c r="J66" s="5" t="s">
        <v>232</v>
      </c>
      <c r="K66" s="7">
        <v>24199.144999999993</v>
      </c>
      <c r="L66" t="str">
        <f t="array" ref="L66">J66:K114</f>
        <v>Ohio</v>
      </c>
      <c r="M66" s="7">
        <f t="array" ref="M66">K66:L114</f>
        <v>24199.144999999993</v>
      </c>
    </row>
    <row r="67" spans="10:13" x14ac:dyDescent="0.25">
      <c r="J67" s="5" t="s">
        <v>1523</v>
      </c>
      <c r="K67" s="7">
        <v>8284.1</v>
      </c>
      <c r="L67" t="str">
        <f t="array" ref="L67">J67:K115</f>
        <v>Oklahoma</v>
      </c>
      <c r="M67" s="7">
        <f t="array" ref="M67">K67:L115</f>
        <v>8284.1</v>
      </c>
    </row>
    <row r="68" spans="10:13" x14ac:dyDescent="0.25">
      <c r="J68" s="5" t="s">
        <v>1518</v>
      </c>
      <c r="K68" s="7">
        <v>6338.1299999999992</v>
      </c>
      <c r="L68" t="str">
        <f t="array" ref="L68">J68:K116</f>
        <v>Oregon</v>
      </c>
      <c r="M68" s="7">
        <f t="array" ref="M68">K68:L116</f>
        <v>6338.1299999999992</v>
      </c>
    </row>
    <row r="69" spans="10:13" x14ac:dyDescent="0.25">
      <c r="J69" s="5" t="s">
        <v>67</v>
      </c>
      <c r="K69" s="7">
        <v>39354.931000000004</v>
      </c>
      <c r="L69" t="str">
        <f t="array" ref="L69">J69:K117</f>
        <v>Pennsylvania</v>
      </c>
      <c r="M69" s="7">
        <f t="array" ref="M69">K69:L117</f>
        <v>39354.931000000004</v>
      </c>
    </row>
    <row r="70" spans="10:13" x14ac:dyDescent="0.25">
      <c r="J70" s="5" t="s">
        <v>1646</v>
      </c>
      <c r="K70" s="7">
        <v>5918.7560000000003</v>
      </c>
      <c r="L70" t="str">
        <f t="array" ref="L70">J70:K118</f>
        <v>Rhode Island</v>
      </c>
      <c r="M70" s="7">
        <f t="array" ref="M70">K70:L118</f>
        <v>5918.7560000000003</v>
      </c>
    </row>
    <row r="71" spans="10:13" x14ac:dyDescent="0.25">
      <c r="J71" s="5" t="s">
        <v>159</v>
      </c>
      <c r="K71" s="7">
        <v>3078.25</v>
      </c>
      <c r="L71" t="str">
        <f t="array" ref="L71">J71:K119</f>
        <v>South Carolina</v>
      </c>
      <c r="M71" s="7">
        <f t="array" ref="M71">K71:L119</f>
        <v>3078.25</v>
      </c>
    </row>
    <row r="72" spans="10:13" x14ac:dyDescent="0.25">
      <c r="J72" s="5" t="s">
        <v>1827</v>
      </c>
      <c r="K72" s="7">
        <v>324.89999999999998</v>
      </c>
      <c r="L72" t="str">
        <f t="array" ref="L72">J72:K120</f>
        <v>South Dakota</v>
      </c>
      <c r="M72" s="7">
        <f t="array" ref="M72">K72:L120</f>
        <v>324.89999999999998</v>
      </c>
    </row>
    <row r="73" spans="10:13" x14ac:dyDescent="0.25">
      <c r="J73" s="5" t="s">
        <v>142</v>
      </c>
      <c r="K73" s="7">
        <v>13506.732</v>
      </c>
      <c r="L73" t="str">
        <f t="array" ref="L73">J73:K121</f>
        <v>Tennessee</v>
      </c>
      <c r="M73" s="7">
        <f t="array" ref="M73">K73:L121</f>
        <v>13506.732</v>
      </c>
    </row>
    <row r="74" spans="10:13" x14ac:dyDescent="0.25">
      <c r="J74" s="5" t="s">
        <v>93</v>
      </c>
      <c r="K74" s="7">
        <v>60593.291799999992</v>
      </c>
      <c r="L74" t="str">
        <f t="array" ref="L74">J74:K122</f>
        <v>Texas</v>
      </c>
      <c r="M74" s="7">
        <f t="array" ref="M74">K74:L122</f>
        <v>60593.291799999992</v>
      </c>
    </row>
    <row r="75" spans="10:13" x14ac:dyDescent="0.25">
      <c r="J75" s="5" t="s">
        <v>77</v>
      </c>
      <c r="K75" s="7">
        <v>4822.3499999999995</v>
      </c>
      <c r="L75" t="str">
        <f t="array" ref="L75">J75:K123</f>
        <v>Utah</v>
      </c>
      <c r="M75" s="7">
        <f t="array" ref="M75">K75:L123</f>
        <v>4822.3499999999995</v>
      </c>
    </row>
    <row r="76" spans="10:13" x14ac:dyDescent="0.25">
      <c r="J76" s="5" t="s">
        <v>3107</v>
      </c>
      <c r="K76" s="7">
        <v>5120.0999999999995</v>
      </c>
      <c r="L76" t="str">
        <f t="array" ref="L76">J76:K124</f>
        <v>Vermont</v>
      </c>
      <c r="M76" s="7">
        <f t="array" ref="M76">K76:L124</f>
        <v>5120.0999999999995</v>
      </c>
    </row>
    <row r="77" spans="10:13" x14ac:dyDescent="0.25">
      <c r="J77" s="5" t="s">
        <v>717</v>
      </c>
      <c r="K77" s="7">
        <v>25321.949999999993</v>
      </c>
      <c r="L77" t="str">
        <f t="array" ref="L77">J77:K125</f>
        <v>Virginia</v>
      </c>
      <c r="M77" s="7">
        <f t="array" ref="M77">K77:L125</f>
        <v>25321.949999999993</v>
      </c>
    </row>
    <row r="78" spans="10:13" x14ac:dyDescent="0.25">
      <c r="J78" s="5" t="s">
        <v>193</v>
      </c>
      <c r="K78" s="7">
        <v>48020.151999999973</v>
      </c>
      <c r="L78" t="str">
        <f t="array" ref="L78">J78:K126</f>
        <v>Washington</v>
      </c>
      <c r="M78" s="7">
        <f t="array" ref="M78">K78:L126</f>
        <v>48020.151999999973</v>
      </c>
    </row>
    <row r="79" spans="10:13" x14ac:dyDescent="0.25">
      <c r="J79" s="5" t="s">
        <v>4287</v>
      </c>
      <c r="K79" s="7">
        <v>673.34400000000005</v>
      </c>
      <c r="L79" t="str">
        <f t="array" ref="L79">J79:K127</f>
        <v>West Virginia</v>
      </c>
      <c r="M79" s="7">
        <f t="array" ref="M79">K79:L127</f>
        <v>673.34400000000005</v>
      </c>
    </row>
    <row r="80" spans="10:13" x14ac:dyDescent="0.25">
      <c r="J80" s="5" t="s">
        <v>239</v>
      </c>
      <c r="K80" s="7">
        <v>17256.609999999997</v>
      </c>
      <c r="L80" t="str">
        <f t="array" ref="L80">J80:K128</f>
        <v>Wisconsin</v>
      </c>
      <c r="M80" s="7">
        <f t="array" ref="M80">K80:L128</f>
        <v>17256.609999999997</v>
      </c>
    </row>
    <row r="81" spans="10:13" x14ac:dyDescent="0.25">
      <c r="J81" s="5" t="s">
        <v>3312</v>
      </c>
      <c r="K81" s="7">
        <v>1603.136</v>
      </c>
      <c r="L81" t="str">
        <f t="array" ref="L81">J81:K129</f>
        <v>Wyoming</v>
      </c>
      <c r="M81" s="7">
        <f t="array" ref="M81">K81:L129</f>
        <v>1603.136</v>
      </c>
    </row>
    <row r="82" spans="10:13" x14ac:dyDescent="0.25">
      <c r="J82" s="5" t="s">
        <v>4413</v>
      </c>
      <c r="K82" s="7">
        <v>741999.79530000011</v>
      </c>
    </row>
  </sheetData>
  <mergeCells count="1">
    <mergeCell ref="F3:J3"/>
  </mergeCell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6ABE7-4DA1-497C-BBD9-384B9B9841A3}">
  <dimension ref="A1"/>
  <sheetViews>
    <sheetView showGridLines="0" tabSelected="1" topLeftCell="A5" zoomScale="60" zoomScaleNormal="60" workbookViewId="0">
      <selection activeCell="AA23" sqref="AA23"/>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A5228-EF28-4905-9BBB-8546C3F3C7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Data_Table</vt:lpstr>
      <vt:lpstr>PIvot_Table</vt:lpstr>
      <vt:lpstr>Dashboard</vt:lpstr>
      <vt:lpstr>Mostorder</vt:lpstr>
      <vt:lpstr>Profit</vt:lpstr>
      <vt:lpstr>profityoy</vt:lpstr>
      <vt:lpstr>Quantity</vt:lpstr>
      <vt:lpstr>Quantityyoy</vt:lpstr>
      <vt:lpstr>sales</vt:lpstr>
      <vt:lpstr>salescategory</vt:lpstr>
      <vt:lpstr>salestrend</vt:lpstr>
      <vt:lpstr>salesyoy</vt:lpstr>
      <vt:lpstr>Topcities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2026-04-11T20:06:40Z</dcterms:created>
  <dcterms:modified xsi:type="dcterms:W3CDTF">2026-04-14T02:46:45Z</dcterms:modified>
</cp:coreProperties>
</file>